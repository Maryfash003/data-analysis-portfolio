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USER\OneDrive\Documents\Portfolio Project\"/>
    </mc:Choice>
  </mc:AlternateContent>
  <xr:revisionPtr revIDLastSave="0" documentId="13_ncr:1_{7B4E4119-C3D8-4A9F-A339-8DC2656FB1B7}" xr6:coauthVersionLast="47" xr6:coauthVersionMax="47" xr10:uidLastSave="{00000000-0000-0000-0000-000000000000}"/>
  <bookViews>
    <workbookView xWindow="-110" yWindow="-110" windowWidth="19420" windowHeight="11020" tabRatio="590" firstSheet="3" activeTab="3" xr2:uid="{00000000-000D-0000-FFFF-FFFF00000000}"/>
  </bookViews>
  <sheets>
    <sheet name="Total Revenue, Units &amp; Profit" sheetId="2" r:id="rId1"/>
    <sheet name="Monthly Revenue Trend" sheetId="3" r:id="rId2"/>
    <sheet name="Top Customers" sheetId="4" r:id="rId3"/>
    <sheet name="Branch Performance" sheetId="5" r:id="rId4"/>
    <sheet name="Product Category Summary" sheetId="6" r:id="rId5"/>
    <sheet name="Sales Data Cleaned" sheetId="1" r:id="rId6"/>
    <sheet name="Dashboard" sheetId="7" r:id="rId7"/>
  </sheets>
  <definedNames>
    <definedName name="Slicer_Branch">#N/A</definedName>
    <definedName name="Slicer_Month">#N/A</definedName>
    <definedName name="Slicer_Month1">#N/A</definedName>
    <definedName name="Slicer_Product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C3" i="7"/>
  <c r="B3" i="7"/>
  <c r="D3" i="7"/>
  <c r="E3" i="7"/>
</calcChain>
</file>

<file path=xl/sharedStrings.xml><?xml version="1.0" encoding="utf-8"?>
<sst xmlns="http://schemas.openxmlformats.org/spreadsheetml/2006/main" count="12566" uniqueCount="2551">
  <si>
    <t>OrderID</t>
  </si>
  <si>
    <t>Date</t>
  </si>
  <si>
    <t>Product</t>
  </si>
  <si>
    <t>Category</t>
  </si>
  <si>
    <t>Unit Price</t>
  </si>
  <si>
    <t>Quantity</t>
  </si>
  <si>
    <t>Discount</t>
  </si>
  <si>
    <t>Total Revenue</t>
  </si>
  <si>
    <t>Cost Price</t>
  </si>
  <si>
    <t>Profit</t>
  </si>
  <si>
    <t>Customer Name</t>
  </si>
  <si>
    <t>Customer Segment</t>
  </si>
  <si>
    <t>Branch</t>
  </si>
  <si>
    <t>ORD1</t>
  </si>
  <si>
    <t>ORD2</t>
  </si>
  <si>
    <t>ORD3</t>
  </si>
  <si>
    <t>ORD4</t>
  </si>
  <si>
    <t>ORD5</t>
  </si>
  <si>
    <t>ORD6</t>
  </si>
  <si>
    <t>ORD7</t>
  </si>
  <si>
    <t>ORD8</t>
  </si>
  <si>
    <t>ORD9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</si>
  <si>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</si>
  <si>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</si>
  <si>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</si>
  <si>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</si>
  <si>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</si>
  <si>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</si>
  <si>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</si>
  <si>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</si>
  <si>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</si>
  <si>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</si>
  <si>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</si>
  <si>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</si>
  <si>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</si>
  <si>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</si>
  <si>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</si>
  <si>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</si>
  <si>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</si>
  <si>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</si>
  <si>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</si>
  <si>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</si>
  <si>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</si>
  <si>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</si>
  <si>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</si>
  <si>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</si>
  <si>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</si>
  <si>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</si>
  <si>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</si>
  <si>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</si>
  <si>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</si>
  <si>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</si>
  <si>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</si>
  <si>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</si>
  <si>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</si>
  <si>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</si>
  <si>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</si>
  <si>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</si>
  <si>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</si>
  <si>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</si>
  <si>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</si>
  <si>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</si>
  <si>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</si>
  <si>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</si>
  <si>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</si>
  <si>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</si>
  <si>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</si>
  <si>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</si>
  <si>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</si>
  <si>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</si>
  <si>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</si>
  <si>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</si>
  <si>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</si>
  <si>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</si>
  <si>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</si>
  <si>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</si>
  <si>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</si>
  <si>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</si>
  <si>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</si>
  <si>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</si>
  <si>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</si>
  <si>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</si>
  <si>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</si>
  <si>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</si>
  <si>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</si>
  <si>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</si>
  <si>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</si>
  <si>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</si>
  <si>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</si>
  <si>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</si>
  <si>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</si>
  <si>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</si>
  <si>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</si>
  <si>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</si>
  <si>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</si>
  <si>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</si>
  <si>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</si>
  <si>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</si>
  <si>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</si>
  <si>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</si>
  <si>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</si>
  <si>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</si>
  <si>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</si>
  <si>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</si>
  <si>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</si>
  <si>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</si>
  <si>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</si>
  <si>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</si>
  <si>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</si>
  <si>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</si>
  <si>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</si>
  <si>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</si>
  <si>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</si>
  <si>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</si>
  <si>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</si>
  <si>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</si>
  <si>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</si>
  <si>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</si>
  <si>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</si>
  <si>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</si>
  <si>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</si>
  <si>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</si>
  <si>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</si>
  <si>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</si>
  <si>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</si>
  <si>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</si>
  <si>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</si>
  <si>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</si>
  <si>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</si>
  <si>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</si>
  <si>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</si>
  <si>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</si>
  <si>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</si>
  <si>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</si>
  <si>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</si>
  <si>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</si>
  <si>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</si>
  <si>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</si>
  <si>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</si>
  <si>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</si>
  <si>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</si>
  <si>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</si>
  <si>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</si>
  <si>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</si>
  <si>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</si>
  <si>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</si>
  <si>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</si>
  <si>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</si>
  <si>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</si>
  <si>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</si>
  <si>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</si>
  <si>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</si>
  <si>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</si>
  <si>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</si>
  <si>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</si>
  <si>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</si>
  <si>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</si>
  <si>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</si>
  <si>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</si>
  <si>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</si>
  <si>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</si>
  <si>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</si>
  <si>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</si>
  <si>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</si>
  <si>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</si>
  <si>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</si>
  <si>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</si>
  <si>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</si>
  <si>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</si>
  <si>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</si>
  <si>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</si>
  <si>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</si>
  <si>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</si>
  <si>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</si>
  <si>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</si>
  <si>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</si>
  <si>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</si>
  <si>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</si>
  <si>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</si>
  <si>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</si>
  <si>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</si>
  <si>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</si>
  <si>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</si>
  <si>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</si>
  <si>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</si>
  <si>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</si>
  <si>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</si>
  <si>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</si>
  <si>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</si>
  <si>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</si>
  <si>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</si>
  <si>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</si>
  <si>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</si>
  <si>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</si>
  <si>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</si>
  <si>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</si>
  <si>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</si>
  <si>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</si>
  <si>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</si>
  <si>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</si>
  <si>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</si>
  <si>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</si>
  <si>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</si>
  <si>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</si>
  <si>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</si>
  <si>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</si>
  <si>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</si>
  <si>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</si>
  <si>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</si>
  <si>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</si>
  <si>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</si>
  <si>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</si>
  <si>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</si>
  <si>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</si>
  <si>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</si>
  <si>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</si>
  <si>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</si>
  <si>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</si>
  <si>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</si>
  <si>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</si>
  <si>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</si>
  <si>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</si>
  <si>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</si>
  <si>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</si>
  <si>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</si>
  <si>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</si>
  <si>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</si>
  <si>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</si>
  <si>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</si>
  <si>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</si>
  <si>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</si>
  <si>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</si>
  <si>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</si>
  <si>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</si>
  <si>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</si>
  <si>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</si>
  <si>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</si>
  <si>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</si>
  <si>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</si>
  <si>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</si>
  <si>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</si>
  <si>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</si>
  <si>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</si>
  <si>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</si>
  <si>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</si>
  <si>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</si>
  <si>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</si>
  <si>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</si>
  <si>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</si>
  <si>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</si>
  <si>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</si>
  <si>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</si>
  <si>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</si>
  <si>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</si>
  <si>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</si>
  <si>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</si>
  <si>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</si>
  <si>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</si>
  <si>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</si>
  <si>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</si>
  <si>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</si>
  <si>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</si>
  <si>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</si>
  <si>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</si>
  <si>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</si>
  <si>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</si>
  <si>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</si>
  <si>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</si>
  <si>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</si>
  <si>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</si>
  <si>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</si>
  <si>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</si>
  <si>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</si>
  <si>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</si>
  <si>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</si>
  <si>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</si>
  <si>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</si>
  <si>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</si>
  <si>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</si>
  <si>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</si>
  <si>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</si>
  <si>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</si>
  <si>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</si>
  <si>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</si>
  <si>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</si>
  <si>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</si>
  <si>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</si>
  <si>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</si>
  <si>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</si>
  <si>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</si>
  <si>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</si>
  <si>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</si>
  <si>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</si>
  <si>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</si>
  <si>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</si>
  <si>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</si>
  <si>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</si>
  <si>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</si>
  <si>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</si>
  <si>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</si>
  <si>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</si>
  <si>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</si>
  <si>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</si>
  <si>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</si>
  <si>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</si>
  <si>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</si>
  <si>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</si>
  <si>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</si>
  <si>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</si>
  <si>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</si>
  <si>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</si>
  <si>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</si>
  <si>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</si>
  <si>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</si>
  <si>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</si>
  <si>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</si>
  <si>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</si>
  <si>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</si>
  <si>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</si>
  <si>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</si>
  <si>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</si>
  <si>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</si>
  <si>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</si>
  <si>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</si>
  <si>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</si>
  <si>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</si>
  <si>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</si>
  <si>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</si>
  <si>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</si>
  <si>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</si>
  <si>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</si>
  <si>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</si>
  <si>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</si>
  <si>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</si>
  <si>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</si>
  <si>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</si>
  <si>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</si>
  <si>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</si>
  <si>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</si>
  <si>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</si>
  <si>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</si>
  <si>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</si>
  <si>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</si>
  <si>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</si>
  <si>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</si>
  <si>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</si>
  <si>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</si>
  <si>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</si>
  <si>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</si>
  <si>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</si>
  <si>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</si>
  <si>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</si>
  <si>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</si>
  <si>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</si>
  <si>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</si>
  <si>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</si>
  <si>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</si>
  <si>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</si>
  <si>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</si>
  <si>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</si>
  <si>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</si>
  <si>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</si>
  <si>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</si>
  <si>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</si>
  <si>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</si>
  <si>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</si>
  <si>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</si>
  <si>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</si>
  <si>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</si>
  <si>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</si>
  <si>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</si>
  <si>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</si>
  <si>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</si>
  <si>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</si>
  <si>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</si>
  <si>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</si>
  <si>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</si>
  <si>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</si>
  <si>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</si>
  <si>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</si>
  <si>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</si>
  <si>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</si>
  <si>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</si>
  <si>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</si>
  <si>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</si>
  <si>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</si>
  <si>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</si>
  <si>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</si>
  <si>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</si>
  <si>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</si>
  <si>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</si>
  <si>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</si>
  <si>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</si>
  <si>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</si>
  <si>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</si>
  <si>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</si>
  <si>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</si>
  <si>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</si>
  <si>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</si>
  <si>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</si>
  <si>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</si>
  <si>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</si>
  <si>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</si>
  <si>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</si>
  <si>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</si>
  <si>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</si>
  <si>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</si>
  <si>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</si>
  <si>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</si>
  <si>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</si>
  <si>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</si>
  <si>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</si>
  <si>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</si>
  <si>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</si>
  <si>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</si>
  <si>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</si>
  <si>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</si>
  <si>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</si>
  <si>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</si>
  <si>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</si>
  <si>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</si>
  <si>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</si>
  <si>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</si>
  <si>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</si>
  <si>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</si>
  <si>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</si>
  <si>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</si>
  <si>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</si>
  <si>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</si>
  <si>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</si>
  <si>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</si>
  <si>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</si>
  <si>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</si>
  <si>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</si>
  <si>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</si>
  <si>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</si>
  <si>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</si>
  <si>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</si>
  <si>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</si>
  <si>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</si>
  <si>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</si>
  <si>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</si>
  <si>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</si>
  <si>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</si>
  <si>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</si>
  <si>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</si>
  <si>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</si>
  <si>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</si>
  <si>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</si>
  <si>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</si>
  <si>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</si>
  <si>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</si>
  <si>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</si>
  <si>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</si>
  <si>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</si>
  <si>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</si>
  <si>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</si>
  <si>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</si>
  <si>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</si>
  <si>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</si>
  <si>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</si>
  <si>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</si>
  <si>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</si>
  <si>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</si>
  <si>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</si>
  <si>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</si>
  <si>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</si>
  <si>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</si>
  <si>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</si>
  <si>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</si>
  <si>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</si>
  <si>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</si>
  <si>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</si>
  <si>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</si>
  <si>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</si>
  <si>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</si>
  <si>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</si>
  <si>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</si>
  <si>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</si>
  <si>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</si>
  <si>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</si>
  <si>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</si>
  <si>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</si>
  <si>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</si>
  <si>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</si>
  <si>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</si>
  <si>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</si>
  <si>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</si>
  <si>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</si>
  <si>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</si>
  <si>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</si>
  <si>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</si>
  <si>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</si>
  <si>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</si>
  <si>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</si>
  <si>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</si>
  <si>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</si>
  <si>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</si>
  <si>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</si>
  <si>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</si>
  <si>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</si>
  <si>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</si>
  <si>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</si>
  <si>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</si>
  <si>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</si>
  <si>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</si>
  <si>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</si>
  <si>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</si>
  <si>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</si>
  <si>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</si>
  <si>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</si>
  <si>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</si>
  <si>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</si>
  <si>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</si>
  <si>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</si>
  <si>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</si>
  <si>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</si>
  <si>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</si>
  <si>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</si>
  <si>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</si>
  <si>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</si>
  <si>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</si>
  <si>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</si>
  <si>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</si>
  <si>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</si>
  <si>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</si>
  <si>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</si>
  <si>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</si>
  <si>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</si>
  <si>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</si>
  <si>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</si>
  <si>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</si>
  <si>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</si>
  <si>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</si>
  <si>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</si>
  <si>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</si>
  <si>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</si>
  <si>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</si>
  <si>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</si>
  <si>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</si>
  <si>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</si>
  <si>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</si>
  <si>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</si>
  <si>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</si>
  <si>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</si>
  <si>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</si>
  <si>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</si>
  <si>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</si>
  <si>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</si>
  <si>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</si>
  <si>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</si>
  <si>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</si>
  <si>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</si>
  <si>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</si>
  <si>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</si>
  <si>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</si>
  <si>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</si>
  <si>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</si>
  <si>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</si>
  <si>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</si>
  <si>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</si>
  <si>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</si>
  <si>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</si>
  <si>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</si>
  <si>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</si>
  <si>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</si>
  <si>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</si>
  <si>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</si>
  <si>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</si>
  <si>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</si>
  <si>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</si>
  <si>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</si>
  <si>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</si>
  <si>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</si>
  <si>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</si>
  <si>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</si>
  <si>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</si>
  <si>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</si>
  <si>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</si>
  <si>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</si>
  <si>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</si>
  <si>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</si>
  <si>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</si>
  <si>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</si>
  <si>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</si>
  <si>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</si>
  <si>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</si>
  <si>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</si>
  <si>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</si>
  <si>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</si>
  <si>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</si>
  <si>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</si>
  <si>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</si>
  <si>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</si>
  <si>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</si>
  <si>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</si>
  <si>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</si>
  <si>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</si>
  <si>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</si>
  <si>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</si>
  <si>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</si>
  <si>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</si>
  <si>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</si>
  <si>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</si>
  <si>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</si>
  <si>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</si>
  <si>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</si>
  <si>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</si>
  <si>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</si>
  <si>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</si>
  <si>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</si>
  <si>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</si>
  <si>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</si>
  <si>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</si>
  <si>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</si>
  <si>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</si>
  <si>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</si>
  <si>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</si>
  <si>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</si>
  <si>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</si>
  <si>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</si>
  <si>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</si>
  <si>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</si>
  <si>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</si>
  <si>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</si>
  <si>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</si>
  <si>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</si>
  <si>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</si>
  <si>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</si>
  <si>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</si>
  <si>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</si>
  <si>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</si>
  <si>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</si>
  <si>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</si>
  <si>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</si>
  <si>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</si>
  <si>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</si>
  <si>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</si>
  <si>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</si>
  <si>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</si>
  <si>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</si>
  <si>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</si>
  <si>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</si>
  <si>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</si>
  <si>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</si>
  <si>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</si>
  <si>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</si>
  <si>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</si>
  <si>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</si>
  <si>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</si>
  <si>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</si>
  <si>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</si>
  <si>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</si>
  <si>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</si>
  <si>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</si>
  <si>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</si>
  <si>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</si>
  <si>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</si>
  <si>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</si>
  <si>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</si>
  <si>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</si>
  <si>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</si>
  <si>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</si>
  <si>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</si>
  <si>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</si>
  <si>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</si>
  <si>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</si>
  <si>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</si>
  <si>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</si>
  <si>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</si>
  <si>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</si>
  <si>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</si>
  <si>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</si>
  <si>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</si>
  <si>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</si>
  <si>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</si>
  <si>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</si>
  <si>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</si>
  <si>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</si>
  <si>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</si>
  <si>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</si>
  <si>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</si>
  <si>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</si>
  <si>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</si>
  <si>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</si>
  <si>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</si>
  <si>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</si>
  <si>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</si>
  <si>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</si>
  <si>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</si>
  <si>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</si>
  <si>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</si>
  <si>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</si>
  <si>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</si>
  <si>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</si>
  <si>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</si>
  <si>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</si>
  <si>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</si>
  <si>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</si>
  <si>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</si>
  <si>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</si>
  <si>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</si>
  <si>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</si>
  <si>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</si>
  <si>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</si>
  <si>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</si>
  <si>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</si>
  <si>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</si>
  <si>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</si>
  <si>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</si>
  <si>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</si>
  <si>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</si>
  <si>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</si>
  <si>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</si>
  <si>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</si>
  <si>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</si>
  <si>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</si>
  <si>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</si>
  <si>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</si>
  <si>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</si>
  <si>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</si>
  <si>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</si>
  <si>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</si>
  <si>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</si>
  <si>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</si>
  <si>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</si>
  <si>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</si>
  <si>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</si>
  <si>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</si>
  <si>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</si>
  <si>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</si>
  <si>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</si>
  <si>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</si>
  <si>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</si>
  <si>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</si>
  <si>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</si>
  <si>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</si>
  <si>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</si>
  <si>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</si>
  <si>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</si>
  <si>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</si>
  <si>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</si>
  <si>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</si>
  <si>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</si>
  <si>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</si>
  <si>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</si>
  <si>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</si>
  <si>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</si>
  <si>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</si>
  <si>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</si>
  <si>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</si>
  <si>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</si>
  <si>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</si>
  <si>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</si>
  <si>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</si>
  <si>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</si>
  <si>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</si>
  <si>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</si>
  <si>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</si>
  <si>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</si>
  <si>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</si>
  <si>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</si>
  <si>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</si>
  <si>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</si>
  <si>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</si>
  <si>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</si>
  <si>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</si>
  <si>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</si>
  <si>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</si>
  <si>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</si>
  <si>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</si>
  <si>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</si>
  <si>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</si>
  <si>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</si>
  <si>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</si>
  <si>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</si>
  <si>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</si>
  <si>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</si>
  <si>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</si>
  <si>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</si>
  <si>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</si>
  <si>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</si>
  <si>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</si>
  <si>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</si>
  <si>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</si>
  <si>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</si>
  <si>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</si>
  <si>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</si>
  <si>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</si>
  <si>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</si>
  <si>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</si>
  <si>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</si>
  <si>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</si>
  <si>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</si>
  <si>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</si>
  <si>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</si>
  <si>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</si>
  <si>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</si>
  <si>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</si>
  <si>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</si>
  <si>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</si>
  <si>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</si>
  <si>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</si>
  <si>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</si>
  <si>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</si>
  <si>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</si>
  <si>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</si>
  <si>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</si>
  <si>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</si>
  <si>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</si>
  <si>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</si>
  <si>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</si>
  <si>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</si>
  <si>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</si>
  <si>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</si>
  <si>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</si>
  <si>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</si>
  <si>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</si>
  <si>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</si>
  <si>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</si>
  <si>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</si>
  <si>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</si>
  <si>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</si>
  <si>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</si>
  <si>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</si>
  <si>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</si>
  <si>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</si>
  <si>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</si>
  <si>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</si>
  <si>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</si>
  <si>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</si>
  <si>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</si>
  <si>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</si>
  <si>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</si>
  <si>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</si>
  <si>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</si>
  <si>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</si>
  <si>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</si>
  <si>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</si>
  <si>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</si>
  <si>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</si>
  <si>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</si>
  <si>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</si>
  <si>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</si>
  <si>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</si>
  <si>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</si>
  <si>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</si>
  <si>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</si>
  <si>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</si>
  <si>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</si>
  <si>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</si>
  <si>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</si>
  <si>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</si>
  <si>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</si>
  <si>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</si>
  <si>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</si>
  <si>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</si>
  <si>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</si>
  <si>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</si>
  <si>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</si>
  <si>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</si>
  <si>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</si>
  <si>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</si>
  <si>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</si>
  <si>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</si>
  <si>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</si>
  <si>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</si>
  <si>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</si>
  <si>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</si>
  <si>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</si>
  <si>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</si>
  <si>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</si>
  <si>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</si>
  <si>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</si>
  <si>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</si>
  <si>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</si>
  <si>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</si>
  <si>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</si>
  <si>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</si>
  <si>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</si>
  <si>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</si>
  <si>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</si>
  <si>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</si>
  <si>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</si>
  <si>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</si>
  <si>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</si>
  <si>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</si>
  <si>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</si>
  <si>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</si>
  <si>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</si>
  <si>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</si>
  <si>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</si>
  <si>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</si>
  <si>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</si>
  <si>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</si>
  <si>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</si>
  <si>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</si>
  <si>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</si>
  <si>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</si>
  <si>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</si>
  <si>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</si>
  <si>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</si>
  <si>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</si>
  <si>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</si>
  <si>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</si>
  <si>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</si>
  <si>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</si>
  <si>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</si>
  <si>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</si>
  <si>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</si>
  <si>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</si>
  <si>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</si>
  <si>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</si>
  <si>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</si>
  <si>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</si>
  <si>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</si>
  <si>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</si>
  <si>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</si>
  <si>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</si>
  <si>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</si>
  <si>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</si>
  <si>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</si>
  <si>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</si>
  <si>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</si>
  <si>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</si>
  <si>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</si>
  <si>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</si>
  <si>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</si>
  <si>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</si>
  <si>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</si>
  <si>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</si>
  <si>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</si>
  <si>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</si>
  <si>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</si>
  <si>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</si>
  <si>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</si>
  <si>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</si>
  <si>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</si>
  <si>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</si>
  <si>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</si>
  <si>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</si>
  <si>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</si>
  <si>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</si>
  <si>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</si>
  <si>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</si>
  <si>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</si>
  <si>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</si>
  <si>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</si>
  <si>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</si>
  <si>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</si>
  <si>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</si>
  <si>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</si>
  <si>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</si>
  <si>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</si>
  <si>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</si>
  <si>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</si>
  <si>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</si>
  <si>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</si>
  <si>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</si>
  <si>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</si>
  <si>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</si>
  <si>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</si>
  <si>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</si>
  <si>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</si>
  <si>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</si>
  <si>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</si>
  <si>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</si>
  <si>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</si>
  <si>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</si>
  <si>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</si>
  <si>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</si>
  <si>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</si>
  <si>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</si>
  <si>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</si>
  <si>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</si>
  <si>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</si>
  <si>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</si>
  <si>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</si>
  <si>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</si>
  <si>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</si>
  <si>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</si>
  <si>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</si>
  <si>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</si>
  <si>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</si>
  <si>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</si>
  <si>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</si>
  <si>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</si>
  <si>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</si>
  <si>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</si>
  <si>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</si>
  <si>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</si>
  <si>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</si>
  <si>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</si>
  <si>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</si>
  <si>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</si>
  <si>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</si>
  <si>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</si>
  <si>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</si>
  <si>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</si>
  <si>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</si>
  <si>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</si>
  <si>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</si>
  <si>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</si>
  <si>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</si>
  <si>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</si>
  <si>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</si>
  <si>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</si>
  <si>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</si>
  <si>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</si>
  <si>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</si>
  <si>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</si>
  <si>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</si>
  <si>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</si>
  <si>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</si>
  <si>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</si>
  <si>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</si>
  <si>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</si>
  <si>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</si>
  <si>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</si>
  <si>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</si>
  <si>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</si>
  <si>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</si>
  <si>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</si>
  <si>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</si>
  <si>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</si>
  <si>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</si>
  <si>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</si>
  <si>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</si>
  <si>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</si>
  <si>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</si>
  <si>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</si>
  <si>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</si>
  <si>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</si>
  <si>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</si>
  <si>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</si>
  <si>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</si>
  <si>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</si>
  <si>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</si>
  <si>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</si>
  <si>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</si>
  <si>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</si>
  <si>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</si>
  <si>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</si>
  <si>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</si>
  <si>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</si>
  <si>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</si>
  <si>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</si>
  <si>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</si>
  <si>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</si>
  <si>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</si>
  <si>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</si>
  <si>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</si>
  <si>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</si>
  <si>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</si>
  <si>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</si>
  <si>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</si>
  <si>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</si>
  <si>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</si>
  <si>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</si>
  <si>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</si>
  <si>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</si>
  <si>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</si>
  <si>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</si>
  <si>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</si>
  <si>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</si>
  <si>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</si>
  <si>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</si>
  <si>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</si>
  <si>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</si>
  <si>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</si>
  <si>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</si>
  <si>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</si>
  <si>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</si>
  <si>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</si>
  <si>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</si>
  <si>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</si>
  <si>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</si>
  <si>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</si>
  <si>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</si>
  <si>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</si>
  <si>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</si>
  <si>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</si>
  <si>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</si>
  <si>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</si>
  <si>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</si>
  <si>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</si>
  <si>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</si>
  <si>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</si>
  <si>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</si>
  <si>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</si>
  <si>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</si>
  <si>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</si>
  <si>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</si>
  <si>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</si>
  <si>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</si>
  <si>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</si>
  <si>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</si>
  <si>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</si>
  <si>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</si>
  <si>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</si>
  <si>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</si>
  <si>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</si>
  <si>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</si>
  <si>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</si>
  <si>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</si>
  <si>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</si>
  <si>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</si>
  <si>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</si>
  <si>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</si>
  <si>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</si>
  <si>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</si>
  <si>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</si>
  <si>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</si>
  <si>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</si>
  <si>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</si>
  <si>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</si>
  <si>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</si>
  <si>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</si>
  <si>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</si>
  <si>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</si>
  <si>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</si>
  <si>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</si>
  <si>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</si>
  <si>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</si>
  <si>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</si>
  <si>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</si>
  <si>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</si>
  <si>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</si>
  <si>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</si>
  <si>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</si>
  <si>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</si>
  <si>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</si>
  <si>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</si>
  <si>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</si>
  <si>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</si>
  <si>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</si>
  <si>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</si>
  <si>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</si>
  <si>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</si>
  <si>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</si>
  <si>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</si>
  <si>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</si>
  <si>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</si>
  <si>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</si>
  <si>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</si>
  <si>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</si>
  <si>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</si>
  <si>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</si>
  <si>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</si>
  <si>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</si>
  <si>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</si>
  <si>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</si>
  <si>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</si>
  <si>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</si>
  <si>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</si>
  <si>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</si>
  <si>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</si>
  <si>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</si>
  <si>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</si>
  <si>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</si>
  <si>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</si>
  <si>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</si>
  <si>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</si>
  <si>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</si>
  <si>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</si>
  <si>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</si>
  <si>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</si>
  <si>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</si>
  <si>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</si>
  <si>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</si>
  <si>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</si>
  <si>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</si>
  <si>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</si>
  <si>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</si>
  <si>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</si>
  <si>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</si>
  <si>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</si>
  <si>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</si>
  <si>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</si>
  <si>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</si>
  <si>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</si>
  <si>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</si>
  <si>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</si>
  <si>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</si>
  <si>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</si>
  <si>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</si>
  <si>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</si>
  <si>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</si>
  <si>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</si>
  <si>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</si>
  <si>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</si>
  <si>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</si>
  <si>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</si>
  <si>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</si>
  <si>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</si>
  <si>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</si>
  <si>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</si>
  <si>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</si>
  <si>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</si>
  <si>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</si>
  <si>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</si>
  <si>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</si>
  <si>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</si>
  <si>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</si>
  <si>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</si>
  <si>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</si>
  <si>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</si>
  <si>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</si>
  <si>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</si>
  <si>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</si>
  <si>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</si>
  <si>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</si>
  <si>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</si>
  <si>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</si>
  <si>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</si>
  <si>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</si>
  <si>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</si>
  <si>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</si>
  <si>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</si>
  <si>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</si>
  <si>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</si>
  <si>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</si>
  <si>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</si>
  <si>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</si>
  <si>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</si>
  <si>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</si>
  <si>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</si>
  <si>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</si>
  <si>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</si>
  <si>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</si>
  <si>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</si>
  <si>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</si>
  <si>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</si>
  <si>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</si>
  <si>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</si>
  <si>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</si>
  <si>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</si>
  <si>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</si>
  <si>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</si>
  <si>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</si>
  <si>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</si>
  <si>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</si>
  <si>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</si>
  <si>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</si>
  <si>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</si>
  <si>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</si>
  <si>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</si>
  <si>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</si>
  <si>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</si>
  <si>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</si>
  <si>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</si>
  <si>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</si>
  <si>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</si>
  <si>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</si>
  <si>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</si>
  <si>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</si>
  <si>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</si>
  <si>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</si>
  <si>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</si>
  <si>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</si>
  <si>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</si>
  <si>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</si>
  <si>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</si>
  <si>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</si>
  <si>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</si>
  <si>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</si>
  <si>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</si>
  <si>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</si>
  <si>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</si>
  <si>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</si>
  <si>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</si>
  <si>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</si>
  <si>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</si>
  <si>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</si>
  <si>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</si>
  <si>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</si>
  <si>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</si>
  <si>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</si>
  <si>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</si>
  <si>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</si>
  <si>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</si>
  <si>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</si>
  <si>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</si>
  <si>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</si>
  <si>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</si>
  <si>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</si>
  <si>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</si>
  <si>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</si>
  <si>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</si>
  <si>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</si>
  <si>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</si>
  <si>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</si>
  <si>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</si>
  <si>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</si>
  <si>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</si>
  <si>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</si>
  <si>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</si>
  <si>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</si>
  <si>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</si>
  <si>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</si>
  <si>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</si>
  <si>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</si>
  <si>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</si>
  <si>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</si>
  <si>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</si>
  <si>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</si>
  <si>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</si>
  <si>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</si>
  <si>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</si>
  <si>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</si>
  <si>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</si>
  <si>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</si>
  <si>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</si>
  <si>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</si>
  <si>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</si>
  <si>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</si>
  <si>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</si>
  <si>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</si>
  <si>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</si>
  <si>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</si>
  <si>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</si>
  <si>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</si>
  <si>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</si>
  <si>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</si>
  <si>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</si>
  <si>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</si>
  <si>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</si>
  <si>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</si>
  <si>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</si>
  <si>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</si>
  <si>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</si>
  <si>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</si>
  <si>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</si>
  <si>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</si>
  <si>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</si>
  <si>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</si>
  <si>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</si>
  <si>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</si>
  <si>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</si>
  <si>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</si>
  <si>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</si>
  <si>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</si>
  <si>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</si>
  <si>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</si>
  <si>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</si>
  <si>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</si>
  <si>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</si>
  <si>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</si>
  <si>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</si>
  <si>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</si>
  <si>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</si>
  <si>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</si>
  <si>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</si>
  <si>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</si>
  <si>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</si>
  <si>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</si>
  <si>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</si>
  <si>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</si>
  <si>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</si>
  <si>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</si>
  <si>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</si>
  <si>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</si>
  <si>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</si>
  <si>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</si>
  <si>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</si>
  <si>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</si>
  <si>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</si>
  <si>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</si>
  <si>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</si>
  <si>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</si>
  <si>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</si>
  <si>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</si>
  <si>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</si>
  <si>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</si>
  <si>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</si>
  <si>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</si>
  <si>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</si>
  <si>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</si>
  <si>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</si>
  <si>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</si>
  <si>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</si>
  <si>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</si>
  <si>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</si>
  <si>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</si>
  <si>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</si>
  <si>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</si>
  <si>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</si>
  <si>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</si>
  <si>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</si>
  <si>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</si>
  <si>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</si>
  <si>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</si>
  <si>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</si>
  <si>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</si>
  <si>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</si>
  <si>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</si>
  <si>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</si>
  <si>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</si>
  <si>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</si>
  <si>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</si>
  <si>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</si>
  <si>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</si>
  <si>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</si>
  <si>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</si>
  <si>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</si>
  <si>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</si>
  <si>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</si>
  <si>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</si>
  <si>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</si>
  <si>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</si>
  <si>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</si>
  <si>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</si>
  <si>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</si>
  <si>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</si>
  <si>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</si>
  <si>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</si>
  <si>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</si>
  <si>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</si>
  <si>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</si>
  <si>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</si>
  <si>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</si>
  <si>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</si>
  <si>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</si>
  <si>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</si>
  <si>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</si>
  <si>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</si>
  <si>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</si>
  <si>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</si>
  <si>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</si>
  <si>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</si>
  <si>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</si>
  <si>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</si>
  <si>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</si>
  <si>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</si>
  <si>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</si>
  <si>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</si>
  <si>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</si>
  <si>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</si>
  <si>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</si>
  <si>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</si>
  <si>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</si>
  <si>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</si>
  <si>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</si>
  <si>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</si>
  <si>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</si>
  <si>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</si>
  <si>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</si>
  <si>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</si>
  <si>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</si>
  <si>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</si>
  <si>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</si>
  <si>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</si>
  <si>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</si>
  <si>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</si>
  <si>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</si>
  <si>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</si>
  <si>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</si>
  <si>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</si>
  <si>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</si>
  <si>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</si>
  <si>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</si>
  <si>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</si>
  <si>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</si>
  <si>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</si>
  <si>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</si>
  <si>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</si>
  <si>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</si>
  <si>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</si>
  <si>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</si>
  <si>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</si>
  <si>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</si>
  <si>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</si>
  <si>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</si>
  <si>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</si>
  <si>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</si>
  <si>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</si>
  <si>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</si>
  <si>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</si>
  <si>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</si>
  <si>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</si>
  <si>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</si>
  <si>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</si>
  <si>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</si>
  <si>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</si>
  <si>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</si>
  <si>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</si>
  <si>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</si>
  <si>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</si>
  <si>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</si>
  <si>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</si>
  <si>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</si>
  <si>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</si>
  <si>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</si>
  <si>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</si>
  <si>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</si>
  <si>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</si>
  <si>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</si>
  <si>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</si>
  <si>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</si>
  <si>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</si>
  <si>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</si>
  <si>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</si>
  <si>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</si>
  <si>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</si>
  <si>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</si>
  <si>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</si>
  <si>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</si>
  <si>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</si>
  <si>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</si>
  <si>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</si>
  <si>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</si>
  <si>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</si>
  <si>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</si>
  <si>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</si>
  <si>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</si>
  <si>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</si>
  <si>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</si>
  <si>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</si>
  <si>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</si>
  <si>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</si>
  <si>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</si>
  <si>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</si>
  <si>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</si>
  <si>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</si>
  <si>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</si>
  <si>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</si>
  <si>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</si>
  <si>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</si>
  <si>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</si>
  <si>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</si>
  <si>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</si>
  <si>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</si>
  <si>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</si>
  <si>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</si>
  <si>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</si>
  <si>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</si>
  <si>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</si>
  <si>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</si>
  <si>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</si>
  <si>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</si>
  <si>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</si>
  <si>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</si>
  <si>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</si>
  <si>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</si>
  <si>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</si>
  <si>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</si>
  <si>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</si>
  <si>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</si>
  <si>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</si>
  <si>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</si>
  <si>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</si>
  <si>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</si>
  <si>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</si>
  <si>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</si>
  <si>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</si>
  <si>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</si>
  <si>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</si>
  <si>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</si>
  <si>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</si>
  <si>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</si>
  <si>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</si>
  <si>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</si>
  <si>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</si>
  <si>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</si>
  <si>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</si>
  <si>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</si>
  <si>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</si>
  <si>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</si>
  <si>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</si>
  <si>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</si>
  <si>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</si>
  <si>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</si>
  <si>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</si>
  <si>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</si>
  <si>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</si>
  <si>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</si>
  <si>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</si>
  <si>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</si>
  <si>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</si>
  <si>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</si>
  <si>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</si>
  <si>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</si>
  <si>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</si>
  <si>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</si>
  <si>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</si>
  <si>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</si>
  <si>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</si>
  <si>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</si>
  <si>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</si>
  <si>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</si>
  <si>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</si>
  <si>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</si>
  <si>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</si>
  <si>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</si>
  <si>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</si>
  <si>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</si>
  <si>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</si>
  <si>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</si>
  <si>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</si>
  <si>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</si>
  <si>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</si>
  <si>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</si>
  <si>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</si>
  <si>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</si>
  <si>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</si>
  <si>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</si>
  <si>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</si>
  <si>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</si>
  <si>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</si>
  <si>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</si>
  <si>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</si>
  <si>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</si>
  <si>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</si>
  <si>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</si>
  <si>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</si>
  <si>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</si>
  <si>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</si>
  <si>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</si>
  <si>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</si>
  <si>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</si>
  <si>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</si>
  <si>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</si>
  <si>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</si>
  <si>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</si>
  <si>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</si>
  <si>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</si>
  <si>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</si>
  <si>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</si>
  <si>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</si>
  <si>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</si>
  <si>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</si>
  <si>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</si>
  <si>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</si>
  <si>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</si>
  <si>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</si>
  <si>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</si>
  <si>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</si>
  <si>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</si>
  <si>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</si>
  <si>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</si>
  <si>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</si>
  <si>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</si>
  <si>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</si>
  <si>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</si>
  <si>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</si>
  <si>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</si>
  <si>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</si>
  <si>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</si>
  <si>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</si>
  <si>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</si>
  <si>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</si>
  <si>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</si>
  <si>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</si>
  <si>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</si>
  <si>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</si>
  <si>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</si>
  <si>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</si>
  <si>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</si>
  <si>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</si>
  <si>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</si>
  <si>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</si>
  <si>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</si>
  <si>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</si>
  <si>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</si>
  <si>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</si>
  <si>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</si>
  <si>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</si>
  <si>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</si>
  <si>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</si>
  <si>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</si>
  <si>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</si>
  <si>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</si>
  <si>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</si>
  <si>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</si>
  <si>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</si>
  <si>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</si>
  <si>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</si>
  <si>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</si>
  <si>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</si>
  <si>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</si>
  <si>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</si>
  <si>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</si>
  <si>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</si>
  <si>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</si>
  <si>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</si>
  <si>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</si>
  <si>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</si>
  <si>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</si>
  <si>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</si>
  <si>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</si>
  <si>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</si>
  <si>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</si>
  <si>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</si>
  <si>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</si>
  <si>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</si>
  <si>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</si>
  <si>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</si>
  <si>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</si>
  <si>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</si>
  <si>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</si>
  <si>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</si>
  <si>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</si>
  <si>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</si>
  <si>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</si>
  <si>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</si>
  <si>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</si>
  <si>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</si>
  <si>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</si>
  <si>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</si>
  <si>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</si>
  <si>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</si>
  <si>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</si>
  <si>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</si>
  <si>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</si>
  <si>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</si>
  <si>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</si>
  <si>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</si>
  <si>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</si>
  <si>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</si>
  <si>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</si>
  <si>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</si>
  <si>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</si>
  <si>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</si>
  <si>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</si>
  <si>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</si>
  <si>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</si>
  <si>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</si>
  <si>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</si>
  <si>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</si>
  <si>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</si>
  <si>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</si>
  <si>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</si>
  <si>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</si>
  <si>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</si>
  <si>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</si>
  <si>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</si>
  <si>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</si>
  <si>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</si>
  <si>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</si>
  <si>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</si>
  <si>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</si>
  <si>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</si>
  <si>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</si>
  <si>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</si>
  <si>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</si>
  <si>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</si>
  <si>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</si>
  <si>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</si>
  <si>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</si>
  <si>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</si>
  <si>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</si>
  <si>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</si>
  <si>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</si>
  <si>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</si>
  <si>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</si>
  <si>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</si>
  <si>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</si>
  <si>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</si>
  <si>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</si>
  <si>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</si>
  <si>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</si>
  <si>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</si>
  <si>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</si>
  <si>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</si>
  <si>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</si>
  <si>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</si>
  <si>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</si>
  <si>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</si>
  <si>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</si>
  <si>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</si>
  <si>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</si>
  <si>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</si>
  <si>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</si>
  <si>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</si>
  <si>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</si>
  <si>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</si>
  <si>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</si>
  <si>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</si>
  <si>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</si>
  <si>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</si>
  <si>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</si>
  <si>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</si>
  <si>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</si>
  <si>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</si>
  <si>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</si>
  <si>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</si>
  <si>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</si>
  <si>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</si>
  <si>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</si>
  <si>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</si>
  <si>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</si>
  <si>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</si>
  <si>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</si>
  <si>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</si>
  <si>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</si>
  <si>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</si>
  <si>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</si>
  <si>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</si>
  <si>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</si>
  <si>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</si>
  <si>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</si>
  <si>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</si>
  <si>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</si>
  <si>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</si>
  <si>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</si>
  <si>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</si>
  <si>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</si>
  <si>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</si>
  <si>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</si>
  <si>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</si>
  <si>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</si>
  <si>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</si>
  <si>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</si>
  <si>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</si>
  <si>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</si>
  <si>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</si>
  <si>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</si>
  <si>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</si>
  <si>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</si>
  <si>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</si>
  <si>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</si>
  <si>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</si>
  <si>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</si>
  <si>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</si>
  <si>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</si>
  <si>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</si>
  <si>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</si>
  <si>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</si>
  <si>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</si>
  <si>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</si>
  <si>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</si>
  <si>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</si>
  <si>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</si>
  <si>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</si>
  <si>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</si>
  <si>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</si>
  <si>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</si>
  <si>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</si>
  <si>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</si>
  <si>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</si>
  <si>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</si>
  <si>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</si>
  <si>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</si>
  <si>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</si>
  <si>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</si>
  <si>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</si>
  <si>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</si>
  <si>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</si>
  <si>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</si>
  <si>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</si>
  <si>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</si>
  <si>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</si>
  <si>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</si>
  <si>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</si>
  <si>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</si>
  <si>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</si>
  <si>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</si>
  <si>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</si>
  <si>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</si>
  <si>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</si>
  <si>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</si>
  <si>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</si>
  <si>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</si>
  <si>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</si>
  <si>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</si>
  <si>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</si>
  <si>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</si>
  <si>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</si>
  <si>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</si>
  <si>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</si>
  <si>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</si>
  <si>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</si>
  <si>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</si>
  <si>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</si>
  <si>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</si>
  <si>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</si>
  <si>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</si>
  <si>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</si>
  <si>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</si>
  <si>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</si>
  <si>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</si>
  <si>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</si>
  <si>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</si>
  <si>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</si>
  <si>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</si>
  <si>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</si>
  <si>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</si>
  <si>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</si>
  <si>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</si>
  <si>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</si>
  <si>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</si>
  <si>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</si>
  <si>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</si>
  <si>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</si>
  <si>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</si>
  <si>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</si>
  <si>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</si>
  <si>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</si>
  <si>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</si>
  <si>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</si>
  <si>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</si>
  <si>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</si>
  <si>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</si>
  <si>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</si>
  <si>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</si>
  <si>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</si>
  <si>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</si>
  <si>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</si>
  <si>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</si>
  <si>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</si>
  <si>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</si>
  <si>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</si>
  <si>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</si>
  <si>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</si>
  <si>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</si>
  <si>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</si>
  <si>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</si>
  <si>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</si>
  <si>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</si>
  <si>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</si>
  <si>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</si>
  <si>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</si>
  <si>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</si>
  <si>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</si>
  <si>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</si>
  <si>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</si>
  <si>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</si>
  <si>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</si>
  <si>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</si>
  <si>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</si>
  <si>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</si>
  <si>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</si>
  <si>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</si>
  <si>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</si>
  <si>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</si>
  <si>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</si>
  <si>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</si>
  <si>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</si>
  <si>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</si>
  <si>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</si>
  <si>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</si>
  <si>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</si>
  <si>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</si>
  <si>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</si>
  <si>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</si>
  <si>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</si>
  <si>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</si>
  <si>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</si>
  <si>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</si>
  <si>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</si>
  <si>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</si>
  <si>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</si>
  <si>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</si>
  <si>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</si>
  <si>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</si>
  <si>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</si>
  <si>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</si>
  <si>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</si>
  <si>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</si>
  <si>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</si>
  <si>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</si>
  <si>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</si>
  <si>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</si>
  <si>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</si>
  <si>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</si>
  <si>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</si>
  <si>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</si>
  <si>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</si>
  <si>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</si>
  <si>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</si>
  <si>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</si>
  <si>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</si>
  <si>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</si>
  <si>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</si>
  <si>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</si>
  <si>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</si>
  <si>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</si>
  <si>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</si>
  <si>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</si>
  <si>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</si>
  <si>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</si>
  <si>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</si>
  <si>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</si>
  <si>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</si>
  <si>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</si>
  <si>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</si>
  <si>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</si>
  <si>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</si>
  <si>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</si>
  <si>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</si>
  <si>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</si>
  <si>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</si>
  <si>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</si>
  <si>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</si>
  <si>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</si>
  <si>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</si>
  <si>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</si>
  <si>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</si>
  <si>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</si>
  <si>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</si>
  <si>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</si>
  <si>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</si>
  <si>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</si>
  <si>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</si>
  <si>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</si>
  <si>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</si>
  <si>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</si>
  <si>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</si>
  <si>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</si>
  <si>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</si>
  <si>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</si>
  <si>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</si>
  <si>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</si>
  <si>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Plantain Chips</t>
  </si>
  <si>
    <t>Afang Soup</t>
  </si>
  <si>
    <t>Jollof Rice</t>
  </si>
  <si>
    <t>Fried Rice</t>
  </si>
  <si>
    <t>Zobo Drink</t>
  </si>
  <si>
    <t>Chapman</t>
  </si>
  <si>
    <t>Palm Oil</t>
  </si>
  <si>
    <t>Chicken Pie</t>
  </si>
  <si>
    <t>Beef Pie</t>
  </si>
  <si>
    <t>Egusi Soup</t>
  </si>
  <si>
    <t>Snack</t>
  </si>
  <si>
    <t>Soup</t>
  </si>
  <si>
    <t>Food</t>
  </si>
  <si>
    <t>Drink</t>
  </si>
  <si>
    <t>Grocery</t>
  </si>
  <si>
    <t>Bakery</t>
  </si>
  <si>
    <t>Customer 3</t>
  </si>
  <si>
    <t>Customer 389</t>
  </si>
  <si>
    <t>Customer 223</t>
  </si>
  <si>
    <t>Customer 85</t>
  </si>
  <si>
    <t>Customer 304</t>
  </si>
  <si>
    <t>Customer 392</t>
  </si>
  <si>
    <t>Customer 265</t>
  </si>
  <si>
    <t>Customer 296</t>
  </si>
  <si>
    <t>Customer 336</t>
  </si>
  <si>
    <t>Customer 137</t>
  </si>
  <si>
    <t>Customer 234</t>
  </si>
  <si>
    <t>Customer 380</t>
  </si>
  <si>
    <t>Customer 57</t>
  </si>
  <si>
    <t>Customer 82</t>
  </si>
  <si>
    <t>Customer 383</t>
  </si>
  <si>
    <t>Customer 255</t>
  </si>
  <si>
    <t>Customer 305</t>
  </si>
  <si>
    <t>Customer 320</t>
  </si>
  <si>
    <t>Customer 407</t>
  </si>
  <si>
    <t>Customer 34</t>
  </si>
  <si>
    <t>Customer 258</t>
  </si>
  <si>
    <t>Customer 97</t>
  </si>
  <si>
    <t>Customer 283</t>
  </si>
  <si>
    <t>Customer 451</t>
  </si>
  <si>
    <t>Customer 493</t>
  </si>
  <si>
    <t>Customer 63</t>
  </si>
  <si>
    <t>Customer 281</t>
  </si>
  <si>
    <t>Customer 417</t>
  </si>
  <si>
    <t>Customer 132</t>
  </si>
  <si>
    <t>Customer 467</t>
  </si>
  <si>
    <t>Customer 449</t>
  </si>
  <si>
    <t>Customer 214</t>
  </si>
  <si>
    <t>Customer 348</t>
  </si>
  <si>
    <t>Customer 415</t>
  </si>
  <si>
    <t>Customer 163</t>
  </si>
  <si>
    <t>Customer 328</t>
  </si>
  <si>
    <t>Customer 128</t>
  </si>
  <si>
    <t>Customer 382</t>
  </si>
  <si>
    <t>Customer 288</t>
  </si>
  <si>
    <t>Customer 48</t>
  </si>
  <si>
    <t>Customer 32</t>
  </si>
  <si>
    <t>Customer 5</t>
  </si>
  <si>
    <t>Customer 37</t>
  </si>
  <si>
    <t>Customer 453</t>
  </si>
  <si>
    <t>Customer 87</t>
  </si>
  <si>
    <t>Customer 313</t>
  </si>
  <si>
    <t>Customer 355</t>
  </si>
  <si>
    <t>Customer 122</t>
  </si>
  <si>
    <t>Customer 363</t>
  </si>
  <si>
    <t>Customer 17</t>
  </si>
  <si>
    <t>Customer 298</t>
  </si>
  <si>
    <t>Customer 459</t>
  </si>
  <si>
    <t>Customer 161</t>
  </si>
  <si>
    <t>Customer 396</t>
  </si>
  <si>
    <t>Customer 252</t>
  </si>
  <si>
    <t>Customer 102</t>
  </si>
  <si>
    <t>Customer 103</t>
  </si>
  <si>
    <t>Customer 75</t>
  </si>
  <si>
    <t>Customer 118</t>
  </si>
  <si>
    <t>Customer 211</t>
  </si>
  <si>
    <t>Customer 436</t>
  </si>
  <si>
    <t>Customer 247</t>
  </si>
  <si>
    <t>Customer 339</t>
  </si>
  <si>
    <t>Customer 237</t>
  </si>
  <si>
    <t>Customer 455</t>
  </si>
  <si>
    <t>Customer 183</t>
  </si>
  <si>
    <t>Customer 22</t>
  </si>
  <si>
    <t>Customer 172</t>
  </si>
  <si>
    <t>Customer 6</t>
  </si>
  <si>
    <t>Customer 11</t>
  </si>
  <si>
    <t>Customer 427</t>
  </si>
  <si>
    <t>Customer 156</t>
  </si>
  <si>
    <t>Customer 428</t>
  </si>
  <si>
    <t>Customer 178</t>
  </si>
  <si>
    <t>Customer 431</t>
  </si>
  <si>
    <t>Customer 55</t>
  </si>
  <si>
    <t>Customer 145</t>
  </si>
  <si>
    <t>Customer 64</t>
  </si>
  <si>
    <t>Customer 284</t>
  </si>
  <si>
    <t>Customer 458</t>
  </si>
  <si>
    <t>Customer 433</t>
  </si>
  <si>
    <t>Customer 115</t>
  </si>
  <si>
    <t>Customer 203</t>
  </si>
  <si>
    <t>Customer 65</t>
  </si>
  <si>
    <t>Customer 109</t>
  </si>
  <si>
    <t>Customer 126</t>
  </si>
  <si>
    <t>Customer 213</t>
  </si>
  <si>
    <t>Customer 282</t>
  </si>
  <si>
    <t>Customer 26</t>
  </si>
  <si>
    <t>Customer 279</t>
  </si>
  <si>
    <t>Customer 241</t>
  </si>
  <si>
    <t>Customer 240</t>
  </si>
  <si>
    <t>Customer 475</t>
  </si>
  <si>
    <t>Customer 443</t>
  </si>
  <si>
    <t>Customer 142</t>
  </si>
  <si>
    <t>Customer 342</t>
  </si>
  <si>
    <t>Customer 120</t>
  </si>
  <si>
    <t>Customer 10</t>
  </si>
  <si>
    <t>Customer 239</t>
  </si>
  <si>
    <t>Customer 327</t>
  </si>
  <si>
    <t>Customer 249</t>
  </si>
  <si>
    <t>Customer 461</t>
  </si>
  <si>
    <t>Customer 94</t>
  </si>
  <si>
    <t>Customer 349</t>
  </si>
  <si>
    <t>Customer 469</t>
  </si>
  <si>
    <t>Customer 54</t>
  </si>
  <si>
    <t>Customer 388</t>
  </si>
  <si>
    <t>Customer 480</t>
  </si>
  <si>
    <t>Customer 301</t>
  </si>
  <si>
    <t>Customer 373</t>
  </si>
  <si>
    <t>Customer 338</t>
  </si>
  <si>
    <t>Customer 36</t>
  </si>
  <si>
    <t>Customer 116</t>
  </si>
  <si>
    <t>Customer 346</t>
  </si>
  <si>
    <t>Customer 140</t>
  </si>
  <si>
    <t>Customer 403</t>
  </si>
  <si>
    <t>Customer 302</t>
  </si>
  <si>
    <t>Customer 408</t>
  </si>
  <si>
    <t>Customer 264</t>
  </si>
  <si>
    <t>Customer 362</t>
  </si>
  <si>
    <t>Customer 472</t>
  </si>
  <si>
    <t>Customer 192</t>
  </si>
  <si>
    <t>Customer 71</t>
  </si>
  <si>
    <t>Customer 231</t>
  </si>
  <si>
    <t>Customer 411</t>
  </si>
  <si>
    <t>Customer 276</t>
  </si>
  <si>
    <t>Customer 245</t>
  </si>
  <si>
    <t>Customer 90</t>
  </si>
  <si>
    <t>Customer 1</t>
  </si>
  <si>
    <t>Customer 306</t>
  </si>
  <si>
    <t>Customer 385</t>
  </si>
  <si>
    <t>Customer 395</t>
  </si>
  <si>
    <t>Customer 224</t>
  </si>
  <si>
    <t>Customer 147</t>
  </si>
  <si>
    <t>Customer 394</t>
  </si>
  <si>
    <t>Customer 432</t>
  </si>
  <si>
    <t>Customer 111</t>
  </si>
  <si>
    <t>Customer 361</t>
  </si>
  <si>
    <t>Customer 486</t>
  </si>
  <si>
    <t>Customer 400</t>
  </si>
  <si>
    <t>Customer 262</t>
  </si>
  <si>
    <t>Customer 278</t>
  </si>
  <si>
    <t>Customer 358</t>
  </si>
  <si>
    <t>Customer 329</t>
  </si>
  <si>
    <t>Customer 421</t>
  </si>
  <si>
    <t>Customer 384</t>
  </si>
  <si>
    <t>Customer 8</t>
  </si>
  <si>
    <t>Customer 25</t>
  </si>
  <si>
    <t>Customer 454</t>
  </si>
  <si>
    <t>Customer 66</t>
  </si>
  <si>
    <t>Customer 208</t>
  </si>
  <si>
    <t>Customer 164</t>
  </si>
  <si>
    <t>Customer 88</t>
  </si>
  <si>
    <t>Customer 155</t>
  </si>
  <si>
    <t>Customer 190</t>
  </si>
  <si>
    <t>Customer 371</t>
  </si>
  <si>
    <t>Customer 466</t>
  </si>
  <si>
    <t>Customer 482</t>
  </si>
  <si>
    <t>Customer 69</t>
  </si>
  <si>
    <t>Customer 308</t>
  </si>
  <si>
    <t>Customer 243</t>
  </si>
  <si>
    <t>Customer 49</t>
  </si>
  <si>
    <t>Customer 229</t>
  </si>
  <si>
    <t>Customer 154</t>
  </si>
  <si>
    <t>Customer 135</t>
  </si>
  <si>
    <t>Customer 257</t>
  </si>
  <si>
    <t>Customer 274</t>
  </si>
  <si>
    <t>Customer 293</t>
  </si>
  <si>
    <t>Customer 30</t>
  </si>
  <si>
    <t>Customer 61</t>
  </si>
  <si>
    <t>Customer 425</t>
  </si>
  <si>
    <t>Customer 366</t>
  </si>
  <si>
    <t>Customer 484</t>
  </si>
  <si>
    <t>Customer 399</t>
  </si>
  <si>
    <t>Customer 495</t>
  </si>
  <si>
    <t>Customer 352</t>
  </si>
  <si>
    <t>Customer 360</t>
  </si>
  <si>
    <t>Customer 169</t>
  </si>
  <si>
    <t>Customer 171</t>
  </si>
  <si>
    <t>Customer 295</t>
  </si>
  <si>
    <t>Customer 261</t>
  </si>
  <si>
    <t>Customer 321</t>
  </si>
  <si>
    <t>Customer 186</t>
  </si>
  <si>
    <t>Customer 195</t>
  </si>
  <si>
    <t>Customer 7</t>
  </si>
  <si>
    <t>Customer 162</t>
  </si>
  <si>
    <t>Customer 51</t>
  </si>
  <si>
    <t>Customer 197</t>
  </si>
  <si>
    <t>Customer 78</t>
  </si>
  <si>
    <t>Customer 311</t>
  </si>
  <si>
    <t>Customer 138</t>
  </si>
  <si>
    <t>Customer 68</t>
  </si>
  <si>
    <t>Customer 202</t>
  </si>
  <si>
    <t>Customer 196</t>
  </si>
  <si>
    <t>Customer 303</t>
  </si>
  <si>
    <t>Customer 341</t>
  </si>
  <si>
    <t>Customer 58</t>
  </si>
  <si>
    <t>Customer 24</t>
  </si>
  <si>
    <t>Customer 131</t>
  </si>
  <si>
    <t>Customer 207</t>
  </si>
  <si>
    <t>Customer 41</t>
  </si>
  <si>
    <t>Customer 368</t>
  </si>
  <si>
    <t>Customer 491</t>
  </si>
  <si>
    <t>Customer 334</t>
  </si>
  <si>
    <t>Customer 379</t>
  </si>
  <si>
    <t>Customer 21</t>
  </si>
  <si>
    <t>Customer 201</t>
  </si>
  <si>
    <t>Customer 14</t>
  </si>
  <si>
    <t>Customer 173</t>
  </si>
  <si>
    <t>Customer 332</t>
  </si>
  <si>
    <t>Customer 468</t>
  </si>
  <si>
    <t>Customer 489</t>
  </si>
  <si>
    <t>Customer 474</t>
  </si>
  <si>
    <t>Customer 452</t>
  </si>
  <si>
    <t>Customer 221</t>
  </si>
  <si>
    <t>Customer 246</t>
  </si>
  <si>
    <t>Customer 256</t>
  </si>
  <si>
    <t>Customer 418</t>
  </si>
  <si>
    <t>Customer 253</t>
  </si>
  <si>
    <t>Customer 351</t>
  </si>
  <si>
    <t>Customer 226</t>
  </si>
  <si>
    <t>Customer 290</t>
  </si>
  <si>
    <t>Customer 209</t>
  </si>
  <si>
    <t>Customer 2</t>
  </si>
  <si>
    <t>Customer 179</t>
  </si>
  <si>
    <t>Customer 316</t>
  </si>
  <si>
    <t>Customer 219</t>
  </si>
  <si>
    <t>Customer 470</t>
  </si>
  <si>
    <t>Customer 16</t>
  </si>
  <si>
    <t>Customer 272</t>
  </si>
  <si>
    <t>Customer 270</t>
  </si>
  <si>
    <t>Customer 60</t>
  </si>
  <si>
    <t>Customer 232</t>
  </si>
  <si>
    <t>Customer 463</t>
  </si>
  <si>
    <t>Customer 215</t>
  </si>
  <si>
    <t>Customer 271</t>
  </si>
  <si>
    <t>Customer 315</t>
  </si>
  <si>
    <t>Customer 444</t>
  </si>
  <si>
    <t>Customer 438</t>
  </si>
  <si>
    <t>Customer 212</t>
  </si>
  <si>
    <t>Customer 199</t>
  </si>
  <si>
    <t>Customer 127</t>
  </si>
  <si>
    <t>Customer 12</t>
  </si>
  <si>
    <t>Customer 20</t>
  </si>
  <si>
    <t>Customer 286</t>
  </si>
  <si>
    <t>Customer 167</t>
  </si>
  <si>
    <t>Customer 194</t>
  </si>
  <si>
    <t>Customer 151</t>
  </si>
  <si>
    <t>Customer 325</t>
  </si>
  <si>
    <t>Customer 314</t>
  </si>
  <si>
    <t>Customer 98</t>
  </si>
  <si>
    <t>Customer 144</t>
  </si>
  <si>
    <t>Customer 359</t>
  </si>
  <si>
    <t>Customer 165</t>
  </si>
  <si>
    <t>Customer 499</t>
  </si>
  <si>
    <t>Customer 33</t>
  </si>
  <si>
    <t>Customer 244</t>
  </si>
  <si>
    <t>Customer 260</t>
  </si>
  <si>
    <t>Customer 429</t>
  </si>
  <si>
    <t>Customer 289</t>
  </si>
  <si>
    <t>Customer 92</t>
  </si>
  <si>
    <t>Customer 324</t>
  </si>
  <si>
    <t>Customer 166</t>
  </si>
  <si>
    <t>Customer 323</t>
  </si>
  <si>
    <t>Customer 450</t>
  </si>
  <si>
    <t>Customer 322</t>
  </si>
  <si>
    <t>Customer 76</t>
  </si>
  <si>
    <t>Customer 44</t>
  </si>
  <si>
    <t>Customer 344</t>
  </si>
  <si>
    <t>Customer 238</t>
  </si>
  <si>
    <t>Customer 312</t>
  </si>
  <si>
    <t>Customer 40</t>
  </si>
  <si>
    <t>Customer 393</t>
  </si>
  <si>
    <t>Customer 365</t>
  </si>
  <si>
    <t>Customer 473</t>
  </si>
  <si>
    <t>Customer 409</t>
  </si>
  <si>
    <t>Customer 330</t>
  </si>
  <si>
    <t>Customer 182</t>
  </si>
  <si>
    <t>Customer 471</t>
  </si>
  <si>
    <t>Customer 445</t>
  </si>
  <si>
    <t>Customer 307</t>
  </si>
  <si>
    <t>Customer 378</t>
  </si>
  <si>
    <t>Customer 356</t>
  </si>
  <si>
    <t>Customer 185</t>
  </si>
  <si>
    <t>Customer 52</t>
  </si>
  <si>
    <t>Customer 50</t>
  </si>
  <si>
    <t>Customer 335</t>
  </si>
  <si>
    <t>Customer 217</t>
  </si>
  <si>
    <t>Customer 15</t>
  </si>
  <si>
    <t>Customer 331</t>
  </si>
  <si>
    <t>Customer 193</t>
  </si>
  <si>
    <t>Customer 225</t>
  </si>
  <si>
    <t>Customer 39</t>
  </si>
  <si>
    <t>Customer 424</t>
  </si>
  <si>
    <t>Customer 248</t>
  </si>
  <si>
    <t>Customer 136</t>
  </si>
  <si>
    <t>Customer 168</t>
  </si>
  <si>
    <t>Customer 422</t>
  </si>
  <si>
    <t>Customer 377</t>
  </si>
  <si>
    <t>Customer 404</t>
  </si>
  <si>
    <t>Customer 476</t>
  </si>
  <si>
    <t>Customer 86</t>
  </si>
  <si>
    <t>Customer 391</t>
  </si>
  <si>
    <t>Customer 259</t>
  </si>
  <si>
    <t>Customer 84</t>
  </si>
  <si>
    <t>Customer 45</t>
  </si>
  <si>
    <t>Customer 218</t>
  </si>
  <si>
    <t>Customer 96</t>
  </si>
  <si>
    <t>Customer 402</t>
  </si>
  <si>
    <t>Customer 387</t>
  </si>
  <si>
    <t>Customer 485</t>
  </si>
  <si>
    <t>Customer 230</t>
  </si>
  <si>
    <t>Customer 481</t>
  </si>
  <si>
    <t>Customer 275</t>
  </si>
  <si>
    <t>Customer 129</t>
  </si>
  <si>
    <t>Customer 4</t>
  </si>
  <si>
    <t>Customer 210</t>
  </si>
  <si>
    <t>Customer 268</t>
  </si>
  <si>
    <t>Customer 397</t>
  </si>
  <si>
    <t>Customer 117</t>
  </si>
  <si>
    <t>Customer 374</t>
  </si>
  <si>
    <t>Customer 159</t>
  </si>
  <si>
    <t>Customer 53</t>
  </si>
  <si>
    <t>Customer 177</t>
  </si>
  <si>
    <t>Customer 381</t>
  </si>
  <si>
    <t>Customer 337</t>
  </si>
  <si>
    <t>Customer 181</t>
  </si>
  <si>
    <t>Customer 414</t>
  </si>
  <si>
    <t>Customer 233</t>
  </si>
  <si>
    <t>Customer 134</t>
  </si>
  <si>
    <t>Customer 280</t>
  </si>
  <si>
    <t>Customer 93</t>
  </si>
  <si>
    <t>Customer 390</t>
  </si>
  <si>
    <t>Customer 67</t>
  </si>
  <si>
    <t>Customer 80</t>
  </si>
  <si>
    <t>Customer 447</t>
  </si>
  <si>
    <t>Customer 479</t>
  </si>
  <si>
    <t>Customer 441</t>
  </si>
  <si>
    <t>Customer 300</t>
  </si>
  <si>
    <t>Customer 106</t>
  </si>
  <si>
    <t>Customer 227</t>
  </si>
  <si>
    <t>Customer 299</t>
  </si>
  <si>
    <t>Customer 191</t>
  </si>
  <si>
    <t>Customer 497</t>
  </si>
  <si>
    <t>Customer 19</t>
  </si>
  <si>
    <t>Customer 354</t>
  </si>
  <si>
    <t>Customer 38</t>
  </si>
  <si>
    <t>Customer 89</t>
  </si>
  <si>
    <t>Customer 27</t>
  </si>
  <si>
    <t>Customer 406</t>
  </si>
  <si>
    <t>Customer 188</t>
  </si>
  <si>
    <t>Customer 496</t>
  </si>
  <si>
    <t>Customer 113</t>
  </si>
  <si>
    <t>Customer 498</t>
  </si>
  <si>
    <t>Customer 413</t>
  </si>
  <si>
    <t>Customer 56</t>
  </si>
  <si>
    <t>Customer 139</t>
  </si>
  <si>
    <t>Customer 198</t>
  </si>
  <si>
    <t>Customer 297</t>
  </si>
  <si>
    <t>Customer 326</t>
  </si>
  <si>
    <t>Customer 146</t>
  </si>
  <si>
    <t>Customer 220</t>
  </si>
  <si>
    <t>Customer 357</t>
  </si>
  <si>
    <t>Customer 419</t>
  </si>
  <si>
    <t>Customer 372</t>
  </si>
  <si>
    <t>Customer 250</t>
  </si>
  <si>
    <t>Customer 490</t>
  </si>
  <si>
    <t>Customer 95</t>
  </si>
  <si>
    <t>Customer 263</t>
  </si>
  <si>
    <t>Customer 242</t>
  </si>
  <si>
    <t>Customer 124</t>
  </si>
  <si>
    <t>Customer 465</t>
  </si>
  <si>
    <t>Customer 72</t>
  </si>
  <si>
    <t>Customer 376</t>
  </si>
  <si>
    <t>Customer 125</t>
  </si>
  <si>
    <t>Customer 266</t>
  </si>
  <si>
    <t>Customer 152</t>
  </si>
  <si>
    <t>Customer 148</t>
  </si>
  <si>
    <t>Customer 420</t>
  </si>
  <si>
    <t>Customer 46</t>
  </si>
  <si>
    <t>Customer 310</t>
  </si>
  <si>
    <t>Customer 440</t>
  </si>
  <si>
    <t>Customer 121</t>
  </si>
  <si>
    <t>Customer 350</t>
  </si>
  <si>
    <t>Customer 74</t>
  </si>
  <si>
    <t>Customer 189</t>
  </si>
  <si>
    <t>Customer 317</t>
  </si>
  <si>
    <t>Customer 114</t>
  </si>
  <si>
    <t>Customer 184</t>
  </si>
  <si>
    <t>Customer 254</t>
  </si>
  <si>
    <t>Customer 228</t>
  </si>
  <si>
    <t>Customer 187</t>
  </si>
  <si>
    <t>Customer 464</t>
  </si>
  <si>
    <t>Customer 483</t>
  </si>
  <si>
    <t>Customer 345</t>
  </si>
  <si>
    <t>Customer 269</t>
  </si>
  <si>
    <t>Customer 73</t>
  </si>
  <si>
    <t>Customer 478</t>
  </si>
  <si>
    <t>Customer 13</t>
  </si>
  <si>
    <t>Customer 42</t>
  </si>
  <si>
    <t>Customer 133</t>
  </si>
  <si>
    <t>Customer 267</t>
  </si>
  <si>
    <t>Customer 448</t>
  </si>
  <si>
    <t>Customer 206</t>
  </si>
  <si>
    <t>Customer 291</t>
  </si>
  <si>
    <t>Customer 367</t>
  </si>
  <si>
    <t>Customer 43</t>
  </si>
  <si>
    <t>Customer 143</t>
  </si>
  <si>
    <t>Customer 343</t>
  </si>
  <si>
    <t>Customer 99</t>
  </si>
  <si>
    <t>Customer 386</t>
  </si>
  <si>
    <t>Customer 456</t>
  </si>
  <si>
    <t>Customer 309</t>
  </si>
  <si>
    <t>Customer 347</t>
  </si>
  <si>
    <t>Customer 158</t>
  </si>
  <si>
    <t>Customer 83</t>
  </si>
  <si>
    <t>Customer 340</t>
  </si>
  <si>
    <t>Customer 157</t>
  </si>
  <si>
    <t>Customer 35</t>
  </si>
  <si>
    <t>Customer 434</t>
  </si>
  <si>
    <t>Customer 170</t>
  </si>
  <si>
    <t>Customer 29</t>
  </si>
  <si>
    <t>Customer 370</t>
  </si>
  <si>
    <t>Customer 107</t>
  </si>
  <si>
    <t>Customer 488</t>
  </si>
  <si>
    <t>Customer 460</t>
  </si>
  <si>
    <t>Customer 150</t>
  </si>
  <si>
    <t>Customer 31</t>
  </si>
  <si>
    <t>Customer 477</t>
  </si>
  <si>
    <t>Customer 364</t>
  </si>
  <si>
    <t>Customer 277</t>
  </si>
  <si>
    <t>Customer 104</t>
  </si>
  <si>
    <t>Customer 180</t>
  </si>
  <si>
    <t>Customer 285</t>
  </si>
  <si>
    <t>Customer 319</t>
  </si>
  <si>
    <t>Customer 412</t>
  </si>
  <si>
    <t>Customer 426</t>
  </si>
  <si>
    <t>Customer 23</t>
  </si>
  <si>
    <t>Customer 216</t>
  </si>
  <si>
    <t>Customer 70</t>
  </si>
  <si>
    <t>Customer 235</t>
  </si>
  <si>
    <t>Customer 123</t>
  </si>
  <si>
    <t>Customer 487</t>
  </si>
  <si>
    <t>Customer 119</t>
  </si>
  <si>
    <t>Customer 28</t>
  </si>
  <si>
    <t>Customer 405</t>
  </si>
  <si>
    <t>Customer 81</t>
  </si>
  <si>
    <t>Customer 446</t>
  </si>
  <si>
    <t>Customer 410</t>
  </si>
  <si>
    <t>Customer 100</t>
  </si>
  <si>
    <t>Customer 500</t>
  </si>
  <si>
    <t>Customer 176</t>
  </si>
  <si>
    <t>Customer 333</t>
  </si>
  <si>
    <t>Customer 492</t>
  </si>
  <si>
    <t>Customer 9</t>
  </si>
  <si>
    <t>Customer 174</t>
  </si>
  <si>
    <t>Customer 59</t>
  </si>
  <si>
    <t>Customer 91</t>
  </si>
  <si>
    <t>Customer 435</t>
  </si>
  <si>
    <t>Customer 79</t>
  </si>
  <si>
    <t>Customer 442</t>
  </si>
  <si>
    <t>Customer 108</t>
  </si>
  <si>
    <t>Customer 101</t>
  </si>
  <si>
    <t>Customer 375</t>
  </si>
  <si>
    <t>Customer 110</t>
  </si>
  <si>
    <t>Customer 205</t>
  </si>
  <si>
    <t>Customer 398</t>
  </si>
  <si>
    <t>Customer 437</t>
  </si>
  <si>
    <t>Customer 401</t>
  </si>
  <si>
    <t>Customer 204</t>
  </si>
  <si>
    <t>Customer 287</t>
  </si>
  <si>
    <t>Customer 369</t>
  </si>
  <si>
    <t>Customer 160</t>
  </si>
  <si>
    <t>Customer 353</t>
  </si>
  <si>
    <t>Customer 292</t>
  </si>
  <si>
    <t>Customer 251</t>
  </si>
  <si>
    <t>Customer 153</t>
  </si>
  <si>
    <t>Customer 294</t>
  </si>
  <si>
    <t>Customer 62</t>
  </si>
  <si>
    <t>Customer 416</t>
  </si>
  <si>
    <t>Customer 494</t>
  </si>
  <si>
    <t>Customer 457</t>
  </si>
  <si>
    <t>Customer 130</t>
  </si>
  <si>
    <t>Customer 200</t>
  </si>
  <si>
    <t>Customer 430</t>
  </si>
  <si>
    <t>Customer 77</t>
  </si>
  <si>
    <t>Customer 462</t>
  </si>
  <si>
    <t>Customer 423</t>
  </si>
  <si>
    <t>Customer 236</t>
  </si>
  <si>
    <t>Customer 18</t>
  </si>
  <si>
    <t>Customer 439</t>
  </si>
  <si>
    <t>Customer 47</t>
  </si>
  <si>
    <t>Customer 222</t>
  </si>
  <si>
    <t>Wholesale</t>
  </si>
  <si>
    <t>Retail</t>
  </si>
  <si>
    <t>Surulere</t>
  </si>
  <si>
    <t>Ogba</t>
  </si>
  <si>
    <t>Yaba</t>
  </si>
  <si>
    <t>Ikeja</t>
  </si>
  <si>
    <t>Profit Margin (%)</t>
  </si>
  <si>
    <t>Month</t>
  </si>
  <si>
    <t>Year</t>
  </si>
  <si>
    <t>Week Number</t>
  </si>
  <si>
    <t>Row Labels</t>
  </si>
  <si>
    <t>Sum of Profit</t>
  </si>
  <si>
    <t>Grand Total</t>
  </si>
  <si>
    <t>Sum of Total Revenue</t>
  </si>
  <si>
    <t>Sum of Quantity</t>
  </si>
  <si>
    <t>Jan</t>
  </si>
  <si>
    <t>Feb</t>
  </si>
  <si>
    <t>Mar</t>
  </si>
  <si>
    <t>Apr</t>
  </si>
  <si>
    <t>May</t>
  </si>
  <si>
    <t>Jun</t>
  </si>
  <si>
    <t>Jul</t>
  </si>
  <si>
    <t>Aug</t>
  </si>
  <si>
    <t>Sep</t>
  </si>
  <si>
    <t>Oct</t>
  </si>
  <si>
    <t>Nov</t>
  </si>
  <si>
    <t>Dec</t>
  </si>
  <si>
    <t>Total Profit</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</si>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</sst>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20"/>
      <color theme="1"/>
      <name val="Times New Roman"/>
      <family val="1"/>
    </font>
    <font>
      <b/>
      <sz val="20"/>
      <color theme="1"/>
      <name val="Cambria"/>
      <family val="1"/>
      <scheme val="major"/>
    </font>
  </fonts>
  <fills count="7">
    <fill>
      <patternFill patternType="none"/>
    </fill>
    <fill>
      <patternFill patternType="gray125"/>
    </fill>
    <fill>
      <patternFill patternType="solid">
        <fgColor theme="3"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5">
    <xf numFmtId="0" fontId="0" fillId="0" borderId="0" xfId="0"/>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10" fontId="1" fillId="0" borderId="2"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43" fontId="0" fillId="0" borderId="0" xfId="1" applyFont="1"/>
    <xf numFmtId="43" fontId="4" fillId="2" borderId="1" xfId="1" applyFont="1" applyFill="1" applyBorder="1" applyAlignment="1">
      <alignment horizontal="center"/>
    </xf>
    <xf numFmtId="43" fontId="4" fillId="3" borderId="1" xfId="1" applyFont="1" applyFill="1" applyBorder="1" applyAlignment="1">
      <alignment horizontal="center"/>
    </xf>
    <xf numFmtId="43" fontId="4" fillId="4" borderId="1" xfId="1" applyFont="1" applyFill="1" applyBorder="1" applyAlignment="1">
      <alignment horizontal="center"/>
    </xf>
    <xf numFmtId="0" fontId="3" fillId="5" borderId="1" xfId="0" applyFont="1" applyFill="1" applyBorder="1" applyAlignment="1">
      <alignment horizontal="center"/>
    </xf>
    <xf numFmtId="9" fontId="3" fillId="6" borderId="1" xfId="2" applyFont="1" applyFill="1" applyBorder="1" applyAlignment="1">
      <alignment horizontal="center"/>
    </xf>
    <xf numFmtId="2" fontId="0" fillId="0" borderId="0" xfId="0" applyNumberFormat="1"/>
  </cellXfs>
  <cellStyles count="3">
    <cellStyle name="Comma" xfId="1" builtinId="3"/>
    <cellStyle name="Normal" xfId="0" builtinId="0"/>
    <cellStyle name="Percent" xfId="2" builtinId="5"/>
  </cellStyles>
  <dxfs count="18">
    <dxf>
      <numFmt numFmtId="0" formatCode="General"/>
    </dxf>
    <dxf>
      <numFmt numFmtId="0" formatCode="General"/>
    </dxf>
    <dxf>
      <numFmt numFmtId="14" formatCode="0.00%"/>
    </dxf>
    <dxf>
      <numFmt numFmtId="14" formatCode="0.0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5" formatCode="_(* #,##0.00_);_(* \(#,##0.00\);_(*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35" formatCode="_(* #,##0.00_);_(* \(#,##0.0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Analysis &amp; Dashboard.xlsx]Monthly Revenue Trend!PivotTable3</c:name>
    <c:fmtId val="3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r>
              <a:rPr lang="en-US" baseline="0"/>
              <a:t> Trend</a:t>
            </a:r>
            <a:endParaRPr lang="en-US"/>
          </a:p>
        </c:rich>
      </c:tx>
      <c:layout>
        <c:manualLayout>
          <c:xMode val="edge"/>
          <c:yMode val="edge"/>
          <c:x val="0.24142344706911636"/>
          <c:y val="0.276757072032662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35617891513560807"/>
          <c:w val="0.74392082239720025"/>
          <c:h val="0.45873869932925049"/>
        </c:manualLayout>
      </c:layout>
      <c:line3DChart>
        <c:grouping val="standard"/>
        <c:varyColors val="0"/>
        <c:ser>
          <c:idx val="0"/>
          <c:order val="0"/>
          <c:tx>
            <c:strRef>
              <c:f>'Monthly Revenue Trend'!$B$3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'Monthly Revenue Trend'!$A$4:$A$16</c:f>
              <c:strCache>
                <c:ptCount val="12"/>
                <c:pt idx="0">
                  <c:v>Jan</c:v>
                </c:pt>
                <c:pt idx="1">
                  <c:v>Jun</c:v>
                </c:pt>
                <c:pt idx="2">
                  <c:v>Aug</c:v>
                </c:pt>
                <c:pt idx="3">
                  <c:v>Apr</c:v>
                </c:pt>
                <c:pt idx="4">
                  <c:v>Dec</c:v>
                </c:pt>
                <c:pt idx="5">
                  <c:v>Jul</c:v>
                </c:pt>
                <c:pt idx="6">
                  <c:v>Nov</c:v>
                </c:pt>
                <c:pt idx="7">
                  <c:v>May</c:v>
                </c:pt>
                <c:pt idx="8">
                  <c:v>Oct</c:v>
                </c:pt>
                <c:pt idx="9">
                  <c:v>Mar</c:v>
                </c:pt>
                <c:pt idx="10">
                  <c:v>Feb</c:v>
                </c:pt>
                <c:pt idx="11">
                  <c:v>Sep</c:v>
                </c:pt>
              </c:strCache>
            </c:strRef>
          </c:cat>
          <c:val>
            <c:numRef>
              <c:f>'Monthly Revenue Trend'!$B$4:$B$16</c:f>
              <c:numCache>
                <c:formatCode>0.00</c:formatCode>
                <c:ptCount val="12"/>
                <c:pt idx="0">
                  <c:v>2686978.0999999992</c:v>
                </c:pt>
                <c:pt idx="1">
                  <c:v>2685187.9</c:v>
                </c:pt>
                <c:pt idx="2">
                  <c:v>2574884.8000000003</c:v>
                </c:pt>
                <c:pt idx="3">
                  <c:v>2544386.6</c:v>
                </c:pt>
                <c:pt idx="4">
                  <c:v>2530377.7000000002</c:v>
                </c:pt>
                <c:pt idx="5">
                  <c:v>2518560.6999999997</c:v>
                </c:pt>
                <c:pt idx="6">
                  <c:v>2512191.4</c:v>
                </c:pt>
                <c:pt idx="7">
                  <c:v>2358401.9499999997</c:v>
                </c:pt>
                <c:pt idx="8">
                  <c:v>2306676.85</c:v>
                </c:pt>
                <c:pt idx="9">
                  <c:v>2124026.1</c:v>
                </c:pt>
                <c:pt idx="10">
                  <c:v>2060277.3499999996</c:v>
                </c:pt>
                <c:pt idx="11">
                  <c:v>1975917.5999999999</c:v>
                </c:pt>
              </c:numCache>
            </c:numRef>
          </c:val>
          <c:smooth val="0"/>
          <c:extLst>
            <c:ext xmlns:c16="http://schemas.microsoft.com/office/drawing/2014/chart" uri="{C3380CC4-5D6E-409C-BE32-E72D297353CC}">
              <c16:uniqueId val="{00000000-CF86-452B-AC0B-505CE4396A53}"/>
            </c:ext>
          </c:extLst>
        </c:ser>
        <c:dLbls>
          <c:showLegendKey val="0"/>
          <c:showVal val="0"/>
          <c:showCatName val="0"/>
          <c:showSerName val="0"/>
          <c:showPercent val="0"/>
          <c:showBubbleSize val="0"/>
        </c:dLbls>
        <c:axId val="1595662319"/>
        <c:axId val="1595663759"/>
        <c:axId val="952646351"/>
      </c:line3DChart>
      <c:catAx>
        <c:axId val="159566231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663759"/>
        <c:crosses val="autoZero"/>
        <c:auto val="1"/>
        <c:lblAlgn val="ctr"/>
        <c:lblOffset val="100"/>
        <c:noMultiLvlLbl val="0"/>
      </c:catAx>
      <c:valAx>
        <c:axId val="1595663759"/>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out"/>
        <c:minorTickMark val="none"/>
        <c:tickLblPos val="nextTo"/>
        <c:spPr>
          <a:noFill/>
          <a:ln>
            <a:gradFill>
              <a:gsLst>
                <a:gs pos="72000">
                  <a:srgbClr val="FFFF00"/>
                </a:gs>
                <a:gs pos="70000">
                  <a:srgbClr val="C9D9EB"/>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662319"/>
        <c:crosses val="autoZero"/>
        <c:crossBetween val="between"/>
      </c:valAx>
      <c:serAx>
        <c:axId val="95264635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5663759"/>
        <c:crosses val="autoZero"/>
      </c:ser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&amp; Dashboard.xlsx]Product Category Summary!PivotTable6</c:name>
    <c:fmtId val="4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Products</a:t>
            </a:r>
            <a:endParaRPr lang="en-US"/>
          </a:p>
        </c:rich>
      </c:tx>
      <c:layout>
        <c:manualLayout>
          <c:xMode val="edge"/>
          <c:yMode val="edge"/>
          <c:x val="0.57030764700853886"/>
          <c:y val="4.064596092155147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Category Summary'!$B$3</c:f>
              <c:strCache>
                <c:ptCount val="1"/>
                <c:pt idx="0">
                  <c:v>Sum of Total Revenue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'Product Category Summary'!$A$4:$A$10</c:f>
              <c:strCache>
                <c:ptCount val="6"/>
                <c:pt idx="0">
                  <c:v>Food</c:v>
                </c:pt>
                <c:pt idx="1">
                  <c:v>Soup</c:v>
                </c:pt>
                <c:pt idx="2">
                  <c:v>Drink</c:v>
                </c:pt>
                <c:pt idx="3">
                  <c:v>Bakery</c:v>
                </c:pt>
                <c:pt idx="4">
                  <c:v>Snack</c:v>
                </c:pt>
                <c:pt idx="5">
                  <c:v>Grocery</c:v>
                </c:pt>
              </c:strCache>
            </c:strRef>
          </c:cat>
          <c:val>
            <c:numRef>
              <c:f>'Product Category Summary'!$B$4:$B$10</c:f>
              <c:numCache>
                <c:formatCode>_(* #,##0.00_);_(* \(#,##0.00\);_(* "-"??_);_(@_)</c:formatCode>
                <c:ptCount val="6"/>
                <c:pt idx="0">
                  <c:v>6446120.6000000006</c:v>
                </c:pt>
                <c:pt idx="1">
                  <c:v>5674509.25</c:v>
                </c:pt>
                <c:pt idx="2">
                  <c:v>5625613.6999999993</c:v>
                </c:pt>
                <c:pt idx="3">
                  <c:v>5345627.05</c:v>
                </c:pt>
                <c:pt idx="4">
                  <c:v>2978521.8999999994</c:v>
                </c:pt>
                <c:pt idx="5">
                  <c:v>2807474.5500000003</c:v>
                </c:pt>
              </c:numCache>
            </c:numRef>
          </c:val>
          <c:extLst>
            <c:ext xmlns:c16="http://schemas.microsoft.com/office/drawing/2014/chart" uri="{C3380CC4-5D6E-409C-BE32-E72D297353CC}">
              <c16:uniqueId val="{00000000-3A27-41CA-ABA1-CCA9FF2455B2}"/>
            </c:ext>
          </c:extLst>
        </c:ser>
        <c:ser>
          <c:idx val="1"/>
          <c:order val="1"/>
          <c:tx>
            <c:strRef>
              <c:f>'Product Category Summary'!$C$3</c:f>
              <c:strCache>
                <c:ptCount val="1"/>
                <c:pt idx="0">
                  <c:v>Sum of Profit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'Product Category Summary'!$A$4:$A$10</c:f>
              <c:strCache>
                <c:ptCount val="6"/>
                <c:pt idx="0">
                  <c:v>Food</c:v>
                </c:pt>
                <c:pt idx="1">
                  <c:v>Soup</c:v>
                </c:pt>
                <c:pt idx="2">
                  <c:v>Drink</c:v>
                </c:pt>
                <c:pt idx="3">
                  <c:v>Bakery</c:v>
                </c:pt>
                <c:pt idx="4">
                  <c:v>Snack</c:v>
                </c:pt>
                <c:pt idx="5">
                  <c:v>Grocery</c:v>
                </c:pt>
              </c:strCache>
            </c:strRef>
          </c:cat>
          <c:val>
            <c:numRef>
              <c:f>'Product Category Summary'!$C$4:$C$10</c:f>
              <c:numCache>
                <c:formatCode>_(* #,##0.00_);_(* \(#,##0.00\);_(* "-"??_);_(@_)</c:formatCode>
                <c:ptCount val="6"/>
                <c:pt idx="0">
                  <c:v>1972059.3900000004</c:v>
                </c:pt>
                <c:pt idx="1">
                  <c:v>1701833.9700000002</c:v>
                </c:pt>
                <c:pt idx="2">
                  <c:v>1694789.0599999998</c:v>
                </c:pt>
                <c:pt idx="3">
                  <c:v>1565813.7000000007</c:v>
                </c:pt>
                <c:pt idx="4">
                  <c:v>937308.30999999994</c:v>
                </c:pt>
                <c:pt idx="5">
                  <c:v>812065.07999999973</c:v>
                </c:pt>
              </c:numCache>
            </c:numRef>
          </c:val>
          <c:extLst>
            <c:ext xmlns:c16="http://schemas.microsoft.com/office/drawing/2014/chart" uri="{C3380CC4-5D6E-409C-BE32-E72D297353CC}">
              <c16:uniqueId val="{00000001-3A27-41CA-ABA1-CCA9FF2455B2}"/>
            </c:ext>
          </c:extLst>
        </c:ser>
        <c:dLbls>
          <c:showLegendKey val="0"/>
          <c:showVal val="0"/>
          <c:showCatName val="0"/>
          <c:showSerName val="0"/>
          <c:showPercent val="0"/>
          <c:showBubbleSize val="0"/>
        </c:dLbls>
        <c:gapWidth val="65"/>
        <c:shape val="box"/>
        <c:axId val="1595624399"/>
        <c:axId val="1595632559"/>
        <c:axId val="0"/>
      </c:bar3DChart>
      <c:catAx>
        <c:axId val="1595624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5632559"/>
        <c:crosses val="autoZero"/>
        <c:auto val="1"/>
        <c:lblAlgn val="ctr"/>
        <c:lblOffset val="100"/>
        <c:noMultiLvlLbl val="0"/>
      </c:catAx>
      <c:valAx>
        <c:axId val="1595632559"/>
        <c:scaling>
          <c:orientation val="minMax"/>
        </c:scaling>
        <c:delete val="0"/>
        <c:axPos val="b"/>
        <c:majorGridlines>
          <c:spPr>
            <a:ln w="9525" cap="flat" cmpd="sng" algn="ctr">
              <a:solidFill>
                <a:schemeClr val="dk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5624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&amp; Dashboard.xlsx]Top Customers!PivotTable4</c:name>
    <c:fmtId val="2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Customers'!$B$3</c:f>
              <c:strCache>
                <c:ptCount val="1"/>
                <c:pt idx="0">
                  <c:v>Sum of Total Revenue</c:v>
                </c:pt>
              </c:strCache>
            </c:strRef>
          </c:tx>
          <c:spPr>
            <a:solidFill>
              <a:schemeClr val="accent1"/>
            </a:solidFill>
            <a:ln>
              <a:noFill/>
            </a:ln>
            <a:effectLst/>
            <a:sp3d/>
          </c:spPr>
          <c:invertIfNegative val="0"/>
          <c:cat>
            <c:strRef>
              <c:f>'Top Customers'!$A$4:$A$497</c:f>
              <c:strCache>
                <c:ptCount val="493"/>
                <c:pt idx="0">
                  <c:v>Customer 421</c:v>
                </c:pt>
                <c:pt idx="1">
                  <c:v>Customer 313</c:v>
                </c:pt>
                <c:pt idx="2">
                  <c:v>Customer 51</c:v>
                </c:pt>
                <c:pt idx="3">
                  <c:v>Customer 348</c:v>
                </c:pt>
                <c:pt idx="4">
                  <c:v>Customer 427</c:v>
                </c:pt>
                <c:pt idx="5">
                  <c:v>Customer 161</c:v>
                </c:pt>
                <c:pt idx="6">
                  <c:v>Customer 286</c:v>
                </c:pt>
                <c:pt idx="7">
                  <c:v>Customer 89</c:v>
                </c:pt>
                <c:pt idx="8">
                  <c:v>Customer 496</c:v>
                </c:pt>
                <c:pt idx="9">
                  <c:v>Customer 76</c:v>
                </c:pt>
                <c:pt idx="10">
                  <c:v>Customer 136</c:v>
                </c:pt>
                <c:pt idx="11">
                  <c:v>Customer 482</c:v>
                </c:pt>
                <c:pt idx="12">
                  <c:v>Customer 36</c:v>
                </c:pt>
                <c:pt idx="13">
                  <c:v>Customer 383</c:v>
                </c:pt>
                <c:pt idx="14">
                  <c:v>Customer 24</c:v>
                </c:pt>
                <c:pt idx="15">
                  <c:v>Customer 434</c:v>
                </c:pt>
                <c:pt idx="16">
                  <c:v>Customer 407</c:v>
                </c:pt>
                <c:pt idx="17">
                  <c:v>Customer 438</c:v>
                </c:pt>
                <c:pt idx="18">
                  <c:v>Customer 391</c:v>
                </c:pt>
                <c:pt idx="19">
                  <c:v>Customer 6</c:v>
                </c:pt>
                <c:pt idx="20">
                  <c:v>Customer 389</c:v>
                </c:pt>
                <c:pt idx="21">
                  <c:v>Customer 120</c:v>
                </c:pt>
                <c:pt idx="22">
                  <c:v>Customer 479</c:v>
                </c:pt>
                <c:pt idx="23">
                  <c:v>Customer 347</c:v>
                </c:pt>
                <c:pt idx="24">
                  <c:v>Customer 2</c:v>
                </c:pt>
                <c:pt idx="25">
                  <c:v>Customer 129</c:v>
                </c:pt>
                <c:pt idx="26">
                  <c:v>Customer 71</c:v>
                </c:pt>
                <c:pt idx="27">
                  <c:v>Customer 193</c:v>
                </c:pt>
                <c:pt idx="28">
                  <c:v>Customer 196</c:v>
                </c:pt>
                <c:pt idx="29">
                  <c:v>Customer 297</c:v>
                </c:pt>
                <c:pt idx="30">
                  <c:v>Customer 460</c:v>
                </c:pt>
                <c:pt idx="31">
                  <c:v>Customer 101</c:v>
                </c:pt>
                <c:pt idx="32">
                  <c:v>Customer 102</c:v>
                </c:pt>
                <c:pt idx="33">
                  <c:v>Customer 399</c:v>
                </c:pt>
                <c:pt idx="34">
                  <c:v>Customer 418</c:v>
                </c:pt>
                <c:pt idx="35">
                  <c:v>Customer 249</c:v>
                </c:pt>
                <c:pt idx="36">
                  <c:v>Customer 210</c:v>
                </c:pt>
                <c:pt idx="37">
                  <c:v>Customer 360</c:v>
                </c:pt>
                <c:pt idx="38">
                  <c:v>Customer 404</c:v>
                </c:pt>
                <c:pt idx="39">
                  <c:v>Customer 237</c:v>
                </c:pt>
                <c:pt idx="40">
                  <c:v>Customer 173</c:v>
                </c:pt>
                <c:pt idx="41">
                  <c:v>Customer 271</c:v>
                </c:pt>
                <c:pt idx="42">
                  <c:v>Customer 168</c:v>
                </c:pt>
                <c:pt idx="43">
                  <c:v>Customer 308</c:v>
                </c:pt>
                <c:pt idx="44">
                  <c:v>Customer 154</c:v>
                </c:pt>
                <c:pt idx="45">
                  <c:v>Customer 473</c:v>
                </c:pt>
                <c:pt idx="46">
                  <c:v>Customer 380</c:v>
                </c:pt>
                <c:pt idx="47">
                  <c:v>Customer 474</c:v>
                </c:pt>
                <c:pt idx="48">
                  <c:v>Customer 299</c:v>
                </c:pt>
                <c:pt idx="49">
                  <c:v>Customer 126</c:v>
                </c:pt>
                <c:pt idx="50">
                  <c:v>Customer 134</c:v>
                </c:pt>
                <c:pt idx="51">
                  <c:v>Customer 321</c:v>
                </c:pt>
                <c:pt idx="52">
                  <c:v>Customer 498</c:v>
                </c:pt>
                <c:pt idx="53">
                  <c:v>Customer 63</c:v>
                </c:pt>
                <c:pt idx="54">
                  <c:v>Customer 38</c:v>
                </c:pt>
                <c:pt idx="55">
                  <c:v>Customer 8</c:v>
                </c:pt>
                <c:pt idx="56">
                  <c:v>Customer 39</c:v>
                </c:pt>
                <c:pt idx="57">
                  <c:v>Customer 467</c:v>
                </c:pt>
                <c:pt idx="58">
                  <c:v>Customer 25</c:v>
                </c:pt>
                <c:pt idx="59">
                  <c:v>Customer 156</c:v>
                </c:pt>
                <c:pt idx="60">
                  <c:v>Customer 390</c:v>
                </c:pt>
                <c:pt idx="61">
                  <c:v>Customer 436</c:v>
                </c:pt>
                <c:pt idx="62">
                  <c:v>Customer 373</c:v>
                </c:pt>
                <c:pt idx="63">
                  <c:v>Customer 209</c:v>
                </c:pt>
                <c:pt idx="64">
                  <c:v>Customer 224</c:v>
                </c:pt>
                <c:pt idx="65">
                  <c:v>Customer 327</c:v>
                </c:pt>
                <c:pt idx="66">
                  <c:v>Customer 34</c:v>
                </c:pt>
                <c:pt idx="67">
                  <c:v>Customer 447</c:v>
                </c:pt>
                <c:pt idx="68">
                  <c:v>Customer 355</c:v>
                </c:pt>
                <c:pt idx="69">
                  <c:v>Customer 446</c:v>
                </c:pt>
                <c:pt idx="70">
                  <c:v>Customer 409</c:v>
                </c:pt>
                <c:pt idx="71">
                  <c:v>Customer 283</c:v>
                </c:pt>
                <c:pt idx="72">
                  <c:v>Customer 214</c:v>
                </c:pt>
                <c:pt idx="73">
                  <c:v>Customer 30</c:v>
                </c:pt>
                <c:pt idx="74">
                  <c:v>Customer 57</c:v>
                </c:pt>
                <c:pt idx="75">
                  <c:v>Customer 480</c:v>
                </c:pt>
                <c:pt idx="76">
                  <c:v>Customer 82</c:v>
                </c:pt>
                <c:pt idx="77">
                  <c:v>Customer 92</c:v>
                </c:pt>
                <c:pt idx="78">
                  <c:v>Customer 78</c:v>
                </c:pt>
                <c:pt idx="79">
                  <c:v>Customer 243</c:v>
                </c:pt>
                <c:pt idx="80">
                  <c:v>Customer 396</c:v>
                </c:pt>
                <c:pt idx="81">
                  <c:v>Customer 289</c:v>
                </c:pt>
                <c:pt idx="82">
                  <c:v>Customer 230</c:v>
                </c:pt>
                <c:pt idx="83">
                  <c:v>Customer 489</c:v>
                </c:pt>
                <c:pt idx="84">
                  <c:v>Customer 81</c:v>
                </c:pt>
                <c:pt idx="85">
                  <c:v>Customer 54</c:v>
                </c:pt>
                <c:pt idx="86">
                  <c:v>Customer 359</c:v>
                </c:pt>
                <c:pt idx="87">
                  <c:v>Customer 177</c:v>
                </c:pt>
                <c:pt idx="88">
                  <c:v>Customer 323</c:v>
                </c:pt>
                <c:pt idx="89">
                  <c:v>Customer 242</c:v>
                </c:pt>
                <c:pt idx="90">
                  <c:v>Customer 241</c:v>
                </c:pt>
                <c:pt idx="91">
                  <c:v>Customer 127</c:v>
                </c:pt>
                <c:pt idx="92">
                  <c:v>Customer 26</c:v>
                </c:pt>
                <c:pt idx="93">
                  <c:v>Customer 53</c:v>
                </c:pt>
                <c:pt idx="94">
                  <c:v>Customer 454</c:v>
                </c:pt>
                <c:pt idx="95">
                  <c:v>Customer 461</c:v>
                </c:pt>
                <c:pt idx="96">
                  <c:v>Customer 244</c:v>
                </c:pt>
                <c:pt idx="97">
                  <c:v>Customer 197</c:v>
                </c:pt>
                <c:pt idx="98">
                  <c:v>Customer 374</c:v>
                </c:pt>
                <c:pt idx="99">
                  <c:v>Customer 10</c:v>
                </c:pt>
                <c:pt idx="100">
                  <c:v>Customer 280</c:v>
                </c:pt>
                <c:pt idx="101">
                  <c:v>Customer 290</c:v>
                </c:pt>
                <c:pt idx="102">
                  <c:v>Customer 424</c:v>
                </c:pt>
                <c:pt idx="103">
                  <c:v>Customer 475</c:v>
                </c:pt>
                <c:pt idx="104">
                  <c:v>Customer 264</c:v>
                </c:pt>
                <c:pt idx="105">
                  <c:v>Customer 140</c:v>
                </c:pt>
                <c:pt idx="106">
                  <c:v>Customer 257</c:v>
                </c:pt>
                <c:pt idx="107">
                  <c:v>Customer 97</c:v>
                </c:pt>
                <c:pt idx="108">
                  <c:v>Customer 199</c:v>
                </c:pt>
                <c:pt idx="109">
                  <c:v>Customer 276</c:v>
                </c:pt>
                <c:pt idx="110">
                  <c:v>Customer 493</c:v>
                </c:pt>
                <c:pt idx="111">
                  <c:v>Customer 212</c:v>
                </c:pt>
                <c:pt idx="112">
                  <c:v>Customer 422</c:v>
                </c:pt>
                <c:pt idx="113">
                  <c:v>Customer 435</c:v>
                </c:pt>
                <c:pt idx="114">
                  <c:v>Customer 201</c:v>
                </c:pt>
                <c:pt idx="115">
                  <c:v>Customer 338</c:v>
                </c:pt>
                <c:pt idx="116">
                  <c:v>Customer 300</c:v>
                </c:pt>
                <c:pt idx="117">
                  <c:v>Customer 5</c:v>
                </c:pt>
                <c:pt idx="118">
                  <c:v>Customer 262</c:v>
                </c:pt>
                <c:pt idx="119">
                  <c:v>Customer 182</c:v>
                </c:pt>
                <c:pt idx="120">
                  <c:v>Customer 189</c:v>
                </c:pt>
                <c:pt idx="121">
                  <c:v>Customer 329</c:v>
                </c:pt>
                <c:pt idx="122">
                  <c:v>Customer 245</c:v>
                </c:pt>
                <c:pt idx="123">
                  <c:v>Customer 311</c:v>
                </c:pt>
                <c:pt idx="124">
                  <c:v>Customer 305</c:v>
                </c:pt>
                <c:pt idx="125">
                  <c:v>Customer 40</c:v>
                </c:pt>
                <c:pt idx="126">
                  <c:v>Customer 178</c:v>
                </c:pt>
                <c:pt idx="127">
                  <c:v>Customer 495</c:v>
                </c:pt>
                <c:pt idx="128">
                  <c:v>Customer 116</c:v>
                </c:pt>
                <c:pt idx="129">
                  <c:v>Customer 324</c:v>
                </c:pt>
                <c:pt idx="130">
                  <c:v>Customer 50</c:v>
                </c:pt>
                <c:pt idx="131">
                  <c:v>Customer 341</c:v>
                </c:pt>
                <c:pt idx="132">
                  <c:v>Customer 336</c:v>
                </c:pt>
                <c:pt idx="133">
                  <c:v>Customer 218</c:v>
                </c:pt>
                <c:pt idx="134">
                  <c:v>Customer 85</c:v>
                </c:pt>
                <c:pt idx="135">
                  <c:v>Customer 403</c:v>
                </c:pt>
                <c:pt idx="136">
                  <c:v>Customer 162</c:v>
                </c:pt>
                <c:pt idx="137">
                  <c:v>Customer 490</c:v>
                </c:pt>
                <c:pt idx="138">
                  <c:v>Customer 274</c:v>
                </c:pt>
                <c:pt idx="139">
                  <c:v>Customer 44</c:v>
                </c:pt>
                <c:pt idx="140">
                  <c:v>Customer 459</c:v>
                </c:pt>
                <c:pt idx="141">
                  <c:v>Customer 394</c:v>
                </c:pt>
                <c:pt idx="142">
                  <c:v>Customer 328</c:v>
                </c:pt>
                <c:pt idx="143">
                  <c:v>Customer 185</c:v>
                </c:pt>
                <c:pt idx="144">
                  <c:v>Customer 204</c:v>
                </c:pt>
                <c:pt idx="145">
                  <c:v>Customer 481</c:v>
                </c:pt>
                <c:pt idx="146">
                  <c:v>Customer 472</c:v>
                </c:pt>
                <c:pt idx="147">
                  <c:v>Customer 246</c:v>
                </c:pt>
                <c:pt idx="148">
                  <c:v>Customer 68</c:v>
                </c:pt>
                <c:pt idx="149">
                  <c:v>Customer 285</c:v>
                </c:pt>
                <c:pt idx="150">
                  <c:v>Customer 464</c:v>
                </c:pt>
                <c:pt idx="151">
                  <c:v>Customer 349</c:v>
                </c:pt>
                <c:pt idx="152">
                  <c:v>Customer 48</c:v>
                </c:pt>
                <c:pt idx="153">
                  <c:v>Customer 357</c:v>
                </c:pt>
                <c:pt idx="154">
                  <c:v>Customer 363</c:v>
                </c:pt>
                <c:pt idx="155">
                  <c:v>Customer 500</c:v>
                </c:pt>
                <c:pt idx="156">
                  <c:v>Customer 179</c:v>
                </c:pt>
                <c:pt idx="157">
                  <c:v>Customer 491</c:v>
                </c:pt>
                <c:pt idx="158">
                  <c:v>Customer 139</c:v>
                </c:pt>
                <c:pt idx="159">
                  <c:v>Customer 21</c:v>
                </c:pt>
                <c:pt idx="160">
                  <c:v>Customer 425</c:v>
                </c:pt>
                <c:pt idx="161">
                  <c:v>Customer 125</c:v>
                </c:pt>
                <c:pt idx="162">
                  <c:v>Customer 449</c:v>
                </c:pt>
                <c:pt idx="163">
                  <c:v>Customer 239</c:v>
                </c:pt>
                <c:pt idx="164">
                  <c:v>Customer 255</c:v>
                </c:pt>
                <c:pt idx="165">
                  <c:v>Customer 469</c:v>
                </c:pt>
                <c:pt idx="166">
                  <c:v>Customer 195</c:v>
                </c:pt>
                <c:pt idx="167">
                  <c:v>Customer 11</c:v>
                </c:pt>
                <c:pt idx="168">
                  <c:v>Customer 310</c:v>
                </c:pt>
                <c:pt idx="169">
                  <c:v>Customer 194</c:v>
                </c:pt>
                <c:pt idx="170">
                  <c:v>Customer 135</c:v>
                </c:pt>
                <c:pt idx="171">
                  <c:v>Customer 278</c:v>
                </c:pt>
                <c:pt idx="172">
                  <c:v>Customer 109</c:v>
                </c:pt>
                <c:pt idx="173">
                  <c:v>Customer 301</c:v>
                </c:pt>
                <c:pt idx="174">
                  <c:v>Customer 282</c:v>
                </c:pt>
                <c:pt idx="175">
                  <c:v>Customer 29</c:v>
                </c:pt>
                <c:pt idx="176">
                  <c:v>Customer 96</c:v>
                </c:pt>
                <c:pt idx="177">
                  <c:v>Customer 16</c:v>
                </c:pt>
                <c:pt idx="178">
                  <c:v>Customer 62</c:v>
                </c:pt>
                <c:pt idx="179">
                  <c:v>Customer 100</c:v>
                </c:pt>
                <c:pt idx="180">
                  <c:v>Customer 217</c:v>
                </c:pt>
                <c:pt idx="181">
                  <c:v>Customer 382</c:v>
                </c:pt>
                <c:pt idx="182">
                  <c:v>Customer 42</c:v>
                </c:pt>
                <c:pt idx="183">
                  <c:v>Customer 417</c:v>
                </c:pt>
                <c:pt idx="184">
                  <c:v>Customer 208</c:v>
                </c:pt>
                <c:pt idx="185">
                  <c:v>Customer 157</c:v>
                </c:pt>
                <c:pt idx="186">
                  <c:v>Customer 223</c:v>
                </c:pt>
                <c:pt idx="187">
                  <c:v>Customer 443</c:v>
                </c:pt>
                <c:pt idx="188">
                  <c:v>Customer 106</c:v>
                </c:pt>
                <c:pt idx="189">
                  <c:v>Customer 426</c:v>
                </c:pt>
                <c:pt idx="190">
                  <c:v>Customer 190</c:v>
                </c:pt>
                <c:pt idx="191">
                  <c:v>Customer 340</c:v>
                </c:pt>
                <c:pt idx="192">
                  <c:v>Customer 55</c:v>
                </c:pt>
                <c:pt idx="193">
                  <c:v>Customer 358</c:v>
                </c:pt>
                <c:pt idx="194">
                  <c:v>Customer 322</c:v>
                </c:pt>
                <c:pt idx="195">
                  <c:v>Customer 440</c:v>
                </c:pt>
                <c:pt idx="196">
                  <c:v>Customer 181</c:v>
                </c:pt>
                <c:pt idx="197">
                  <c:v>Customer 128</c:v>
                </c:pt>
                <c:pt idx="198">
                  <c:v>Customer 288</c:v>
                </c:pt>
                <c:pt idx="199">
                  <c:v>Customer 166</c:v>
                </c:pt>
                <c:pt idx="200">
                  <c:v>Customer 131</c:v>
                </c:pt>
                <c:pt idx="201">
                  <c:v>Customer 4</c:v>
                </c:pt>
                <c:pt idx="202">
                  <c:v>Customer 371</c:v>
                </c:pt>
                <c:pt idx="203">
                  <c:v>Customer 452</c:v>
                </c:pt>
                <c:pt idx="204">
                  <c:v>Customer 37</c:v>
                </c:pt>
                <c:pt idx="205">
                  <c:v>Customer 428</c:v>
                </c:pt>
                <c:pt idx="206">
                  <c:v>Customer 451</c:v>
                </c:pt>
                <c:pt idx="207">
                  <c:v>Customer 158</c:v>
                </c:pt>
                <c:pt idx="208">
                  <c:v>Customer 58</c:v>
                </c:pt>
                <c:pt idx="209">
                  <c:v>Customer 261</c:v>
                </c:pt>
                <c:pt idx="210">
                  <c:v>Customer 477</c:v>
                </c:pt>
                <c:pt idx="211">
                  <c:v>Customer 281</c:v>
                </c:pt>
                <c:pt idx="212">
                  <c:v>Customer 265</c:v>
                </c:pt>
                <c:pt idx="213">
                  <c:v>Customer 259</c:v>
                </c:pt>
                <c:pt idx="214">
                  <c:v>Customer 151</c:v>
                </c:pt>
                <c:pt idx="215">
                  <c:v>Customer 352</c:v>
                </c:pt>
                <c:pt idx="216">
                  <c:v>Customer 258</c:v>
                </c:pt>
                <c:pt idx="217">
                  <c:v>Customer 207</c:v>
                </c:pt>
                <c:pt idx="218">
                  <c:v>Customer 266</c:v>
                </c:pt>
                <c:pt idx="219">
                  <c:v>Customer 41</c:v>
                </c:pt>
                <c:pt idx="220">
                  <c:v>Customer 143</c:v>
                </c:pt>
                <c:pt idx="221">
                  <c:v>Customer 22</c:v>
                </c:pt>
                <c:pt idx="222">
                  <c:v>Customer 163</c:v>
                </c:pt>
                <c:pt idx="223">
                  <c:v>Customer 302</c:v>
                </c:pt>
                <c:pt idx="224">
                  <c:v>Customer 362</c:v>
                </c:pt>
                <c:pt idx="225">
                  <c:v>Customer 402</c:v>
                </c:pt>
                <c:pt idx="226">
                  <c:v>Customer 445</c:v>
                </c:pt>
                <c:pt idx="227">
                  <c:v>Customer 369</c:v>
                </c:pt>
                <c:pt idx="228">
                  <c:v>Customer 430</c:v>
                </c:pt>
                <c:pt idx="229">
                  <c:v>Customer 225</c:v>
                </c:pt>
                <c:pt idx="230">
                  <c:v>Customer 229</c:v>
                </c:pt>
                <c:pt idx="231">
                  <c:v>Customer 171</c:v>
                </c:pt>
                <c:pt idx="232">
                  <c:v>Customer 138</c:v>
                </c:pt>
                <c:pt idx="233">
                  <c:v>Customer 72</c:v>
                </c:pt>
                <c:pt idx="234">
                  <c:v>Customer 226</c:v>
                </c:pt>
                <c:pt idx="235">
                  <c:v>Customer 253</c:v>
                </c:pt>
                <c:pt idx="236">
                  <c:v>Customer 7</c:v>
                </c:pt>
                <c:pt idx="237">
                  <c:v>Customer 137</c:v>
                </c:pt>
                <c:pt idx="238">
                  <c:v>Customer 27</c:v>
                </c:pt>
                <c:pt idx="239">
                  <c:v>Customer 88</c:v>
                </c:pt>
                <c:pt idx="240">
                  <c:v>Customer 174</c:v>
                </c:pt>
                <c:pt idx="241">
                  <c:v>Customer 75</c:v>
                </c:pt>
                <c:pt idx="242">
                  <c:v>Customer 256</c:v>
                </c:pt>
                <c:pt idx="243">
                  <c:v>Customer 99</c:v>
                </c:pt>
                <c:pt idx="244">
                  <c:v>Customer 458</c:v>
                </c:pt>
                <c:pt idx="245">
                  <c:v>Customer 316</c:v>
                </c:pt>
                <c:pt idx="246">
                  <c:v>Customer 121</c:v>
                </c:pt>
                <c:pt idx="247">
                  <c:v>Customer 413</c:v>
                </c:pt>
                <c:pt idx="248">
                  <c:v>Customer 471</c:v>
                </c:pt>
                <c:pt idx="249">
                  <c:v>Customer 263</c:v>
                </c:pt>
                <c:pt idx="250">
                  <c:v>Customer 17</c:v>
                </c:pt>
                <c:pt idx="251">
                  <c:v>Customer 275</c:v>
                </c:pt>
                <c:pt idx="252">
                  <c:v>Customer 49</c:v>
                </c:pt>
                <c:pt idx="253">
                  <c:v>Customer 164</c:v>
                </c:pt>
                <c:pt idx="254">
                  <c:v>Customer 296</c:v>
                </c:pt>
                <c:pt idx="255">
                  <c:v>Customer 332</c:v>
                </c:pt>
                <c:pt idx="256">
                  <c:v>Customer 317</c:v>
                </c:pt>
                <c:pt idx="257">
                  <c:v>Customer 176</c:v>
                </c:pt>
                <c:pt idx="258">
                  <c:v>Customer 356</c:v>
                </c:pt>
                <c:pt idx="259">
                  <c:v>Customer 31</c:v>
                </c:pt>
                <c:pt idx="260">
                  <c:v>Customer 61</c:v>
                </c:pt>
                <c:pt idx="261">
                  <c:v>Customer 364</c:v>
                </c:pt>
                <c:pt idx="262">
                  <c:v>Customer 80</c:v>
                </c:pt>
                <c:pt idx="263">
                  <c:v>Customer 155</c:v>
                </c:pt>
                <c:pt idx="264">
                  <c:v>Customer 392</c:v>
                </c:pt>
                <c:pt idx="265">
                  <c:v>Customer 188</c:v>
                </c:pt>
                <c:pt idx="266">
                  <c:v>Customer 499</c:v>
                </c:pt>
                <c:pt idx="267">
                  <c:v>Customer 466</c:v>
                </c:pt>
                <c:pt idx="268">
                  <c:v>Customer 309</c:v>
                </c:pt>
                <c:pt idx="269">
                  <c:v>Customer 497</c:v>
                </c:pt>
                <c:pt idx="270">
                  <c:v>Customer 337</c:v>
                </c:pt>
                <c:pt idx="271">
                  <c:v>Customer 486</c:v>
                </c:pt>
                <c:pt idx="272">
                  <c:v>Customer 79</c:v>
                </c:pt>
                <c:pt idx="273">
                  <c:v>Customer 339</c:v>
                </c:pt>
                <c:pt idx="274">
                  <c:v>Customer 142</c:v>
                </c:pt>
                <c:pt idx="275">
                  <c:v>Customer 441</c:v>
                </c:pt>
                <c:pt idx="276">
                  <c:v>Customer 84</c:v>
                </c:pt>
                <c:pt idx="277">
                  <c:v>Customer 123</c:v>
                </c:pt>
                <c:pt idx="278">
                  <c:v>Customer 52</c:v>
                </c:pt>
                <c:pt idx="279">
                  <c:v>Customer 485</c:v>
                </c:pt>
                <c:pt idx="280">
                  <c:v>Customer 381</c:v>
                </c:pt>
                <c:pt idx="281">
                  <c:v>Customer 334</c:v>
                </c:pt>
                <c:pt idx="282">
                  <c:v>Customer 295</c:v>
                </c:pt>
                <c:pt idx="283">
                  <c:v>Customer 202</c:v>
                </c:pt>
                <c:pt idx="284">
                  <c:v>Customer 267</c:v>
                </c:pt>
                <c:pt idx="285">
                  <c:v>Customer 331</c:v>
                </c:pt>
                <c:pt idx="286">
                  <c:v>Customer 65</c:v>
                </c:pt>
                <c:pt idx="287">
                  <c:v>Customer 366</c:v>
                </c:pt>
                <c:pt idx="288">
                  <c:v>Customer 103</c:v>
                </c:pt>
                <c:pt idx="289">
                  <c:v>Customer 277</c:v>
                </c:pt>
                <c:pt idx="290">
                  <c:v>Customer 298</c:v>
                </c:pt>
                <c:pt idx="291">
                  <c:v>Customer 320</c:v>
                </c:pt>
                <c:pt idx="292">
                  <c:v>Customer 456</c:v>
                </c:pt>
                <c:pt idx="293">
                  <c:v>Customer 87</c:v>
                </c:pt>
                <c:pt idx="294">
                  <c:v>Customer 494</c:v>
                </c:pt>
                <c:pt idx="295">
                  <c:v>Customer 60</c:v>
                </c:pt>
                <c:pt idx="296">
                  <c:v>Customer 448</c:v>
                </c:pt>
                <c:pt idx="297">
                  <c:v>Customer 444</c:v>
                </c:pt>
                <c:pt idx="298">
                  <c:v>Customer 395</c:v>
                </c:pt>
                <c:pt idx="299">
                  <c:v>Customer 3</c:v>
                </c:pt>
                <c:pt idx="300">
                  <c:v>Customer 222</c:v>
                </c:pt>
                <c:pt idx="301">
                  <c:v>Customer 433</c:v>
                </c:pt>
                <c:pt idx="302">
                  <c:v>Customer 221</c:v>
                </c:pt>
                <c:pt idx="303">
                  <c:v>Customer 406</c:v>
                </c:pt>
                <c:pt idx="304">
                  <c:v>Customer 354</c:v>
                </c:pt>
                <c:pt idx="305">
                  <c:v>Customer 293</c:v>
                </c:pt>
                <c:pt idx="306">
                  <c:v>Customer 213</c:v>
                </c:pt>
                <c:pt idx="307">
                  <c:v>Customer 110</c:v>
                </c:pt>
                <c:pt idx="308">
                  <c:v>Customer 144</c:v>
                </c:pt>
                <c:pt idx="309">
                  <c:v>Customer 159</c:v>
                </c:pt>
                <c:pt idx="310">
                  <c:v>Customer 465</c:v>
                </c:pt>
                <c:pt idx="311">
                  <c:v>Customer 397</c:v>
                </c:pt>
                <c:pt idx="312">
                  <c:v>Customer 385</c:v>
                </c:pt>
                <c:pt idx="313">
                  <c:v>Customer 70</c:v>
                </c:pt>
                <c:pt idx="314">
                  <c:v>Customer 487</c:v>
                </c:pt>
                <c:pt idx="315">
                  <c:v>Customer 133</c:v>
                </c:pt>
                <c:pt idx="316">
                  <c:v>Customer 376</c:v>
                </c:pt>
                <c:pt idx="317">
                  <c:v>Customer 384</c:v>
                </c:pt>
                <c:pt idx="318">
                  <c:v>Customer 414</c:v>
                </c:pt>
                <c:pt idx="319">
                  <c:v>Customer 118</c:v>
                </c:pt>
                <c:pt idx="320">
                  <c:v>Customer 219</c:v>
                </c:pt>
                <c:pt idx="321">
                  <c:v>Customer 108</c:v>
                </c:pt>
                <c:pt idx="322">
                  <c:v>Customer 488</c:v>
                </c:pt>
                <c:pt idx="323">
                  <c:v>Customer 325</c:v>
                </c:pt>
                <c:pt idx="324">
                  <c:v>Customer 333</c:v>
                </c:pt>
                <c:pt idx="325">
                  <c:v>Customer 187</c:v>
                </c:pt>
                <c:pt idx="326">
                  <c:v>Customer 304</c:v>
                </c:pt>
                <c:pt idx="327">
                  <c:v>Customer 111</c:v>
                </c:pt>
                <c:pt idx="328">
                  <c:v>Customer 67</c:v>
                </c:pt>
                <c:pt idx="329">
                  <c:v>Customer 104</c:v>
                </c:pt>
                <c:pt idx="330">
                  <c:v>Customer 326</c:v>
                </c:pt>
                <c:pt idx="331">
                  <c:v>Customer 215</c:v>
                </c:pt>
                <c:pt idx="332">
                  <c:v>Customer 93</c:v>
                </c:pt>
                <c:pt idx="333">
                  <c:v>Customer 345</c:v>
                </c:pt>
                <c:pt idx="334">
                  <c:v>Customer 98</c:v>
                </c:pt>
                <c:pt idx="335">
                  <c:v>Customer 463</c:v>
                </c:pt>
                <c:pt idx="336">
                  <c:v>Customer 432</c:v>
                </c:pt>
                <c:pt idx="337">
                  <c:v>Customer 429</c:v>
                </c:pt>
                <c:pt idx="338">
                  <c:v>Customer 32</c:v>
                </c:pt>
                <c:pt idx="339">
                  <c:v>Customer 198</c:v>
                </c:pt>
                <c:pt idx="340">
                  <c:v>Customer 252</c:v>
                </c:pt>
                <c:pt idx="341">
                  <c:v>Customer 206</c:v>
                </c:pt>
                <c:pt idx="342">
                  <c:v>Customer 64</c:v>
                </c:pt>
                <c:pt idx="343">
                  <c:v>Customer 431</c:v>
                </c:pt>
                <c:pt idx="344">
                  <c:v>Customer 94</c:v>
                </c:pt>
                <c:pt idx="345">
                  <c:v>Customer 211</c:v>
                </c:pt>
                <c:pt idx="346">
                  <c:v>Customer 351</c:v>
                </c:pt>
                <c:pt idx="347">
                  <c:v>Customer 312</c:v>
                </c:pt>
                <c:pt idx="348">
                  <c:v>Customer 132</c:v>
                </c:pt>
                <c:pt idx="349">
                  <c:v>Customer 400</c:v>
                </c:pt>
                <c:pt idx="350">
                  <c:v>Customer 416</c:v>
                </c:pt>
                <c:pt idx="351">
                  <c:v>Customer 344</c:v>
                </c:pt>
                <c:pt idx="352">
                  <c:v>Customer 377</c:v>
                </c:pt>
                <c:pt idx="353">
                  <c:v>Customer 260</c:v>
                </c:pt>
                <c:pt idx="354">
                  <c:v>Customer 372</c:v>
                </c:pt>
                <c:pt idx="355">
                  <c:v>Customer 169</c:v>
                </c:pt>
                <c:pt idx="356">
                  <c:v>Customer 292</c:v>
                </c:pt>
                <c:pt idx="357">
                  <c:v>Customer 150</c:v>
                </c:pt>
                <c:pt idx="358">
                  <c:v>Customer 330</c:v>
                </c:pt>
                <c:pt idx="359">
                  <c:v>Customer 146</c:v>
                </c:pt>
                <c:pt idx="360">
                  <c:v>Customer 12</c:v>
                </c:pt>
                <c:pt idx="361">
                  <c:v>Customer 69</c:v>
                </c:pt>
                <c:pt idx="362">
                  <c:v>Customer 483</c:v>
                </c:pt>
                <c:pt idx="363">
                  <c:v>Customer 408</c:v>
                </c:pt>
                <c:pt idx="364">
                  <c:v>Customer 284</c:v>
                </c:pt>
                <c:pt idx="365">
                  <c:v>Customer 119</c:v>
                </c:pt>
                <c:pt idx="366">
                  <c:v>Customer 205</c:v>
                </c:pt>
                <c:pt idx="367">
                  <c:v>Customer 117</c:v>
                </c:pt>
                <c:pt idx="368">
                  <c:v>Customer 13</c:v>
                </c:pt>
                <c:pt idx="369">
                  <c:v>Customer 83</c:v>
                </c:pt>
                <c:pt idx="370">
                  <c:v>Customer 468</c:v>
                </c:pt>
                <c:pt idx="371">
                  <c:v>Customer 9</c:v>
                </c:pt>
                <c:pt idx="372">
                  <c:v>Customer 386</c:v>
                </c:pt>
                <c:pt idx="373">
                  <c:v>Customer 231</c:v>
                </c:pt>
                <c:pt idx="374">
                  <c:v>Customer 411</c:v>
                </c:pt>
                <c:pt idx="375">
                  <c:v>Customer 410</c:v>
                </c:pt>
                <c:pt idx="376">
                  <c:v>Customer 46</c:v>
                </c:pt>
                <c:pt idx="377">
                  <c:v>Customer 113</c:v>
                </c:pt>
                <c:pt idx="378">
                  <c:v>Customer 462</c:v>
                </c:pt>
                <c:pt idx="379">
                  <c:v>Customer 378</c:v>
                </c:pt>
                <c:pt idx="380">
                  <c:v>Customer 153</c:v>
                </c:pt>
                <c:pt idx="381">
                  <c:v>Customer 353</c:v>
                </c:pt>
                <c:pt idx="382">
                  <c:v>Customer 247</c:v>
                </c:pt>
                <c:pt idx="383">
                  <c:v>Customer 476</c:v>
                </c:pt>
                <c:pt idx="384">
                  <c:v>Customer 303</c:v>
                </c:pt>
                <c:pt idx="385">
                  <c:v>Customer 66</c:v>
                </c:pt>
                <c:pt idx="386">
                  <c:v>Customer 35</c:v>
                </c:pt>
                <c:pt idx="387">
                  <c:v>Customer 147</c:v>
                </c:pt>
                <c:pt idx="388">
                  <c:v>Customer 350</c:v>
                </c:pt>
                <c:pt idx="389">
                  <c:v>Customer 346</c:v>
                </c:pt>
                <c:pt idx="390">
                  <c:v>Customer 228</c:v>
                </c:pt>
                <c:pt idx="391">
                  <c:v>Customer 315</c:v>
                </c:pt>
                <c:pt idx="392">
                  <c:v>Customer 20</c:v>
                </c:pt>
                <c:pt idx="393">
                  <c:v>Customer 15</c:v>
                </c:pt>
                <c:pt idx="394">
                  <c:v>Customer 183</c:v>
                </c:pt>
                <c:pt idx="395">
                  <c:v>Customer 492</c:v>
                </c:pt>
                <c:pt idx="396">
                  <c:v>Customer 59</c:v>
                </c:pt>
                <c:pt idx="397">
                  <c:v>Customer 470</c:v>
                </c:pt>
                <c:pt idx="398">
                  <c:v>Customer 335</c:v>
                </c:pt>
                <c:pt idx="399">
                  <c:v>Customer 248</c:v>
                </c:pt>
                <c:pt idx="400">
                  <c:v>Customer 47</c:v>
                </c:pt>
                <c:pt idx="401">
                  <c:v>Customer 388</c:v>
                </c:pt>
                <c:pt idx="402">
                  <c:v>Customer 148</c:v>
                </c:pt>
                <c:pt idx="403">
                  <c:v>Customer 233</c:v>
                </c:pt>
                <c:pt idx="404">
                  <c:v>Customer 401</c:v>
                </c:pt>
                <c:pt idx="405">
                  <c:v>Customer 306</c:v>
                </c:pt>
                <c:pt idx="406">
                  <c:v>Customer 234</c:v>
                </c:pt>
                <c:pt idx="407">
                  <c:v>Customer 240</c:v>
                </c:pt>
                <c:pt idx="408">
                  <c:v>Customer 14</c:v>
                </c:pt>
                <c:pt idx="409">
                  <c:v>Customer 235</c:v>
                </c:pt>
                <c:pt idx="410">
                  <c:v>Customer 387</c:v>
                </c:pt>
                <c:pt idx="411">
                  <c:v>Customer 145</c:v>
                </c:pt>
                <c:pt idx="412">
                  <c:v>Customer 291</c:v>
                </c:pt>
                <c:pt idx="413">
                  <c:v>Customer 73</c:v>
                </c:pt>
                <c:pt idx="414">
                  <c:v>Customer 319</c:v>
                </c:pt>
                <c:pt idx="415">
                  <c:v>Customer 375</c:v>
                </c:pt>
                <c:pt idx="416">
                  <c:v>Customer 220</c:v>
                </c:pt>
                <c:pt idx="417">
                  <c:v>Customer 186</c:v>
                </c:pt>
                <c:pt idx="418">
                  <c:v>Customer 124</c:v>
                </c:pt>
                <c:pt idx="419">
                  <c:v>Customer 192</c:v>
                </c:pt>
                <c:pt idx="420">
                  <c:v>Customer 361</c:v>
                </c:pt>
                <c:pt idx="421">
                  <c:v>Customer 367</c:v>
                </c:pt>
                <c:pt idx="422">
                  <c:v>Customer 272</c:v>
                </c:pt>
                <c:pt idx="423">
                  <c:v>Customer 415</c:v>
                </c:pt>
                <c:pt idx="424">
                  <c:v>Customer 250</c:v>
                </c:pt>
                <c:pt idx="425">
                  <c:v>Customer 254</c:v>
                </c:pt>
                <c:pt idx="426">
                  <c:v>Customer 368</c:v>
                </c:pt>
                <c:pt idx="427">
                  <c:v>Customer 365</c:v>
                </c:pt>
                <c:pt idx="428">
                  <c:v>Customer 478</c:v>
                </c:pt>
                <c:pt idx="429">
                  <c:v>Customer 90</c:v>
                </c:pt>
                <c:pt idx="430">
                  <c:v>Customer 1</c:v>
                </c:pt>
                <c:pt idx="431">
                  <c:v>Customer 167</c:v>
                </c:pt>
                <c:pt idx="432">
                  <c:v>Customer 115</c:v>
                </c:pt>
                <c:pt idx="433">
                  <c:v>Customer 270</c:v>
                </c:pt>
                <c:pt idx="434">
                  <c:v>Customer 160</c:v>
                </c:pt>
                <c:pt idx="435">
                  <c:v>Customer 180</c:v>
                </c:pt>
                <c:pt idx="436">
                  <c:v>Customer 453</c:v>
                </c:pt>
                <c:pt idx="437">
                  <c:v>Customer 439</c:v>
                </c:pt>
                <c:pt idx="438">
                  <c:v>Customer 33</c:v>
                </c:pt>
                <c:pt idx="439">
                  <c:v>Customer 279</c:v>
                </c:pt>
                <c:pt idx="440">
                  <c:v>Customer 294</c:v>
                </c:pt>
                <c:pt idx="441">
                  <c:v>Customer 203</c:v>
                </c:pt>
                <c:pt idx="442">
                  <c:v>Customer 165</c:v>
                </c:pt>
                <c:pt idx="443">
                  <c:v>Customer 95</c:v>
                </c:pt>
                <c:pt idx="444">
                  <c:v>Customer 457</c:v>
                </c:pt>
                <c:pt idx="445">
                  <c:v>Customer 86</c:v>
                </c:pt>
                <c:pt idx="446">
                  <c:v>Customer 170</c:v>
                </c:pt>
                <c:pt idx="447">
                  <c:v>Customer 398</c:v>
                </c:pt>
                <c:pt idx="448">
                  <c:v>Customer 45</c:v>
                </c:pt>
                <c:pt idx="449">
                  <c:v>Customer 287</c:v>
                </c:pt>
                <c:pt idx="450">
                  <c:v>Customer 251</c:v>
                </c:pt>
                <c:pt idx="451">
                  <c:v>Customer 393</c:v>
                </c:pt>
                <c:pt idx="452">
                  <c:v>Customer 412</c:v>
                </c:pt>
                <c:pt idx="453">
                  <c:v>Customer 172</c:v>
                </c:pt>
                <c:pt idx="454">
                  <c:v>Customer 74</c:v>
                </c:pt>
                <c:pt idx="455">
                  <c:v>Customer 107</c:v>
                </c:pt>
                <c:pt idx="456">
                  <c:v>Customer 268</c:v>
                </c:pt>
                <c:pt idx="457">
                  <c:v>Customer 227</c:v>
                </c:pt>
                <c:pt idx="458">
                  <c:v>Customer 419</c:v>
                </c:pt>
                <c:pt idx="459">
                  <c:v>Customer 437</c:v>
                </c:pt>
                <c:pt idx="460">
                  <c:v>Customer 56</c:v>
                </c:pt>
                <c:pt idx="461">
                  <c:v>Customer 130</c:v>
                </c:pt>
                <c:pt idx="462">
                  <c:v>Customer 191</c:v>
                </c:pt>
                <c:pt idx="463">
                  <c:v>Customer 484</c:v>
                </c:pt>
                <c:pt idx="464">
                  <c:v>Customer 455</c:v>
                </c:pt>
                <c:pt idx="465">
                  <c:v>Customer 122</c:v>
                </c:pt>
                <c:pt idx="466">
                  <c:v>Customer 423</c:v>
                </c:pt>
                <c:pt idx="467">
                  <c:v>Customer 379</c:v>
                </c:pt>
                <c:pt idx="468">
                  <c:v>Customer 370</c:v>
                </c:pt>
                <c:pt idx="469">
                  <c:v>Customer 238</c:v>
                </c:pt>
                <c:pt idx="470">
                  <c:v>Customer 405</c:v>
                </c:pt>
                <c:pt idx="471">
                  <c:v>Customer 450</c:v>
                </c:pt>
                <c:pt idx="472">
                  <c:v>Customer 43</c:v>
                </c:pt>
                <c:pt idx="473">
                  <c:v>Customer 420</c:v>
                </c:pt>
                <c:pt idx="474">
                  <c:v>Customer 442</c:v>
                </c:pt>
                <c:pt idx="475">
                  <c:v>Customer 216</c:v>
                </c:pt>
                <c:pt idx="476">
                  <c:v>Customer 23</c:v>
                </c:pt>
                <c:pt idx="477">
                  <c:v>Customer 343</c:v>
                </c:pt>
                <c:pt idx="478">
                  <c:v>Customer 307</c:v>
                </c:pt>
                <c:pt idx="479">
                  <c:v>Customer 269</c:v>
                </c:pt>
                <c:pt idx="480">
                  <c:v>Customer 232</c:v>
                </c:pt>
                <c:pt idx="481">
                  <c:v>Customer 200</c:v>
                </c:pt>
                <c:pt idx="482">
                  <c:v>Customer 114</c:v>
                </c:pt>
                <c:pt idx="483">
                  <c:v>Customer 77</c:v>
                </c:pt>
                <c:pt idx="484">
                  <c:v>Customer 19</c:v>
                </c:pt>
                <c:pt idx="485">
                  <c:v>Customer 152</c:v>
                </c:pt>
                <c:pt idx="486">
                  <c:v>Customer 342</c:v>
                </c:pt>
                <c:pt idx="487">
                  <c:v>Customer 184</c:v>
                </c:pt>
                <c:pt idx="488">
                  <c:v>Customer 91</c:v>
                </c:pt>
                <c:pt idx="489">
                  <c:v>Customer 236</c:v>
                </c:pt>
                <c:pt idx="490">
                  <c:v>Customer 314</c:v>
                </c:pt>
                <c:pt idx="491">
                  <c:v>Customer 18</c:v>
                </c:pt>
                <c:pt idx="492">
                  <c:v>Customer 28</c:v>
                </c:pt>
              </c:strCache>
            </c:strRef>
          </c:cat>
          <c:val>
            <c:numRef>
              <c:f>'Top Customers'!$B$4:$B$497</c:f>
              <c:numCache>
                <c:formatCode>General</c:formatCode>
                <c:ptCount val="493"/>
                <c:pt idx="0">
                  <c:v>178333.05</c:v>
                </c:pt>
                <c:pt idx="1">
                  <c:v>193895.3</c:v>
                </c:pt>
                <c:pt idx="2">
                  <c:v>124785.1</c:v>
                </c:pt>
                <c:pt idx="3">
                  <c:v>183000.5</c:v>
                </c:pt>
                <c:pt idx="4">
                  <c:v>177688.55</c:v>
                </c:pt>
                <c:pt idx="5">
                  <c:v>173384.95</c:v>
                </c:pt>
                <c:pt idx="6">
                  <c:v>140009.20000000001</c:v>
                </c:pt>
                <c:pt idx="7">
                  <c:v>126870.55</c:v>
                </c:pt>
                <c:pt idx="8">
                  <c:v>146831.29999999999</c:v>
                </c:pt>
                <c:pt idx="9">
                  <c:v>149398</c:v>
                </c:pt>
                <c:pt idx="10">
                  <c:v>119757.65</c:v>
                </c:pt>
                <c:pt idx="11">
                  <c:v>156979.5</c:v>
                </c:pt>
                <c:pt idx="12">
                  <c:v>125667.29999999999</c:v>
                </c:pt>
                <c:pt idx="13">
                  <c:v>137586.65</c:v>
                </c:pt>
                <c:pt idx="14">
                  <c:v>124443.1</c:v>
                </c:pt>
                <c:pt idx="15">
                  <c:v>103539</c:v>
                </c:pt>
                <c:pt idx="16">
                  <c:v>158583</c:v>
                </c:pt>
                <c:pt idx="17">
                  <c:v>149124.6</c:v>
                </c:pt>
                <c:pt idx="18">
                  <c:v>120898.05</c:v>
                </c:pt>
                <c:pt idx="19">
                  <c:v>144735.79999999999</c:v>
                </c:pt>
                <c:pt idx="20">
                  <c:v>156391.29999999999</c:v>
                </c:pt>
                <c:pt idx="21">
                  <c:v>103648.7</c:v>
                </c:pt>
                <c:pt idx="22">
                  <c:v>104750.3</c:v>
                </c:pt>
                <c:pt idx="23">
                  <c:v>130934.1</c:v>
                </c:pt>
                <c:pt idx="24">
                  <c:v>122584.1</c:v>
                </c:pt>
                <c:pt idx="25">
                  <c:v>119814.6</c:v>
                </c:pt>
                <c:pt idx="26">
                  <c:v>133360</c:v>
                </c:pt>
                <c:pt idx="27">
                  <c:v>127947.75</c:v>
                </c:pt>
                <c:pt idx="28">
                  <c:v>127256.9</c:v>
                </c:pt>
                <c:pt idx="29">
                  <c:v>115561.70000000001</c:v>
                </c:pt>
                <c:pt idx="30">
                  <c:v>107168.1</c:v>
                </c:pt>
                <c:pt idx="31">
                  <c:v>88294.2</c:v>
                </c:pt>
                <c:pt idx="32">
                  <c:v>113110.05</c:v>
                </c:pt>
                <c:pt idx="33">
                  <c:v>138054.54999999999</c:v>
                </c:pt>
                <c:pt idx="34">
                  <c:v>128216.59999999999</c:v>
                </c:pt>
                <c:pt idx="35">
                  <c:v>133645.79999999999</c:v>
                </c:pt>
                <c:pt idx="36">
                  <c:v>135728.9</c:v>
                </c:pt>
                <c:pt idx="37">
                  <c:v>101268</c:v>
                </c:pt>
                <c:pt idx="38">
                  <c:v>104311</c:v>
                </c:pt>
                <c:pt idx="39">
                  <c:v>112313.8</c:v>
                </c:pt>
                <c:pt idx="40">
                  <c:v>115564.04999999999</c:v>
                </c:pt>
                <c:pt idx="41">
                  <c:v>100810.75</c:v>
                </c:pt>
                <c:pt idx="42">
                  <c:v>89638.65</c:v>
                </c:pt>
                <c:pt idx="43">
                  <c:v>91146.9</c:v>
                </c:pt>
                <c:pt idx="44">
                  <c:v>91914.6</c:v>
                </c:pt>
                <c:pt idx="45">
                  <c:v>83151.5</c:v>
                </c:pt>
                <c:pt idx="46">
                  <c:v>102011.9</c:v>
                </c:pt>
                <c:pt idx="47">
                  <c:v>111725.25</c:v>
                </c:pt>
                <c:pt idx="48">
                  <c:v>89418.549999999988</c:v>
                </c:pt>
                <c:pt idx="49">
                  <c:v>93850.25</c:v>
                </c:pt>
                <c:pt idx="50">
                  <c:v>100603.85</c:v>
                </c:pt>
                <c:pt idx="51">
                  <c:v>95961.299999999988</c:v>
                </c:pt>
                <c:pt idx="52">
                  <c:v>104017.15000000001</c:v>
                </c:pt>
                <c:pt idx="53">
                  <c:v>99749.650000000009</c:v>
                </c:pt>
                <c:pt idx="54">
                  <c:v>78447.8</c:v>
                </c:pt>
                <c:pt idx="55">
                  <c:v>115774</c:v>
                </c:pt>
                <c:pt idx="56">
                  <c:v>97653.25</c:v>
                </c:pt>
                <c:pt idx="57">
                  <c:v>81549.600000000006</c:v>
                </c:pt>
                <c:pt idx="58">
                  <c:v>86387.95</c:v>
                </c:pt>
                <c:pt idx="59">
                  <c:v>77698.850000000006</c:v>
                </c:pt>
                <c:pt idx="60">
                  <c:v>99397.95</c:v>
                </c:pt>
                <c:pt idx="61">
                  <c:v>108591.15</c:v>
                </c:pt>
                <c:pt idx="62">
                  <c:v>96558.5</c:v>
                </c:pt>
                <c:pt idx="63">
                  <c:v>90261.950000000012</c:v>
                </c:pt>
                <c:pt idx="64">
                  <c:v>81986.649999999994</c:v>
                </c:pt>
                <c:pt idx="65">
                  <c:v>81455.100000000006</c:v>
                </c:pt>
                <c:pt idx="66">
                  <c:v>101537.60000000001</c:v>
                </c:pt>
                <c:pt idx="67">
                  <c:v>83040.649999999994</c:v>
                </c:pt>
                <c:pt idx="68">
                  <c:v>95139.25</c:v>
                </c:pt>
                <c:pt idx="69">
                  <c:v>73379</c:v>
                </c:pt>
                <c:pt idx="70">
                  <c:v>83091.899999999994</c:v>
                </c:pt>
                <c:pt idx="71">
                  <c:v>81605.55</c:v>
                </c:pt>
                <c:pt idx="72">
                  <c:v>99138.7</c:v>
                </c:pt>
                <c:pt idx="73">
                  <c:v>92591.4</c:v>
                </c:pt>
                <c:pt idx="74">
                  <c:v>88572.55</c:v>
                </c:pt>
                <c:pt idx="75">
                  <c:v>95526</c:v>
                </c:pt>
                <c:pt idx="76">
                  <c:v>83399.45</c:v>
                </c:pt>
                <c:pt idx="77">
                  <c:v>119571.85</c:v>
                </c:pt>
                <c:pt idx="78">
                  <c:v>105884.1</c:v>
                </c:pt>
                <c:pt idx="79">
                  <c:v>78787.600000000006</c:v>
                </c:pt>
                <c:pt idx="80">
                  <c:v>79195.75</c:v>
                </c:pt>
                <c:pt idx="81">
                  <c:v>110951.4</c:v>
                </c:pt>
                <c:pt idx="82">
                  <c:v>90205.55</c:v>
                </c:pt>
                <c:pt idx="83">
                  <c:v>101749.75</c:v>
                </c:pt>
                <c:pt idx="84">
                  <c:v>83138.2</c:v>
                </c:pt>
                <c:pt idx="85">
                  <c:v>90637.9</c:v>
                </c:pt>
                <c:pt idx="86">
                  <c:v>74832.649999999994</c:v>
                </c:pt>
                <c:pt idx="87">
                  <c:v>68161.600000000006</c:v>
                </c:pt>
                <c:pt idx="88">
                  <c:v>85398.399999999994</c:v>
                </c:pt>
                <c:pt idx="89">
                  <c:v>62980</c:v>
                </c:pt>
                <c:pt idx="90">
                  <c:v>105672.84999999999</c:v>
                </c:pt>
                <c:pt idx="91">
                  <c:v>104197.45</c:v>
                </c:pt>
                <c:pt idx="92">
                  <c:v>90313.55</c:v>
                </c:pt>
                <c:pt idx="93">
                  <c:v>88903.75</c:v>
                </c:pt>
                <c:pt idx="94">
                  <c:v>74141.25</c:v>
                </c:pt>
                <c:pt idx="95">
                  <c:v>98419.5</c:v>
                </c:pt>
                <c:pt idx="96">
                  <c:v>66189.899999999994</c:v>
                </c:pt>
                <c:pt idx="97">
                  <c:v>81446.149999999994</c:v>
                </c:pt>
                <c:pt idx="98">
                  <c:v>92815.25</c:v>
                </c:pt>
                <c:pt idx="99">
                  <c:v>83692.899999999994</c:v>
                </c:pt>
                <c:pt idx="100">
                  <c:v>83698.55</c:v>
                </c:pt>
                <c:pt idx="101">
                  <c:v>77742.350000000006</c:v>
                </c:pt>
                <c:pt idx="102">
                  <c:v>84775.4</c:v>
                </c:pt>
                <c:pt idx="103">
                  <c:v>80179.5</c:v>
                </c:pt>
                <c:pt idx="104">
                  <c:v>80065.3</c:v>
                </c:pt>
                <c:pt idx="105">
                  <c:v>99619.3</c:v>
                </c:pt>
                <c:pt idx="106">
                  <c:v>92562.3</c:v>
                </c:pt>
                <c:pt idx="107">
                  <c:v>84543.5</c:v>
                </c:pt>
                <c:pt idx="108">
                  <c:v>71611.600000000006</c:v>
                </c:pt>
                <c:pt idx="109">
                  <c:v>77356.5</c:v>
                </c:pt>
                <c:pt idx="110">
                  <c:v>89744.4</c:v>
                </c:pt>
                <c:pt idx="111">
                  <c:v>100073.85</c:v>
                </c:pt>
                <c:pt idx="112">
                  <c:v>63256.600000000006</c:v>
                </c:pt>
                <c:pt idx="113">
                  <c:v>64983.4</c:v>
                </c:pt>
                <c:pt idx="114">
                  <c:v>83637.299999999988</c:v>
                </c:pt>
                <c:pt idx="115">
                  <c:v>77467.7</c:v>
                </c:pt>
                <c:pt idx="116">
                  <c:v>65241.299999999996</c:v>
                </c:pt>
                <c:pt idx="117">
                  <c:v>69007.75</c:v>
                </c:pt>
                <c:pt idx="118">
                  <c:v>68962.649999999994</c:v>
                </c:pt>
                <c:pt idx="119">
                  <c:v>68163.399999999994</c:v>
                </c:pt>
                <c:pt idx="120">
                  <c:v>74404.350000000006</c:v>
                </c:pt>
                <c:pt idx="121">
                  <c:v>57133</c:v>
                </c:pt>
                <c:pt idx="122">
                  <c:v>70313.5</c:v>
                </c:pt>
                <c:pt idx="123">
                  <c:v>76912.2</c:v>
                </c:pt>
                <c:pt idx="124">
                  <c:v>86060.15</c:v>
                </c:pt>
                <c:pt idx="125">
                  <c:v>86929.55</c:v>
                </c:pt>
                <c:pt idx="126">
                  <c:v>67283.75</c:v>
                </c:pt>
                <c:pt idx="127">
                  <c:v>88221.9</c:v>
                </c:pt>
                <c:pt idx="128">
                  <c:v>83506</c:v>
                </c:pt>
                <c:pt idx="129">
                  <c:v>80026</c:v>
                </c:pt>
                <c:pt idx="130">
                  <c:v>69277</c:v>
                </c:pt>
                <c:pt idx="131">
                  <c:v>63581.5</c:v>
                </c:pt>
                <c:pt idx="132">
                  <c:v>56404.149999999994</c:v>
                </c:pt>
                <c:pt idx="133">
                  <c:v>88688.75</c:v>
                </c:pt>
                <c:pt idx="134">
                  <c:v>64261.1</c:v>
                </c:pt>
                <c:pt idx="135">
                  <c:v>85941.9</c:v>
                </c:pt>
                <c:pt idx="136">
                  <c:v>86845</c:v>
                </c:pt>
                <c:pt idx="137">
                  <c:v>61651.199999999997</c:v>
                </c:pt>
                <c:pt idx="138">
                  <c:v>71455.899999999994</c:v>
                </c:pt>
                <c:pt idx="139">
                  <c:v>71136.099999999991</c:v>
                </c:pt>
                <c:pt idx="140">
                  <c:v>68868.649999999994</c:v>
                </c:pt>
                <c:pt idx="141">
                  <c:v>82573.25</c:v>
                </c:pt>
                <c:pt idx="142">
                  <c:v>53388</c:v>
                </c:pt>
                <c:pt idx="143">
                  <c:v>90316.35</c:v>
                </c:pt>
                <c:pt idx="144">
                  <c:v>66854.399999999994</c:v>
                </c:pt>
                <c:pt idx="145">
                  <c:v>71587.8</c:v>
                </c:pt>
                <c:pt idx="146">
                  <c:v>75225.649999999994</c:v>
                </c:pt>
                <c:pt idx="147">
                  <c:v>64141.8</c:v>
                </c:pt>
                <c:pt idx="148">
                  <c:v>82036</c:v>
                </c:pt>
                <c:pt idx="149">
                  <c:v>70123.700000000012</c:v>
                </c:pt>
                <c:pt idx="150">
                  <c:v>70247.55</c:v>
                </c:pt>
                <c:pt idx="151">
                  <c:v>73339.799999999988</c:v>
                </c:pt>
                <c:pt idx="152">
                  <c:v>63195.400000000009</c:v>
                </c:pt>
                <c:pt idx="153">
                  <c:v>96018.35</c:v>
                </c:pt>
                <c:pt idx="154">
                  <c:v>70705.600000000006</c:v>
                </c:pt>
                <c:pt idx="155">
                  <c:v>66922.8</c:v>
                </c:pt>
                <c:pt idx="156">
                  <c:v>55529.85</c:v>
                </c:pt>
                <c:pt idx="157">
                  <c:v>85463.9</c:v>
                </c:pt>
                <c:pt idx="158">
                  <c:v>72075.299999999988</c:v>
                </c:pt>
                <c:pt idx="159">
                  <c:v>76693.649999999994</c:v>
                </c:pt>
                <c:pt idx="160">
                  <c:v>62154.400000000001</c:v>
                </c:pt>
                <c:pt idx="161">
                  <c:v>69207.200000000012</c:v>
                </c:pt>
                <c:pt idx="162">
                  <c:v>62766.9</c:v>
                </c:pt>
                <c:pt idx="163">
                  <c:v>55370.5</c:v>
                </c:pt>
                <c:pt idx="164">
                  <c:v>66283.100000000006</c:v>
                </c:pt>
                <c:pt idx="165">
                  <c:v>80886.899999999994</c:v>
                </c:pt>
                <c:pt idx="166">
                  <c:v>71685.450000000012</c:v>
                </c:pt>
                <c:pt idx="167">
                  <c:v>71543.5</c:v>
                </c:pt>
                <c:pt idx="168">
                  <c:v>59963.3</c:v>
                </c:pt>
                <c:pt idx="169">
                  <c:v>71893.55</c:v>
                </c:pt>
                <c:pt idx="170">
                  <c:v>71147.3</c:v>
                </c:pt>
                <c:pt idx="171">
                  <c:v>73334.399999999994</c:v>
                </c:pt>
                <c:pt idx="172">
                  <c:v>53756.25</c:v>
                </c:pt>
                <c:pt idx="173">
                  <c:v>56334.100000000006</c:v>
                </c:pt>
                <c:pt idx="174">
                  <c:v>72230.350000000006</c:v>
                </c:pt>
                <c:pt idx="175">
                  <c:v>68085.75</c:v>
                </c:pt>
                <c:pt idx="176">
                  <c:v>71125.149999999994</c:v>
                </c:pt>
                <c:pt idx="177">
                  <c:v>68835.05</c:v>
                </c:pt>
                <c:pt idx="178">
                  <c:v>48752.399999999994</c:v>
                </c:pt>
                <c:pt idx="179">
                  <c:v>53116.55</c:v>
                </c:pt>
                <c:pt idx="180">
                  <c:v>60517.8</c:v>
                </c:pt>
                <c:pt idx="181">
                  <c:v>61714.599999999991</c:v>
                </c:pt>
                <c:pt idx="182">
                  <c:v>93479.35</c:v>
                </c:pt>
                <c:pt idx="183">
                  <c:v>69914.7</c:v>
                </c:pt>
                <c:pt idx="184">
                  <c:v>56934.149999999994</c:v>
                </c:pt>
                <c:pt idx="185">
                  <c:v>69455.5</c:v>
                </c:pt>
                <c:pt idx="186">
                  <c:v>79556.649999999994</c:v>
                </c:pt>
                <c:pt idx="187">
                  <c:v>57110.8</c:v>
                </c:pt>
                <c:pt idx="188">
                  <c:v>61562.549999999996</c:v>
                </c:pt>
                <c:pt idx="189">
                  <c:v>82844.25</c:v>
                </c:pt>
                <c:pt idx="190">
                  <c:v>72366.3</c:v>
                </c:pt>
                <c:pt idx="191">
                  <c:v>60558.149999999994</c:v>
                </c:pt>
                <c:pt idx="192">
                  <c:v>75859.149999999994</c:v>
                </c:pt>
                <c:pt idx="193">
                  <c:v>61848.2</c:v>
                </c:pt>
                <c:pt idx="194">
                  <c:v>66281.600000000006</c:v>
                </c:pt>
                <c:pt idx="195">
                  <c:v>48260.55</c:v>
                </c:pt>
                <c:pt idx="196">
                  <c:v>41958</c:v>
                </c:pt>
                <c:pt idx="197">
                  <c:v>53537.65</c:v>
                </c:pt>
                <c:pt idx="198">
                  <c:v>57279.35</c:v>
                </c:pt>
                <c:pt idx="199">
                  <c:v>73367.8</c:v>
                </c:pt>
                <c:pt idx="200">
                  <c:v>64709.599999999999</c:v>
                </c:pt>
                <c:pt idx="201">
                  <c:v>84681.200000000012</c:v>
                </c:pt>
                <c:pt idx="202">
                  <c:v>73517.05</c:v>
                </c:pt>
                <c:pt idx="203">
                  <c:v>67346.899999999994</c:v>
                </c:pt>
                <c:pt idx="204">
                  <c:v>67155.399999999994</c:v>
                </c:pt>
                <c:pt idx="205">
                  <c:v>43140.800000000003</c:v>
                </c:pt>
                <c:pt idx="206">
                  <c:v>52302.25</c:v>
                </c:pt>
                <c:pt idx="207">
                  <c:v>50556</c:v>
                </c:pt>
                <c:pt idx="208">
                  <c:v>71337.2</c:v>
                </c:pt>
                <c:pt idx="209">
                  <c:v>45929.8</c:v>
                </c:pt>
                <c:pt idx="210">
                  <c:v>41146.199999999997</c:v>
                </c:pt>
                <c:pt idx="211">
                  <c:v>69315.350000000006</c:v>
                </c:pt>
                <c:pt idx="212">
                  <c:v>66644.5</c:v>
                </c:pt>
                <c:pt idx="213">
                  <c:v>58976.45</c:v>
                </c:pt>
                <c:pt idx="214">
                  <c:v>71134.8</c:v>
                </c:pt>
                <c:pt idx="215">
                  <c:v>71285.7</c:v>
                </c:pt>
                <c:pt idx="216">
                  <c:v>39226</c:v>
                </c:pt>
                <c:pt idx="217">
                  <c:v>49273.8</c:v>
                </c:pt>
                <c:pt idx="218">
                  <c:v>54282.45</c:v>
                </c:pt>
                <c:pt idx="219">
                  <c:v>56597.5</c:v>
                </c:pt>
                <c:pt idx="220">
                  <c:v>50286.400000000001</c:v>
                </c:pt>
                <c:pt idx="221">
                  <c:v>44280.800000000003</c:v>
                </c:pt>
                <c:pt idx="222">
                  <c:v>44920.9</c:v>
                </c:pt>
                <c:pt idx="223">
                  <c:v>48305.9</c:v>
                </c:pt>
                <c:pt idx="224">
                  <c:v>53473.15</c:v>
                </c:pt>
                <c:pt idx="225">
                  <c:v>58196.7</c:v>
                </c:pt>
                <c:pt idx="226">
                  <c:v>50149.5</c:v>
                </c:pt>
                <c:pt idx="227">
                  <c:v>48242.25</c:v>
                </c:pt>
                <c:pt idx="228">
                  <c:v>43055</c:v>
                </c:pt>
                <c:pt idx="229">
                  <c:v>48383.75</c:v>
                </c:pt>
                <c:pt idx="230">
                  <c:v>52836.75</c:v>
                </c:pt>
                <c:pt idx="231">
                  <c:v>49028.350000000006</c:v>
                </c:pt>
                <c:pt idx="232">
                  <c:v>51487</c:v>
                </c:pt>
                <c:pt idx="233">
                  <c:v>69469.2</c:v>
                </c:pt>
                <c:pt idx="234">
                  <c:v>55162.6</c:v>
                </c:pt>
                <c:pt idx="235">
                  <c:v>71133.600000000006</c:v>
                </c:pt>
                <c:pt idx="236">
                  <c:v>49927.05</c:v>
                </c:pt>
                <c:pt idx="237">
                  <c:v>41185.899999999994</c:v>
                </c:pt>
                <c:pt idx="238">
                  <c:v>54668.800000000003</c:v>
                </c:pt>
                <c:pt idx="239">
                  <c:v>51051.7</c:v>
                </c:pt>
                <c:pt idx="240">
                  <c:v>61399.9</c:v>
                </c:pt>
                <c:pt idx="241">
                  <c:v>64749.7</c:v>
                </c:pt>
                <c:pt idx="242">
                  <c:v>59008.2</c:v>
                </c:pt>
                <c:pt idx="243">
                  <c:v>72484.950000000012</c:v>
                </c:pt>
                <c:pt idx="244">
                  <c:v>49282.7</c:v>
                </c:pt>
                <c:pt idx="245">
                  <c:v>47575.7</c:v>
                </c:pt>
                <c:pt idx="246">
                  <c:v>41663.65</c:v>
                </c:pt>
                <c:pt idx="247">
                  <c:v>53292.55</c:v>
                </c:pt>
                <c:pt idx="248">
                  <c:v>55586.400000000001</c:v>
                </c:pt>
                <c:pt idx="249">
                  <c:v>47097.45</c:v>
                </c:pt>
                <c:pt idx="250">
                  <c:v>85062.849999999991</c:v>
                </c:pt>
                <c:pt idx="251">
                  <c:v>43491.75</c:v>
                </c:pt>
                <c:pt idx="252">
                  <c:v>46810.149999999994</c:v>
                </c:pt>
                <c:pt idx="253">
                  <c:v>37529.5</c:v>
                </c:pt>
                <c:pt idx="254">
                  <c:v>69825.899999999994</c:v>
                </c:pt>
                <c:pt idx="255">
                  <c:v>62163.6</c:v>
                </c:pt>
                <c:pt idx="256">
                  <c:v>49740.75</c:v>
                </c:pt>
                <c:pt idx="257">
                  <c:v>53591.4</c:v>
                </c:pt>
                <c:pt idx="258">
                  <c:v>47308.800000000003</c:v>
                </c:pt>
                <c:pt idx="259">
                  <c:v>50932.35</c:v>
                </c:pt>
                <c:pt idx="260">
                  <c:v>60981.9</c:v>
                </c:pt>
                <c:pt idx="261">
                  <c:v>75139.600000000006</c:v>
                </c:pt>
                <c:pt idx="262">
                  <c:v>46980.05</c:v>
                </c:pt>
                <c:pt idx="263">
                  <c:v>57999.899999999994</c:v>
                </c:pt>
                <c:pt idx="264">
                  <c:v>50871.350000000006</c:v>
                </c:pt>
                <c:pt idx="265">
                  <c:v>48893.899999999994</c:v>
                </c:pt>
                <c:pt idx="266">
                  <c:v>44479.1</c:v>
                </c:pt>
                <c:pt idx="267">
                  <c:v>73740.399999999994</c:v>
                </c:pt>
                <c:pt idx="268">
                  <c:v>55733.600000000006</c:v>
                </c:pt>
                <c:pt idx="269">
                  <c:v>44261.25</c:v>
                </c:pt>
                <c:pt idx="270">
                  <c:v>37936.050000000003</c:v>
                </c:pt>
                <c:pt idx="271">
                  <c:v>45498.45</c:v>
                </c:pt>
                <c:pt idx="272">
                  <c:v>43508.7</c:v>
                </c:pt>
                <c:pt idx="273">
                  <c:v>60011.8</c:v>
                </c:pt>
                <c:pt idx="274">
                  <c:v>56823.45</c:v>
                </c:pt>
                <c:pt idx="275">
                  <c:v>42663</c:v>
                </c:pt>
                <c:pt idx="276">
                  <c:v>39836</c:v>
                </c:pt>
                <c:pt idx="277">
                  <c:v>36462.5</c:v>
                </c:pt>
                <c:pt idx="278">
                  <c:v>54225.1</c:v>
                </c:pt>
                <c:pt idx="279">
                  <c:v>51479.4</c:v>
                </c:pt>
                <c:pt idx="280">
                  <c:v>57413.4</c:v>
                </c:pt>
                <c:pt idx="281">
                  <c:v>36942.300000000003</c:v>
                </c:pt>
                <c:pt idx="282">
                  <c:v>58405.7</c:v>
                </c:pt>
                <c:pt idx="283">
                  <c:v>43954</c:v>
                </c:pt>
                <c:pt idx="284">
                  <c:v>42253.4</c:v>
                </c:pt>
                <c:pt idx="285">
                  <c:v>56733.5</c:v>
                </c:pt>
                <c:pt idx="286">
                  <c:v>41243.050000000003</c:v>
                </c:pt>
                <c:pt idx="287">
                  <c:v>46642.6</c:v>
                </c:pt>
                <c:pt idx="288">
                  <c:v>69838.149999999994</c:v>
                </c:pt>
                <c:pt idx="289">
                  <c:v>54482.049999999996</c:v>
                </c:pt>
                <c:pt idx="290">
                  <c:v>43462.9</c:v>
                </c:pt>
                <c:pt idx="291">
                  <c:v>45710.55</c:v>
                </c:pt>
                <c:pt idx="292">
                  <c:v>35860</c:v>
                </c:pt>
                <c:pt idx="293">
                  <c:v>35948</c:v>
                </c:pt>
                <c:pt idx="294">
                  <c:v>52125.649999999994</c:v>
                </c:pt>
                <c:pt idx="295">
                  <c:v>49471.75</c:v>
                </c:pt>
                <c:pt idx="296">
                  <c:v>53749.9</c:v>
                </c:pt>
                <c:pt idx="297">
                  <c:v>45973.8</c:v>
                </c:pt>
                <c:pt idx="298">
                  <c:v>50246.700000000004</c:v>
                </c:pt>
                <c:pt idx="299">
                  <c:v>40872.199999999997</c:v>
                </c:pt>
                <c:pt idx="300">
                  <c:v>37760</c:v>
                </c:pt>
                <c:pt idx="301">
                  <c:v>42658.5</c:v>
                </c:pt>
                <c:pt idx="302">
                  <c:v>48598.2</c:v>
                </c:pt>
                <c:pt idx="303">
                  <c:v>52704.9</c:v>
                </c:pt>
                <c:pt idx="304">
                  <c:v>60990.15</c:v>
                </c:pt>
                <c:pt idx="305">
                  <c:v>39928.950000000004</c:v>
                </c:pt>
                <c:pt idx="306">
                  <c:v>50795.9</c:v>
                </c:pt>
                <c:pt idx="307">
                  <c:v>53409.15</c:v>
                </c:pt>
                <c:pt idx="308">
                  <c:v>33650</c:v>
                </c:pt>
                <c:pt idx="309">
                  <c:v>36782.400000000001</c:v>
                </c:pt>
                <c:pt idx="310">
                  <c:v>59875.55</c:v>
                </c:pt>
                <c:pt idx="311">
                  <c:v>29527.199999999997</c:v>
                </c:pt>
                <c:pt idx="312">
                  <c:v>50431.600000000006</c:v>
                </c:pt>
                <c:pt idx="313">
                  <c:v>40583.75</c:v>
                </c:pt>
                <c:pt idx="314">
                  <c:v>48241.600000000006</c:v>
                </c:pt>
                <c:pt idx="315">
                  <c:v>61230.3</c:v>
                </c:pt>
                <c:pt idx="316">
                  <c:v>54854.85</c:v>
                </c:pt>
                <c:pt idx="317">
                  <c:v>37326.400000000001</c:v>
                </c:pt>
                <c:pt idx="318">
                  <c:v>47418</c:v>
                </c:pt>
                <c:pt idx="319">
                  <c:v>29870.5</c:v>
                </c:pt>
                <c:pt idx="320">
                  <c:v>41002.5</c:v>
                </c:pt>
                <c:pt idx="321">
                  <c:v>25137</c:v>
                </c:pt>
                <c:pt idx="322">
                  <c:v>30158.799999999999</c:v>
                </c:pt>
                <c:pt idx="323">
                  <c:v>58948.2</c:v>
                </c:pt>
                <c:pt idx="324">
                  <c:v>39383.4</c:v>
                </c:pt>
                <c:pt idx="325">
                  <c:v>40476</c:v>
                </c:pt>
                <c:pt idx="326">
                  <c:v>26359.35</c:v>
                </c:pt>
                <c:pt idx="327">
                  <c:v>35451.300000000003</c:v>
                </c:pt>
                <c:pt idx="328">
                  <c:v>40717</c:v>
                </c:pt>
                <c:pt idx="329">
                  <c:v>37738.1</c:v>
                </c:pt>
                <c:pt idx="330">
                  <c:v>31578.7</c:v>
                </c:pt>
                <c:pt idx="331">
                  <c:v>40567.85</c:v>
                </c:pt>
                <c:pt idx="332">
                  <c:v>49660.65</c:v>
                </c:pt>
                <c:pt idx="333">
                  <c:v>47796</c:v>
                </c:pt>
                <c:pt idx="334">
                  <c:v>36313.199999999997</c:v>
                </c:pt>
                <c:pt idx="335">
                  <c:v>44139.15</c:v>
                </c:pt>
                <c:pt idx="336">
                  <c:v>44951.200000000004</c:v>
                </c:pt>
                <c:pt idx="337">
                  <c:v>28208.7</c:v>
                </c:pt>
                <c:pt idx="338">
                  <c:v>30593.65</c:v>
                </c:pt>
                <c:pt idx="339">
                  <c:v>43443.75</c:v>
                </c:pt>
                <c:pt idx="340">
                  <c:v>53726.200000000004</c:v>
                </c:pt>
                <c:pt idx="341">
                  <c:v>61694</c:v>
                </c:pt>
                <c:pt idx="342">
                  <c:v>38722.199999999997</c:v>
                </c:pt>
                <c:pt idx="343">
                  <c:v>30587.65</c:v>
                </c:pt>
                <c:pt idx="344">
                  <c:v>43382.25</c:v>
                </c:pt>
                <c:pt idx="345">
                  <c:v>33993</c:v>
                </c:pt>
                <c:pt idx="346">
                  <c:v>28010.399999999998</c:v>
                </c:pt>
                <c:pt idx="347">
                  <c:v>36755.25</c:v>
                </c:pt>
                <c:pt idx="348">
                  <c:v>43984.55</c:v>
                </c:pt>
                <c:pt idx="349">
                  <c:v>54490.05</c:v>
                </c:pt>
                <c:pt idx="350">
                  <c:v>36096.1</c:v>
                </c:pt>
                <c:pt idx="351">
                  <c:v>24090</c:v>
                </c:pt>
                <c:pt idx="352">
                  <c:v>49423.7</c:v>
                </c:pt>
                <c:pt idx="353">
                  <c:v>49920.7</c:v>
                </c:pt>
                <c:pt idx="354">
                  <c:v>25484.699999999997</c:v>
                </c:pt>
                <c:pt idx="355">
                  <c:v>29611</c:v>
                </c:pt>
                <c:pt idx="356">
                  <c:v>55486.8</c:v>
                </c:pt>
                <c:pt idx="357">
                  <c:v>29918.2</c:v>
                </c:pt>
                <c:pt idx="358">
                  <c:v>43851.5</c:v>
                </c:pt>
                <c:pt idx="359">
                  <c:v>43492.5</c:v>
                </c:pt>
                <c:pt idx="360">
                  <c:v>27826.5</c:v>
                </c:pt>
                <c:pt idx="361">
                  <c:v>32896.300000000003</c:v>
                </c:pt>
                <c:pt idx="362">
                  <c:v>34776.1</c:v>
                </c:pt>
                <c:pt idx="363">
                  <c:v>32118.9</c:v>
                </c:pt>
                <c:pt idx="364">
                  <c:v>39704.300000000003</c:v>
                </c:pt>
                <c:pt idx="365">
                  <c:v>41816.699999999997</c:v>
                </c:pt>
                <c:pt idx="366">
                  <c:v>28518.6</c:v>
                </c:pt>
                <c:pt idx="367">
                  <c:v>33938.1</c:v>
                </c:pt>
                <c:pt idx="368">
                  <c:v>38167.199999999997</c:v>
                </c:pt>
                <c:pt idx="369">
                  <c:v>33783.200000000004</c:v>
                </c:pt>
                <c:pt idx="370">
                  <c:v>30414.75</c:v>
                </c:pt>
                <c:pt idx="371">
                  <c:v>27648</c:v>
                </c:pt>
                <c:pt idx="372">
                  <c:v>45270.65</c:v>
                </c:pt>
                <c:pt idx="373">
                  <c:v>31201.8</c:v>
                </c:pt>
                <c:pt idx="374">
                  <c:v>21609.9</c:v>
                </c:pt>
                <c:pt idx="375">
                  <c:v>62519.45</c:v>
                </c:pt>
                <c:pt idx="376">
                  <c:v>36940.300000000003</c:v>
                </c:pt>
                <c:pt idx="377">
                  <c:v>49348.1</c:v>
                </c:pt>
                <c:pt idx="378">
                  <c:v>21928</c:v>
                </c:pt>
                <c:pt idx="379">
                  <c:v>29400</c:v>
                </c:pt>
                <c:pt idx="380">
                  <c:v>34200</c:v>
                </c:pt>
                <c:pt idx="381">
                  <c:v>37900.35</c:v>
                </c:pt>
                <c:pt idx="382">
                  <c:v>28001.7</c:v>
                </c:pt>
                <c:pt idx="383">
                  <c:v>47057.9</c:v>
                </c:pt>
                <c:pt idx="384">
                  <c:v>42910.25</c:v>
                </c:pt>
                <c:pt idx="385">
                  <c:v>24253.1</c:v>
                </c:pt>
                <c:pt idx="386">
                  <c:v>22396.25</c:v>
                </c:pt>
                <c:pt idx="387">
                  <c:v>31291.7</c:v>
                </c:pt>
                <c:pt idx="388">
                  <c:v>24395</c:v>
                </c:pt>
                <c:pt idx="389">
                  <c:v>27627.9</c:v>
                </c:pt>
                <c:pt idx="390">
                  <c:v>40122.85</c:v>
                </c:pt>
                <c:pt idx="391">
                  <c:v>28857.5</c:v>
                </c:pt>
                <c:pt idx="392">
                  <c:v>22383.9</c:v>
                </c:pt>
                <c:pt idx="393">
                  <c:v>21614.400000000001</c:v>
                </c:pt>
                <c:pt idx="394">
                  <c:v>40498.550000000003</c:v>
                </c:pt>
                <c:pt idx="395">
                  <c:v>21684.2</c:v>
                </c:pt>
                <c:pt idx="396">
                  <c:v>37780.449999999997</c:v>
                </c:pt>
                <c:pt idx="397">
                  <c:v>28940.400000000001</c:v>
                </c:pt>
                <c:pt idx="398">
                  <c:v>28854.3</c:v>
                </c:pt>
                <c:pt idx="399">
                  <c:v>49509.75</c:v>
                </c:pt>
                <c:pt idx="400">
                  <c:v>27711</c:v>
                </c:pt>
                <c:pt idx="401">
                  <c:v>49285.85</c:v>
                </c:pt>
                <c:pt idx="402">
                  <c:v>18481.95</c:v>
                </c:pt>
                <c:pt idx="403">
                  <c:v>16930.900000000001</c:v>
                </c:pt>
                <c:pt idx="404">
                  <c:v>28612.100000000002</c:v>
                </c:pt>
                <c:pt idx="405">
                  <c:v>42470.7</c:v>
                </c:pt>
                <c:pt idx="406">
                  <c:v>37162.75</c:v>
                </c:pt>
                <c:pt idx="407">
                  <c:v>37704.350000000006</c:v>
                </c:pt>
                <c:pt idx="408">
                  <c:v>26909.200000000001</c:v>
                </c:pt>
                <c:pt idx="409">
                  <c:v>34713.199999999997</c:v>
                </c:pt>
                <c:pt idx="410">
                  <c:v>20765.900000000001</c:v>
                </c:pt>
                <c:pt idx="411">
                  <c:v>23957.7</c:v>
                </c:pt>
                <c:pt idx="412">
                  <c:v>24576.400000000001</c:v>
                </c:pt>
                <c:pt idx="413">
                  <c:v>34155.550000000003</c:v>
                </c:pt>
                <c:pt idx="414">
                  <c:v>31995.9</c:v>
                </c:pt>
                <c:pt idx="415">
                  <c:v>26560.1</c:v>
                </c:pt>
                <c:pt idx="416">
                  <c:v>29050.65</c:v>
                </c:pt>
                <c:pt idx="417">
                  <c:v>21521.599999999999</c:v>
                </c:pt>
                <c:pt idx="418">
                  <c:v>23850.5</c:v>
                </c:pt>
                <c:pt idx="419">
                  <c:v>22593</c:v>
                </c:pt>
                <c:pt idx="420">
                  <c:v>17033.350000000002</c:v>
                </c:pt>
                <c:pt idx="421">
                  <c:v>35239.800000000003</c:v>
                </c:pt>
                <c:pt idx="422">
                  <c:v>22607.8</c:v>
                </c:pt>
                <c:pt idx="423">
                  <c:v>22816</c:v>
                </c:pt>
                <c:pt idx="424">
                  <c:v>30208.5</c:v>
                </c:pt>
                <c:pt idx="425">
                  <c:v>14107.5</c:v>
                </c:pt>
                <c:pt idx="426">
                  <c:v>34224.300000000003</c:v>
                </c:pt>
                <c:pt idx="427">
                  <c:v>38003.5</c:v>
                </c:pt>
                <c:pt idx="428">
                  <c:v>28694.5</c:v>
                </c:pt>
                <c:pt idx="429">
                  <c:v>30787.7</c:v>
                </c:pt>
                <c:pt idx="430">
                  <c:v>25012.100000000002</c:v>
                </c:pt>
                <c:pt idx="431">
                  <c:v>13810</c:v>
                </c:pt>
                <c:pt idx="432">
                  <c:v>38422.199999999997</c:v>
                </c:pt>
                <c:pt idx="433">
                  <c:v>25243.4</c:v>
                </c:pt>
                <c:pt idx="434">
                  <c:v>13765</c:v>
                </c:pt>
                <c:pt idx="435">
                  <c:v>11448.45</c:v>
                </c:pt>
                <c:pt idx="436">
                  <c:v>16020.900000000001</c:v>
                </c:pt>
                <c:pt idx="437">
                  <c:v>21379.200000000001</c:v>
                </c:pt>
                <c:pt idx="438">
                  <c:v>14839.8</c:v>
                </c:pt>
                <c:pt idx="439">
                  <c:v>21977</c:v>
                </c:pt>
                <c:pt idx="440">
                  <c:v>10580</c:v>
                </c:pt>
                <c:pt idx="441">
                  <c:v>17494.8</c:v>
                </c:pt>
                <c:pt idx="442">
                  <c:v>18493.7</c:v>
                </c:pt>
                <c:pt idx="443">
                  <c:v>24090.800000000003</c:v>
                </c:pt>
                <c:pt idx="444">
                  <c:v>18365.95</c:v>
                </c:pt>
                <c:pt idx="445">
                  <c:v>25371.599999999999</c:v>
                </c:pt>
                <c:pt idx="446">
                  <c:v>20382.5</c:v>
                </c:pt>
                <c:pt idx="447">
                  <c:v>10144</c:v>
                </c:pt>
                <c:pt idx="448">
                  <c:v>14288.8</c:v>
                </c:pt>
                <c:pt idx="449">
                  <c:v>14950</c:v>
                </c:pt>
                <c:pt idx="450">
                  <c:v>19375.25</c:v>
                </c:pt>
                <c:pt idx="451">
                  <c:v>10010</c:v>
                </c:pt>
                <c:pt idx="452">
                  <c:v>12676.9</c:v>
                </c:pt>
                <c:pt idx="453">
                  <c:v>23789.800000000003</c:v>
                </c:pt>
                <c:pt idx="454">
                  <c:v>17560.8</c:v>
                </c:pt>
                <c:pt idx="455">
                  <c:v>17820</c:v>
                </c:pt>
                <c:pt idx="456">
                  <c:v>20519.25</c:v>
                </c:pt>
                <c:pt idx="457">
                  <c:v>37153.850000000006</c:v>
                </c:pt>
                <c:pt idx="458">
                  <c:v>11956.7</c:v>
                </c:pt>
                <c:pt idx="459">
                  <c:v>13448.75</c:v>
                </c:pt>
                <c:pt idx="460">
                  <c:v>21116.5</c:v>
                </c:pt>
                <c:pt idx="461">
                  <c:v>22115.4</c:v>
                </c:pt>
                <c:pt idx="462">
                  <c:v>22684.65</c:v>
                </c:pt>
                <c:pt idx="463">
                  <c:v>11327.05</c:v>
                </c:pt>
                <c:pt idx="464">
                  <c:v>14284.099999999999</c:v>
                </c:pt>
                <c:pt idx="465">
                  <c:v>8187.5</c:v>
                </c:pt>
                <c:pt idx="466">
                  <c:v>12362.400000000001</c:v>
                </c:pt>
                <c:pt idx="467">
                  <c:v>13169.7</c:v>
                </c:pt>
                <c:pt idx="468">
                  <c:v>10623.55</c:v>
                </c:pt>
                <c:pt idx="469">
                  <c:v>21850.6</c:v>
                </c:pt>
                <c:pt idx="470">
                  <c:v>8026</c:v>
                </c:pt>
                <c:pt idx="471">
                  <c:v>19266.849999999999</c:v>
                </c:pt>
                <c:pt idx="472">
                  <c:v>10408.9</c:v>
                </c:pt>
                <c:pt idx="473">
                  <c:v>10528</c:v>
                </c:pt>
                <c:pt idx="474">
                  <c:v>18287.900000000001</c:v>
                </c:pt>
                <c:pt idx="475">
                  <c:v>6962.2000000000007</c:v>
                </c:pt>
                <c:pt idx="476">
                  <c:v>8034</c:v>
                </c:pt>
                <c:pt idx="477">
                  <c:v>4381.2</c:v>
                </c:pt>
                <c:pt idx="478">
                  <c:v>4173</c:v>
                </c:pt>
                <c:pt idx="479">
                  <c:v>4847</c:v>
                </c:pt>
                <c:pt idx="480">
                  <c:v>5818.6</c:v>
                </c:pt>
                <c:pt idx="481">
                  <c:v>5836.8</c:v>
                </c:pt>
                <c:pt idx="482">
                  <c:v>14784.9</c:v>
                </c:pt>
                <c:pt idx="483">
                  <c:v>4648.3500000000004</c:v>
                </c:pt>
                <c:pt idx="484">
                  <c:v>13780.2</c:v>
                </c:pt>
                <c:pt idx="485">
                  <c:v>19025.55</c:v>
                </c:pt>
                <c:pt idx="486">
                  <c:v>3770.1</c:v>
                </c:pt>
                <c:pt idx="487">
                  <c:v>2740</c:v>
                </c:pt>
                <c:pt idx="488">
                  <c:v>3330.7</c:v>
                </c:pt>
                <c:pt idx="489">
                  <c:v>8152.35</c:v>
                </c:pt>
                <c:pt idx="490">
                  <c:v>3256</c:v>
                </c:pt>
                <c:pt idx="491">
                  <c:v>1385.5</c:v>
                </c:pt>
                <c:pt idx="492">
                  <c:v>1809</c:v>
                </c:pt>
              </c:numCache>
            </c:numRef>
          </c:val>
          <c:extLst>
            <c:ext xmlns:c16="http://schemas.microsoft.com/office/drawing/2014/chart" uri="{C3380CC4-5D6E-409C-BE32-E72D297353CC}">
              <c16:uniqueId val="{00000000-5C16-441F-B94D-A2AD7DFCB491}"/>
            </c:ext>
          </c:extLst>
        </c:ser>
        <c:ser>
          <c:idx val="1"/>
          <c:order val="1"/>
          <c:tx>
            <c:strRef>
              <c:f>'Top Customers'!$C$3</c:f>
              <c:strCache>
                <c:ptCount val="1"/>
                <c:pt idx="0">
                  <c:v>Sum of Profit</c:v>
                </c:pt>
              </c:strCache>
            </c:strRef>
          </c:tx>
          <c:spPr>
            <a:solidFill>
              <a:schemeClr val="accent2"/>
            </a:solidFill>
            <a:ln>
              <a:noFill/>
            </a:ln>
            <a:effectLst/>
            <a:sp3d/>
          </c:spPr>
          <c:invertIfNegative val="0"/>
          <c:cat>
            <c:strRef>
              <c:f>'Top Customers'!$A$4:$A$497</c:f>
              <c:strCache>
                <c:ptCount val="493"/>
                <c:pt idx="0">
                  <c:v>Customer 421</c:v>
                </c:pt>
                <c:pt idx="1">
                  <c:v>Customer 313</c:v>
                </c:pt>
                <c:pt idx="2">
                  <c:v>Customer 51</c:v>
                </c:pt>
                <c:pt idx="3">
                  <c:v>Customer 348</c:v>
                </c:pt>
                <c:pt idx="4">
                  <c:v>Customer 427</c:v>
                </c:pt>
                <c:pt idx="5">
                  <c:v>Customer 161</c:v>
                </c:pt>
                <c:pt idx="6">
                  <c:v>Customer 286</c:v>
                </c:pt>
                <c:pt idx="7">
                  <c:v>Customer 89</c:v>
                </c:pt>
                <c:pt idx="8">
                  <c:v>Customer 496</c:v>
                </c:pt>
                <c:pt idx="9">
                  <c:v>Customer 76</c:v>
                </c:pt>
                <c:pt idx="10">
                  <c:v>Customer 136</c:v>
                </c:pt>
                <c:pt idx="11">
                  <c:v>Customer 482</c:v>
                </c:pt>
                <c:pt idx="12">
                  <c:v>Customer 36</c:v>
                </c:pt>
                <c:pt idx="13">
                  <c:v>Customer 383</c:v>
                </c:pt>
                <c:pt idx="14">
                  <c:v>Customer 24</c:v>
                </c:pt>
                <c:pt idx="15">
                  <c:v>Customer 434</c:v>
                </c:pt>
                <c:pt idx="16">
                  <c:v>Customer 407</c:v>
                </c:pt>
                <c:pt idx="17">
                  <c:v>Customer 438</c:v>
                </c:pt>
                <c:pt idx="18">
                  <c:v>Customer 391</c:v>
                </c:pt>
                <c:pt idx="19">
                  <c:v>Customer 6</c:v>
                </c:pt>
                <c:pt idx="20">
                  <c:v>Customer 389</c:v>
                </c:pt>
                <c:pt idx="21">
                  <c:v>Customer 120</c:v>
                </c:pt>
                <c:pt idx="22">
                  <c:v>Customer 479</c:v>
                </c:pt>
                <c:pt idx="23">
                  <c:v>Customer 347</c:v>
                </c:pt>
                <c:pt idx="24">
                  <c:v>Customer 2</c:v>
                </c:pt>
                <c:pt idx="25">
                  <c:v>Customer 129</c:v>
                </c:pt>
                <c:pt idx="26">
                  <c:v>Customer 71</c:v>
                </c:pt>
                <c:pt idx="27">
                  <c:v>Customer 193</c:v>
                </c:pt>
                <c:pt idx="28">
                  <c:v>Customer 196</c:v>
                </c:pt>
                <c:pt idx="29">
                  <c:v>Customer 297</c:v>
                </c:pt>
                <c:pt idx="30">
                  <c:v>Customer 460</c:v>
                </c:pt>
                <c:pt idx="31">
                  <c:v>Customer 101</c:v>
                </c:pt>
                <c:pt idx="32">
                  <c:v>Customer 102</c:v>
                </c:pt>
                <c:pt idx="33">
                  <c:v>Customer 399</c:v>
                </c:pt>
                <c:pt idx="34">
                  <c:v>Customer 418</c:v>
                </c:pt>
                <c:pt idx="35">
                  <c:v>Customer 249</c:v>
                </c:pt>
                <c:pt idx="36">
                  <c:v>Customer 210</c:v>
                </c:pt>
                <c:pt idx="37">
                  <c:v>Customer 360</c:v>
                </c:pt>
                <c:pt idx="38">
                  <c:v>Customer 404</c:v>
                </c:pt>
                <c:pt idx="39">
                  <c:v>Customer 237</c:v>
                </c:pt>
                <c:pt idx="40">
                  <c:v>Customer 173</c:v>
                </c:pt>
                <c:pt idx="41">
                  <c:v>Customer 271</c:v>
                </c:pt>
                <c:pt idx="42">
                  <c:v>Customer 168</c:v>
                </c:pt>
                <c:pt idx="43">
                  <c:v>Customer 308</c:v>
                </c:pt>
                <c:pt idx="44">
                  <c:v>Customer 154</c:v>
                </c:pt>
                <c:pt idx="45">
                  <c:v>Customer 473</c:v>
                </c:pt>
                <c:pt idx="46">
                  <c:v>Customer 380</c:v>
                </c:pt>
                <c:pt idx="47">
                  <c:v>Customer 474</c:v>
                </c:pt>
                <c:pt idx="48">
                  <c:v>Customer 299</c:v>
                </c:pt>
                <c:pt idx="49">
                  <c:v>Customer 126</c:v>
                </c:pt>
                <c:pt idx="50">
                  <c:v>Customer 134</c:v>
                </c:pt>
                <c:pt idx="51">
                  <c:v>Customer 321</c:v>
                </c:pt>
                <c:pt idx="52">
                  <c:v>Customer 498</c:v>
                </c:pt>
                <c:pt idx="53">
                  <c:v>Customer 63</c:v>
                </c:pt>
                <c:pt idx="54">
                  <c:v>Customer 38</c:v>
                </c:pt>
                <c:pt idx="55">
                  <c:v>Customer 8</c:v>
                </c:pt>
                <c:pt idx="56">
                  <c:v>Customer 39</c:v>
                </c:pt>
                <c:pt idx="57">
                  <c:v>Customer 467</c:v>
                </c:pt>
                <c:pt idx="58">
                  <c:v>Customer 25</c:v>
                </c:pt>
                <c:pt idx="59">
                  <c:v>Customer 156</c:v>
                </c:pt>
                <c:pt idx="60">
                  <c:v>Customer 390</c:v>
                </c:pt>
                <c:pt idx="61">
                  <c:v>Customer 436</c:v>
                </c:pt>
                <c:pt idx="62">
                  <c:v>Customer 373</c:v>
                </c:pt>
                <c:pt idx="63">
                  <c:v>Customer 209</c:v>
                </c:pt>
                <c:pt idx="64">
                  <c:v>Customer 224</c:v>
                </c:pt>
                <c:pt idx="65">
                  <c:v>Customer 327</c:v>
                </c:pt>
                <c:pt idx="66">
                  <c:v>Customer 34</c:v>
                </c:pt>
                <c:pt idx="67">
                  <c:v>Customer 447</c:v>
                </c:pt>
                <c:pt idx="68">
                  <c:v>Customer 355</c:v>
                </c:pt>
                <c:pt idx="69">
                  <c:v>Customer 446</c:v>
                </c:pt>
                <c:pt idx="70">
                  <c:v>Customer 409</c:v>
                </c:pt>
                <c:pt idx="71">
                  <c:v>Customer 283</c:v>
                </c:pt>
                <c:pt idx="72">
                  <c:v>Customer 214</c:v>
                </c:pt>
                <c:pt idx="73">
                  <c:v>Customer 30</c:v>
                </c:pt>
                <c:pt idx="74">
                  <c:v>Customer 57</c:v>
                </c:pt>
                <c:pt idx="75">
                  <c:v>Customer 480</c:v>
                </c:pt>
                <c:pt idx="76">
                  <c:v>Customer 82</c:v>
                </c:pt>
                <c:pt idx="77">
                  <c:v>Customer 92</c:v>
                </c:pt>
                <c:pt idx="78">
                  <c:v>Customer 78</c:v>
                </c:pt>
                <c:pt idx="79">
                  <c:v>Customer 243</c:v>
                </c:pt>
                <c:pt idx="80">
                  <c:v>Customer 396</c:v>
                </c:pt>
                <c:pt idx="81">
                  <c:v>Customer 289</c:v>
                </c:pt>
                <c:pt idx="82">
                  <c:v>Customer 230</c:v>
                </c:pt>
                <c:pt idx="83">
                  <c:v>Customer 489</c:v>
                </c:pt>
                <c:pt idx="84">
                  <c:v>Customer 81</c:v>
                </c:pt>
                <c:pt idx="85">
                  <c:v>Customer 54</c:v>
                </c:pt>
                <c:pt idx="86">
                  <c:v>Customer 359</c:v>
                </c:pt>
                <c:pt idx="87">
                  <c:v>Customer 177</c:v>
                </c:pt>
                <c:pt idx="88">
                  <c:v>Customer 323</c:v>
                </c:pt>
                <c:pt idx="89">
                  <c:v>Customer 242</c:v>
                </c:pt>
                <c:pt idx="90">
                  <c:v>Customer 241</c:v>
                </c:pt>
                <c:pt idx="91">
                  <c:v>Customer 127</c:v>
                </c:pt>
                <c:pt idx="92">
                  <c:v>Customer 26</c:v>
                </c:pt>
                <c:pt idx="93">
                  <c:v>Customer 53</c:v>
                </c:pt>
                <c:pt idx="94">
                  <c:v>Customer 454</c:v>
                </c:pt>
                <c:pt idx="95">
                  <c:v>Customer 461</c:v>
                </c:pt>
                <c:pt idx="96">
                  <c:v>Customer 244</c:v>
                </c:pt>
                <c:pt idx="97">
                  <c:v>Customer 197</c:v>
                </c:pt>
                <c:pt idx="98">
                  <c:v>Customer 374</c:v>
                </c:pt>
                <c:pt idx="99">
                  <c:v>Customer 10</c:v>
                </c:pt>
                <c:pt idx="100">
                  <c:v>Customer 280</c:v>
                </c:pt>
                <c:pt idx="101">
                  <c:v>Customer 290</c:v>
                </c:pt>
                <c:pt idx="102">
                  <c:v>Customer 424</c:v>
                </c:pt>
                <c:pt idx="103">
                  <c:v>Customer 475</c:v>
                </c:pt>
                <c:pt idx="104">
                  <c:v>Customer 264</c:v>
                </c:pt>
                <c:pt idx="105">
                  <c:v>Customer 140</c:v>
                </c:pt>
                <c:pt idx="106">
                  <c:v>Customer 257</c:v>
                </c:pt>
                <c:pt idx="107">
                  <c:v>Customer 97</c:v>
                </c:pt>
                <c:pt idx="108">
                  <c:v>Customer 199</c:v>
                </c:pt>
                <c:pt idx="109">
                  <c:v>Customer 276</c:v>
                </c:pt>
                <c:pt idx="110">
                  <c:v>Customer 493</c:v>
                </c:pt>
                <c:pt idx="111">
                  <c:v>Customer 212</c:v>
                </c:pt>
                <c:pt idx="112">
                  <c:v>Customer 422</c:v>
                </c:pt>
                <c:pt idx="113">
                  <c:v>Customer 435</c:v>
                </c:pt>
                <c:pt idx="114">
                  <c:v>Customer 201</c:v>
                </c:pt>
                <c:pt idx="115">
                  <c:v>Customer 338</c:v>
                </c:pt>
                <c:pt idx="116">
                  <c:v>Customer 300</c:v>
                </c:pt>
                <c:pt idx="117">
                  <c:v>Customer 5</c:v>
                </c:pt>
                <c:pt idx="118">
                  <c:v>Customer 262</c:v>
                </c:pt>
                <c:pt idx="119">
                  <c:v>Customer 182</c:v>
                </c:pt>
                <c:pt idx="120">
                  <c:v>Customer 189</c:v>
                </c:pt>
                <c:pt idx="121">
                  <c:v>Customer 329</c:v>
                </c:pt>
                <c:pt idx="122">
                  <c:v>Customer 245</c:v>
                </c:pt>
                <c:pt idx="123">
                  <c:v>Customer 311</c:v>
                </c:pt>
                <c:pt idx="124">
                  <c:v>Customer 305</c:v>
                </c:pt>
                <c:pt idx="125">
                  <c:v>Customer 40</c:v>
                </c:pt>
                <c:pt idx="126">
                  <c:v>Customer 178</c:v>
                </c:pt>
                <c:pt idx="127">
                  <c:v>Customer 495</c:v>
                </c:pt>
                <c:pt idx="128">
                  <c:v>Customer 116</c:v>
                </c:pt>
                <c:pt idx="129">
                  <c:v>Customer 324</c:v>
                </c:pt>
                <c:pt idx="130">
                  <c:v>Customer 50</c:v>
                </c:pt>
                <c:pt idx="131">
                  <c:v>Customer 341</c:v>
                </c:pt>
                <c:pt idx="132">
                  <c:v>Customer 336</c:v>
                </c:pt>
                <c:pt idx="133">
                  <c:v>Customer 218</c:v>
                </c:pt>
                <c:pt idx="134">
                  <c:v>Customer 85</c:v>
                </c:pt>
                <c:pt idx="135">
                  <c:v>Customer 403</c:v>
                </c:pt>
                <c:pt idx="136">
                  <c:v>Customer 162</c:v>
                </c:pt>
                <c:pt idx="137">
                  <c:v>Customer 490</c:v>
                </c:pt>
                <c:pt idx="138">
                  <c:v>Customer 274</c:v>
                </c:pt>
                <c:pt idx="139">
                  <c:v>Customer 44</c:v>
                </c:pt>
                <c:pt idx="140">
                  <c:v>Customer 459</c:v>
                </c:pt>
                <c:pt idx="141">
                  <c:v>Customer 394</c:v>
                </c:pt>
                <c:pt idx="142">
                  <c:v>Customer 328</c:v>
                </c:pt>
                <c:pt idx="143">
                  <c:v>Customer 185</c:v>
                </c:pt>
                <c:pt idx="144">
                  <c:v>Customer 204</c:v>
                </c:pt>
                <c:pt idx="145">
                  <c:v>Customer 481</c:v>
                </c:pt>
                <c:pt idx="146">
                  <c:v>Customer 472</c:v>
                </c:pt>
                <c:pt idx="147">
                  <c:v>Customer 246</c:v>
                </c:pt>
                <c:pt idx="148">
                  <c:v>Customer 68</c:v>
                </c:pt>
                <c:pt idx="149">
                  <c:v>Customer 285</c:v>
                </c:pt>
                <c:pt idx="150">
                  <c:v>Customer 464</c:v>
                </c:pt>
                <c:pt idx="151">
                  <c:v>Customer 349</c:v>
                </c:pt>
                <c:pt idx="152">
                  <c:v>Customer 48</c:v>
                </c:pt>
                <c:pt idx="153">
                  <c:v>Customer 357</c:v>
                </c:pt>
                <c:pt idx="154">
                  <c:v>Customer 363</c:v>
                </c:pt>
                <c:pt idx="155">
                  <c:v>Customer 500</c:v>
                </c:pt>
                <c:pt idx="156">
                  <c:v>Customer 179</c:v>
                </c:pt>
                <c:pt idx="157">
                  <c:v>Customer 491</c:v>
                </c:pt>
                <c:pt idx="158">
                  <c:v>Customer 139</c:v>
                </c:pt>
                <c:pt idx="159">
                  <c:v>Customer 21</c:v>
                </c:pt>
                <c:pt idx="160">
                  <c:v>Customer 425</c:v>
                </c:pt>
                <c:pt idx="161">
                  <c:v>Customer 125</c:v>
                </c:pt>
                <c:pt idx="162">
                  <c:v>Customer 449</c:v>
                </c:pt>
                <c:pt idx="163">
                  <c:v>Customer 239</c:v>
                </c:pt>
                <c:pt idx="164">
                  <c:v>Customer 255</c:v>
                </c:pt>
                <c:pt idx="165">
                  <c:v>Customer 469</c:v>
                </c:pt>
                <c:pt idx="166">
                  <c:v>Customer 195</c:v>
                </c:pt>
                <c:pt idx="167">
                  <c:v>Customer 11</c:v>
                </c:pt>
                <c:pt idx="168">
                  <c:v>Customer 310</c:v>
                </c:pt>
                <c:pt idx="169">
                  <c:v>Customer 194</c:v>
                </c:pt>
                <c:pt idx="170">
                  <c:v>Customer 135</c:v>
                </c:pt>
                <c:pt idx="171">
                  <c:v>Customer 278</c:v>
                </c:pt>
                <c:pt idx="172">
                  <c:v>Customer 109</c:v>
                </c:pt>
                <c:pt idx="173">
                  <c:v>Customer 301</c:v>
                </c:pt>
                <c:pt idx="174">
                  <c:v>Customer 282</c:v>
                </c:pt>
                <c:pt idx="175">
                  <c:v>Customer 29</c:v>
                </c:pt>
                <c:pt idx="176">
                  <c:v>Customer 96</c:v>
                </c:pt>
                <c:pt idx="177">
                  <c:v>Customer 16</c:v>
                </c:pt>
                <c:pt idx="178">
                  <c:v>Customer 62</c:v>
                </c:pt>
                <c:pt idx="179">
                  <c:v>Customer 100</c:v>
                </c:pt>
                <c:pt idx="180">
                  <c:v>Customer 217</c:v>
                </c:pt>
                <c:pt idx="181">
                  <c:v>Customer 382</c:v>
                </c:pt>
                <c:pt idx="182">
                  <c:v>Customer 42</c:v>
                </c:pt>
                <c:pt idx="183">
                  <c:v>Customer 417</c:v>
                </c:pt>
                <c:pt idx="184">
                  <c:v>Customer 208</c:v>
                </c:pt>
                <c:pt idx="185">
                  <c:v>Customer 157</c:v>
                </c:pt>
                <c:pt idx="186">
                  <c:v>Customer 223</c:v>
                </c:pt>
                <c:pt idx="187">
                  <c:v>Customer 443</c:v>
                </c:pt>
                <c:pt idx="188">
                  <c:v>Customer 106</c:v>
                </c:pt>
                <c:pt idx="189">
                  <c:v>Customer 426</c:v>
                </c:pt>
                <c:pt idx="190">
                  <c:v>Customer 190</c:v>
                </c:pt>
                <c:pt idx="191">
                  <c:v>Customer 340</c:v>
                </c:pt>
                <c:pt idx="192">
                  <c:v>Customer 55</c:v>
                </c:pt>
                <c:pt idx="193">
                  <c:v>Customer 358</c:v>
                </c:pt>
                <c:pt idx="194">
                  <c:v>Customer 322</c:v>
                </c:pt>
                <c:pt idx="195">
                  <c:v>Customer 440</c:v>
                </c:pt>
                <c:pt idx="196">
                  <c:v>Customer 181</c:v>
                </c:pt>
                <c:pt idx="197">
                  <c:v>Customer 128</c:v>
                </c:pt>
                <c:pt idx="198">
                  <c:v>Customer 288</c:v>
                </c:pt>
                <c:pt idx="199">
                  <c:v>Customer 166</c:v>
                </c:pt>
                <c:pt idx="200">
                  <c:v>Customer 131</c:v>
                </c:pt>
                <c:pt idx="201">
                  <c:v>Customer 4</c:v>
                </c:pt>
                <c:pt idx="202">
                  <c:v>Customer 371</c:v>
                </c:pt>
                <c:pt idx="203">
                  <c:v>Customer 452</c:v>
                </c:pt>
                <c:pt idx="204">
                  <c:v>Customer 37</c:v>
                </c:pt>
                <c:pt idx="205">
                  <c:v>Customer 428</c:v>
                </c:pt>
                <c:pt idx="206">
                  <c:v>Customer 451</c:v>
                </c:pt>
                <c:pt idx="207">
                  <c:v>Customer 158</c:v>
                </c:pt>
                <c:pt idx="208">
                  <c:v>Customer 58</c:v>
                </c:pt>
                <c:pt idx="209">
                  <c:v>Customer 261</c:v>
                </c:pt>
                <c:pt idx="210">
                  <c:v>Customer 477</c:v>
                </c:pt>
                <c:pt idx="211">
                  <c:v>Customer 281</c:v>
                </c:pt>
                <c:pt idx="212">
                  <c:v>Customer 265</c:v>
                </c:pt>
                <c:pt idx="213">
                  <c:v>Customer 259</c:v>
                </c:pt>
                <c:pt idx="214">
                  <c:v>Customer 151</c:v>
                </c:pt>
                <c:pt idx="215">
                  <c:v>Customer 352</c:v>
                </c:pt>
                <c:pt idx="216">
                  <c:v>Customer 258</c:v>
                </c:pt>
                <c:pt idx="217">
                  <c:v>Customer 207</c:v>
                </c:pt>
                <c:pt idx="218">
                  <c:v>Customer 266</c:v>
                </c:pt>
                <c:pt idx="219">
                  <c:v>Customer 41</c:v>
                </c:pt>
                <c:pt idx="220">
                  <c:v>Customer 143</c:v>
                </c:pt>
                <c:pt idx="221">
                  <c:v>Customer 22</c:v>
                </c:pt>
                <c:pt idx="222">
                  <c:v>Customer 163</c:v>
                </c:pt>
                <c:pt idx="223">
                  <c:v>Customer 302</c:v>
                </c:pt>
                <c:pt idx="224">
                  <c:v>Customer 362</c:v>
                </c:pt>
                <c:pt idx="225">
                  <c:v>Customer 402</c:v>
                </c:pt>
                <c:pt idx="226">
                  <c:v>Customer 445</c:v>
                </c:pt>
                <c:pt idx="227">
                  <c:v>Customer 369</c:v>
                </c:pt>
                <c:pt idx="228">
                  <c:v>Customer 430</c:v>
                </c:pt>
                <c:pt idx="229">
                  <c:v>Customer 225</c:v>
                </c:pt>
                <c:pt idx="230">
                  <c:v>Customer 229</c:v>
                </c:pt>
                <c:pt idx="231">
                  <c:v>Customer 171</c:v>
                </c:pt>
                <c:pt idx="232">
                  <c:v>Customer 138</c:v>
                </c:pt>
                <c:pt idx="233">
                  <c:v>Customer 72</c:v>
                </c:pt>
                <c:pt idx="234">
                  <c:v>Customer 226</c:v>
                </c:pt>
                <c:pt idx="235">
                  <c:v>Customer 253</c:v>
                </c:pt>
                <c:pt idx="236">
                  <c:v>Customer 7</c:v>
                </c:pt>
                <c:pt idx="237">
                  <c:v>Customer 137</c:v>
                </c:pt>
                <c:pt idx="238">
                  <c:v>Customer 27</c:v>
                </c:pt>
                <c:pt idx="239">
                  <c:v>Customer 88</c:v>
                </c:pt>
                <c:pt idx="240">
                  <c:v>Customer 174</c:v>
                </c:pt>
                <c:pt idx="241">
                  <c:v>Customer 75</c:v>
                </c:pt>
                <c:pt idx="242">
                  <c:v>Customer 256</c:v>
                </c:pt>
                <c:pt idx="243">
                  <c:v>Customer 99</c:v>
                </c:pt>
                <c:pt idx="244">
                  <c:v>Customer 458</c:v>
                </c:pt>
                <c:pt idx="245">
                  <c:v>Customer 316</c:v>
                </c:pt>
                <c:pt idx="246">
                  <c:v>Customer 121</c:v>
                </c:pt>
                <c:pt idx="247">
                  <c:v>Customer 413</c:v>
                </c:pt>
                <c:pt idx="248">
                  <c:v>Customer 471</c:v>
                </c:pt>
                <c:pt idx="249">
                  <c:v>Customer 263</c:v>
                </c:pt>
                <c:pt idx="250">
                  <c:v>Customer 17</c:v>
                </c:pt>
                <c:pt idx="251">
                  <c:v>Customer 275</c:v>
                </c:pt>
                <c:pt idx="252">
                  <c:v>Customer 49</c:v>
                </c:pt>
                <c:pt idx="253">
                  <c:v>Customer 164</c:v>
                </c:pt>
                <c:pt idx="254">
                  <c:v>Customer 296</c:v>
                </c:pt>
                <c:pt idx="255">
                  <c:v>Customer 332</c:v>
                </c:pt>
                <c:pt idx="256">
                  <c:v>Customer 317</c:v>
                </c:pt>
                <c:pt idx="257">
                  <c:v>Customer 176</c:v>
                </c:pt>
                <c:pt idx="258">
                  <c:v>Customer 356</c:v>
                </c:pt>
                <c:pt idx="259">
                  <c:v>Customer 31</c:v>
                </c:pt>
                <c:pt idx="260">
                  <c:v>Customer 61</c:v>
                </c:pt>
                <c:pt idx="261">
                  <c:v>Customer 364</c:v>
                </c:pt>
                <c:pt idx="262">
                  <c:v>Customer 80</c:v>
                </c:pt>
                <c:pt idx="263">
                  <c:v>Customer 155</c:v>
                </c:pt>
                <c:pt idx="264">
                  <c:v>Customer 392</c:v>
                </c:pt>
                <c:pt idx="265">
                  <c:v>Customer 188</c:v>
                </c:pt>
                <c:pt idx="266">
                  <c:v>Customer 499</c:v>
                </c:pt>
                <c:pt idx="267">
                  <c:v>Customer 466</c:v>
                </c:pt>
                <c:pt idx="268">
                  <c:v>Customer 309</c:v>
                </c:pt>
                <c:pt idx="269">
                  <c:v>Customer 497</c:v>
                </c:pt>
                <c:pt idx="270">
                  <c:v>Customer 337</c:v>
                </c:pt>
                <c:pt idx="271">
                  <c:v>Customer 486</c:v>
                </c:pt>
                <c:pt idx="272">
                  <c:v>Customer 79</c:v>
                </c:pt>
                <c:pt idx="273">
                  <c:v>Customer 339</c:v>
                </c:pt>
                <c:pt idx="274">
                  <c:v>Customer 142</c:v>
                </c:pt>
                <c:pt idx="275">
                  <c:v>Customer 441</c:v>
                </c:pt>
                <c:pt idx="276">
                  <c:v>Customer 84</c:v>
                </c:pt>
                <c:pt idx="277">
                  <c:v>Customer 123</c:v>
                </c:pt>
                <c:pt idx="278">
                  <c:v>Customer 52</c:v>
                </c:pt>
                <c:pt idx="279">
                  <c:v>Customer 485</c:v>
                </c:pt>
                <c:pt idx="280">
                  <c:v>Customer 381</c:v>
                </c:pt>
                <c:pt idx="281">
                  <c:v>Customer 334</c:v>
                </c:pt>
                <c:pt idx="282">
                  <c:v>Customer 295</c:v>
                </c:pt>
                <c:pt idx="283">
                  <c:v>Customer 202</c:v>
                </c:pt>
                <c:pt idx="284">
                  <c:v>Customer 267</c:v>
                </c:pt>
                <c:pt idx="285">
                  <c:v>Customer 331</c:v>
                </c:pt>
                <c:pt idx="286">
                  <c:v>Customer 65</c:v>
                </c:pt>
                <c:pt idx="287">
                  <c:v>Customer 366</c:v>
                </c:pt>
                <c:pt idx="288">
                  <c:v>Customer 103</c:v>
                </c:pt>
                <c:pt idx="289">
                  <c:v>Customer 277</c:v>
                </c:pt>
                <c:pt idx="290">
                  <c:v>Customer 298</c:v>
                </c:pt>
                <c:pt idx="291">
                  <c:v>Customer 320</c:v>
                </c:pt>
                <c:pt idx="292">
                  <c:v>Customer 456</c:v>
                </c:pt>
                <c:pt idx="293">
                  <c:v>Customer 87</c:v>
                </c:pt>
                <c:pt idx="294">
                  <c:v>Customer 494</c:v>
                </c:pt>
                <c:pt idx="295">
                  <c:v>Customer 60</c:v>
                </c:pt>
                <c:pt idx="296">
                  <c:v>Customer 448</c:v>
                </c:pt>
                <c:pt idx="297">
                  <c:v>Customer 444</c:v>
                </c:pt>
                <c:pt idx="298">
                  <c:v>Customer 395</c:v>
                </c:pt>
                <c:pt idx="299">
                  <c:v>Customer 3</c:v>
                </c:pt>
                <c:pt idx="300">
                  <c:v>Customer 222</c:v>
                </c:pt>
                <c:pt idx="301">
                  <c:v>Customer 433</c:v>
                </c:pt>
                <c:pt idx="302">
                  <c:v>Customer 221</c:v>
                </c:pt>
                <c:pt idx="303">
                  <c:v>Customer 406</c:v>
                </c:pt>
                <c:pt idx="304">
                  <c:v>Customer 354</c:v>
                </c:pt>
                <c:pt idx="305">
                  <c:v>Customer 293</c:v>
                </c:pt>
                <c:pt idx="306">
                  <c:v>Customer 213</c:v>
                </c:pt>
                <c:pt idx="307">
                  <c:v>Customer 110</c:v>
                </c:pt>
                <c:pt idx="308">
                  <c:v>Customer 144</c:v>
                </c:pt>
                <c:pt idx="309">
                  <c:v>Customer 159</c:v>
                </c:pt>
                <c:pt idx="310">
                  <c:v>Customer 465</c:v>
                </c:pt>
                <c:pt idx="311">
                  <c:v>Customer 397</c:v>
                </c:pt>
                <c:pt idx="312">
                  <c:v>Customer 385</c:v>
                </c:pt>
                <c:pt idx="313">
                  <c:v>Customer 70</c:v>
                </c:pt>
                <c:pt idx="314">
                  <c:v>Customer 487</c:v>
                </c:pt>
                <c:pt idx="315">
                  <c:v>Customer 133</c:v>
                </c:pt>
                <c:pt idx="316">
                  <c:v>Customer 376</c:v>
                </c:pt>
                <c:pt idx="317">
                  <c:v>Customer 384</c:v>
                </c:pt>
                <c:pt idx="318">
                  <c:v>Customer 414</c:v>
                </c:pt>
                <c:pt idx="319">
                  <c:v>Customer 118</c:v>
                </c:pt>
                <c:pt idx="320">
                  <c:v>Customer 219</c:v>
                </c:pt>
                <c:pt idx="321">
                  <c:v>Customer 108</c:v>
                </c:pt>
                <c:pt idx="322">
                  <c:v>Customer 488</c:v>
                </c:pt>
                <c:pt idx="323">
                  <c:v>Customer 325</c:v>
                </c:pt>
                <c:pt idx="324">
                  <c:v>Customer 333</c:v>
                </c:pt>
                <c:pt idx="325">
                  <c:v>Customer 187</c:v>
                </c:pt>
                <c:pt idx="326">
                  <c:v>Customer 304</c:v>
                </c:pt>
                <c:pt idx="327">
                  <c:v>Customer 111</c:v>
                </c:pt>
                <c:pt idx="328">
                  <c:v>Customer 67</c:v>
                </c:pt>
                <c:pt idx="329">
                  <c:v>Customer 104</c:v>
                </c:pt>
                <c:pt idx="330">
                  <c:v>Customer 326</c:v>
                </c:pt>
                <c:pt idx="331">
                  <c:v>Customer 215</c:v>
                </c:pt>
                <c:pt idx="332">
                  <c:v>Customer 93</c:v>
                </c:pt>
                <c:pt idx="333">
                  <c:v>Customer 345</c:v>
                </c:pt>
                <c:pt idx="334">
                  <c:v>Customer 98</c:v>
                </c:pt>
                <c:pt idx="335">
                  <c:v>Customer 463</c:v>
                </c:pt>
                <c:pt idx="336">
                  <c:v>Customer 432</c:v>
                </c:pt>
                <c:pt idx="337">
                  <c:v>Customer 429</c:v>
                </c:pt>
                <c:pt idx="338">
                  <c:v>Customer 32</c:v>
                </c:pt>
                <c:pt idx="339">
                  <c:v>Customer 198</c:v>
                </c:pt>
                <c:pt idx="340">
                  <c:v>Customer 252</c:v>
                </c:pt>
                <c:pt idx="341">
                  <c:v>Customer 206</c:v>
                </c:pt>
                <c:pt idx="342">
                  <c:v>Customer 64</c:v>
                </c:pt>
                <c:pt idx="343">
                  <c:v>Customer 431</c:v>
                </c:pt>
                <c:pt idx="344">
                  <c:v>Customer 94</c:v>
                </c:pt>
                <c:pt idx="345">
                  <c:v>Customer 211</c:v>
                </c:pt>
                <c:pt idx="346">
                  <c:v>Customer 351</c:v>
                </c:pt>
                <c:pt idx="347">
                  <c:v>Customer 312</c:v>
                </c:pt>
                <c:pt idx="348">
                  <c:v>Customer 132</c:v>
                </c:pt>
                <c:pt idx="349">
                  <c:v>Customer 400</c:v>
                </c:pt>
                <c:pt idx="350">
                  <c:v>Customer 416</c:v>
                </c:pt>
                <c:pt idx="351">
                  <c:v>Customer 344</c:v>
                </c:pt>
                <c:pt idx="352">
                  <c:v>Customer 377</c:v>
                </c:pt>
                <c:pt idx="353">
                  <c:v>Customer 260</c:v>
                </c:pt>
                <c:pt idx="354">
                  <c:v>Customer 372</c:v>
                </c:pt>
                <c:pt idx="355">
                  <c:v>Customer 169</c:v>
                </c:pt>
                <c:pt idx="356">
                  <c:v>Customer 292</c:v>
                </c:pt>
                <c:pt idx="357">
                  <c:v>Customer 150</c:v>
                </c:pt>
                <c:pt idx="358">
                  <c:v>Customer 330</c:v>
                </c:pt>
                <c:pt idx="359">
                  <c:v>Customer 146</c:v>
                </c:pt>
                <c:pt idx="360">
                  <c:v>Customer 12</c:v>
                </c:pt>
                <c:pt idx="361">
                  <c:v>Customer 69</c:v>
                </c:pt>
                <c:pt idx="362">
                  <c:v>Customer 483</c:v>
                </c:pt>
                <c:pt idx="363">
                  <c:v>Customer 408</c:v>
                </c:pt>
                <c:pt idx="364">
                  <c:v>Customer 284</c:v>
                </c:pt>
                <c:pt idx="365">
                  <c:v>Customer 119</c:v>
                </c:pt>
                <c:pt idx="366">
                  <c:v>Customer 205</c:v>
                </c:pt>
                <c:pt idx="367">
                  <c:v>Customer 117</c:v>
                </c:pt>
                <c:pt idx="368">
                  <c:v>Customer 13</c:v>
                </c:pt>
                <c:pt idx="369">
                  <c:v>Customer 83</c:v>
                </c:pt>
                <c:pt idx="370">
                  <c:v>Customer 468</c:v>
                </c:pt>
                <c:pt idx="371">
                  <c:v>Customer 9</c:v>
                </c:pt>
                <c:pt idx="372">
                  <c:v>Customer 386</c:v>
                </c:pt>
                <c:pt idx="373">
                  <c:v>Customer 231</c:v>
                </c:pt>
                <c:pt idx="374">
                  <c:v>Customer 411</c:v>
                </c:pt>
                <c:pt idx="375">
                  <c:v>Customer 410</c:v>
                </c:pt>
                <c:pt idx="376">
                  <c:v>Customer 46</c:v>
                </c:pt>
                <c:pt idx="377">
                  <c:v>Customer 113</c:v>
                </c:pt>
                <c:pt idx="378">
                  <c:v>Customer 462</c:v>
                </c:pt>
                <c:pt idx="379">
                  <c:v>Customer 378</c:v>
                </c:pt>
                <c:pt idx="380">
                  <c:v>Customer 153</c:v>
                </c:pt>
                <c:pt idx="381">
                  <c:v>Customer 353</c:v>
                </c:pt>
                <c:pt idx="382">
                  <c:v>Customer 247</c:v>
                </c:pt>
                <c:pt idx="383">
                  <c:v>Customer 476</c:v>
                </c:pt>
                <c:pt idx="384">
                  <c:v>Customer 303</c:v>
                </c:pt>
                <c:pt idx="385">
                  <c:v>Customer 66</c:v>
                </c:pt>
                <c:pt idx="386">
                  <c:v>Customer 35</c:v>
                </c:pt>
                <c:pt idx="387">
                  <c:v>Customer 147</c:v>
                </c:pt>
                <c:pt idx="388">
                  <c:v>Customer 350</c:v>
                </c:pt>
                <c:pt idx="389">
                  <c:v>Customer 346</c:v>
                </c:pt>
                <c:pt idx="390">
                  <c:v>Customer 228</c:v>
                </c:pt>
                <c:pt idx="391">
                  <c:v>Customer 315</c:v>
                </c:pt>
                <c:pt idx="392">
                  <c:v>Customer 20</c:v>
                </c:pt>
                <c:pt idx="393">
                  <c:v>Customer 15</c:v>
                </c:pt>
                <c:pt idx="394">
                  <c:v>Customer 183</c:v>
                </c:pt>
                <c:pt idx="395">
                  <c:v>Customer 492</c:v>
                </c:pt>
                <c:pt idx="396">
                  <c:v>Customer 59</c:v>
                </c:pt>
                <c:pt idx="397">
                  <c:v>Customer 470</c:v>
                </c:pt>
                <c:pt idx="398">
                  <c:v>Customer 335</c:v>
                </c:pt>
                <c:pt idx="399">
                  <c:v>Customer 248</c:v>
                </c:pt>
                <c:pt idx="400">
                  <c:v>Customer 47</c:v>
                </c:pt>
                <c:pt idx="401">
                  <c:v>Customer 388</c:v>
                </c:pt>
                <c:pt idx="402">
                  <c:v>Customer 148</c:v>
                </c:pt>
                <c:pt idx="403">
                  <c:v>Customer 233</c:v>
                </c:pt>
                <c:pt idx="404">
                  <c:v>Customer 401</c:v>
                </c:pt>
                <c:pt idx="405">
                  <c:v>Customer 306</c:v>
                </c:pt>
                <c:pt idx="406">
                  <c:v>Customer 234</c:v>
                </c:pt>
                <c:pt idx="407">
                  <c:v>Customer 240</c:v>
                </c:pt>
                <c:pt idx="408">
                  <c:v>Customer 14</c:v>
                </c:pt>
                <c:pt idx="409">
                  <c:v>Customer 235</c:v>
                </c:pt>
                <c:pt idx="410">
                  <c:v>Customer 387</c:v>
                </c:pt>
                <c:pt idx="411">
                  <c:v>Customer 145</c:v>
                </c:pt>
                <c:pt idx="412">
                  <c:v>Customer 291</c:v>
                </c:pt>
                <c:pt idx="413">
                  <c:v>Customer 73</c:v>
                </c:pt>
                <c:pt idx="414">
                  <c:v>Customer 319</c:v>
                </c:pt>
                <c:pt idx="415">
                  <c:v>Customer 375</c:v>
                </c:pt>
                <c:pt idx="416">
                  <c:v>Customer 220</c:v>
                </c:pt>
                <c:pt idx="417">
                  <c:v>Customer 186</c:v>
                </c:pt>
                <c:pt idx="418">
                  <c:v>Customer 124</c:v>
                </c:pt>
                <c:pt idx="419">
                  <c:v>Customer 192</c:v>
                </c:pt>
                <c:pt idx="420">
                  <c:v>Customer 361</c:v>
                </c:pt>
                <c:pt idx="421">
                  <c:v>Customer 367</c:v>
                </c:pt>
                <c:pt idx="422">
                  <c:v>Customer 272</c:v>
                </c:pt>
                <c:pt idx="423">
                  <c:v>Customer 415</c:v>
                </c:pt>
                <c:pt idx="424">
                  <c:v>Customer 250</c:v>
                </c:pt>
                <c:pt idx="425">
                  <c:v>Customer 254</c:v>
                </c:pt>
                <c:pt idx="426">
                  <c:v>Customer 368</c:v>
                </c:pt>
                <c:pt idx="427">
                  <c:v>Customer 365</c:v>
                </c:pt>
                <c:pt idx="428">
                  <c:v>Customer 478</c:v>
                </c:pt>
                <c:pt idx="429">
                  <c:v>Customer 90</c:v>
                </c:pt>
                <c:pt idx="430">
                  <c:v>Customer 1</c:v>
                </c:pt>
                <c:pt idx="431">
                  <c:v>Customer 167</c:v>
                </c:pt>
                <c:pt idx="432">
                  <c:v>Customer 115</c:v>
                </c:pt>
                <c:pt idx="433">
                  <c:v>Customer 270</c:v>
                </c:pt>
                <c:pt idx="434">
                  <c:v>Customer 160</c:v>
                </c:pt>
                <c:pt idx="435">
                  <c:v>Customer 180</c:v>
                </c:pt>
                <c:pt idx="436">
                  <c:v>Customer 453</c:v>
                </c:pt>
                <c:pt idx="437">
                  <c:v>Customer 439</c:v>
                </c:pt>
                <c:pt idx="438">
                  <c:v>Customer 33</c:v>
                </c:pt>
                <c:pt idx="439">
                  <c:v>Customer 279</c:v>
                </c:pt>
                <c:pt idx="440">
                  <c:v>Customer 294</c:v>
                </c:pt>
                <c:pt idx="441">
                  <c:v>Customer 203</c:v>
                </c:pt>
                <c:pt idx="442">
                  <c:v>Customer 165</c:v>
                </c:pt>
                <c:pt idx="443">
                  <c:v>Customer 95</c:v>
                </c:pt>
                <c:pt idx="444">
                  <c:v>Customer 457</c:v>
                </c:pt>
                <c:pt idx="445">
                  <c:v>Customer 86</c:v>
                </c:pt>
                <c:pt idx="446">
                  <c:v>Customer 170</c:v>
                </c:pt>
                <c:pt idx="447">
                  <c:v>Customer 398</c:v>
                </c:pt>
                <c:pt idx="448">
                  <c:v>Customer 45</c:v>
                </c:pt>
                <c:pt idx="449">
                  <c:v>Customer 287</c:v>
                </c:pt>
                <c:pt idx="450">
                  <c:v>Customer 251</c:v>
                </c:pt>
                <c:pt idx="451">
                  <c:v>Customer 393</c:v>
                </c:pt>
                <c:pt idx="452">
                  <c:v>Customer 412</c:v>
                </c:pt>
                <c:pt idx="453">
                  <c:v>Customer 172</c:v>
                </c:pt>
                <c:pt idx="454">
                  <c:v>Customer 74</c:v>
                </c:pt>
                <c:pt idx="455">
                  <c:v>Customer 107</c:v>
                </c:pt>
                <c:pt idx="456">
                  <c:v>Customer 268</c:v>
                </c:pt>
                <c:pt idx="457">
                  <c:v>Customer 227</c:v>
                </c:pt>
                <c:pt idx="458">
                  <c:v>Customer 419</c:v>
                </c:pt>
                <c:pt idx="459">
                  <c:v>Customer 437</c:v>
                </c:pt>
                <c:pt idx="460">
                  <c:v>Customer 56</c:v>
                </c:pt>
                <c:pt idx="461">
                  <c:v>Customer 130</c:v>
                </c:pt>
                <c:pt idx="462">
                  <c:v>Customer 191</c:v>
                </c:pt>
                <c:pt idx="463">
                  <c:v>Customer 484</c:v>
                </c:pt>
                <c:pt idx="464">
                  <c:v>Customer 455</c:v>
                </c:pt>
                <c:pt idx="465">
                  <c:v>Customer 122</c:v>
                </c:pt>
                <c:pt idx="466">
                  <c:v>Customer 423</c:v>
                </c:pt>
                <c:pt idx="467">
                  <c:v>Customer 379</c:v>
                </c:pt>
                <c:pt idx="468">
                  <c:v>Customer 370</c:v>
                </c:pt>
                <c:pt idx="469">
                  <c:v>Customer 238</c:v>
                </c:pt>
                <c:pt idx="470">
                  <c:v>Customer 405</c:v>
                </c:pt>
                <c:pt idx="471">
                  <c:v>Customer 450</c:v>
                </c:pt>
                <c:pt idx="472">
                  <c:v>Customer 43</c:v>
                </c:pt>
                <c:pt idx="473">
                  <c:v>Customer 420</c:v>
                </c:pt>
                <c:pt idx="474">
                  <c:v>Customer 442</c:v>
                </c:pt>
                <c:pt idx="475">
                  <c:v>Customer 216</c:v>
                </c:pt>
                <c:pt idx="476">
                  <c:v>Customer 23</c:v>
                </c:pt>
                <c:pt idx="477">
                  <c:v>Customer 343</c:v>
                </c:pt>
                <c:pt idx="478">
                  <c:v>Customer 307</c:v>
                </c:pt>
                <c:pt idx="479">
                  <c:v>Customer 269</c:v>
                </c:pt>
                <c:pt idx="480">
                  <c:v>Customer 232</c:v>
                </c:pt>
                <c:pt idx="481">
                  <c:v>Customer 200</c:v>
                </c:pt>
                <c:pt idx="482">
                  <c:v>Customer 114</c:v>
                </c:pt>
                <c:pt idx="483">
                  <c:v>Customer 77</c:v>
                </c:pt>
                <c:pt idx="484">
                  <c:v>Customer 19</c:v>
                </c:pt>
                <c:pt idx="485">
                  <c:v>Customer 152</c:v>
                </c:pt>
                <c:pt idx="486">
                  <c:v>Customer 342</c:v>
                </c:pt>
                <c:pt idx="487">
                  <c:v>Customer 184</c:v>
                </c:pt>
                <c:pt idx="488">
                  <c:v>Customer 91</c:v>
                </c:pt>
                <c:pt idx="489">
                  <c:v>Customer 236</c:v>
                </c:pt>
                <c:pt idx="490">
                  <c:v>Customer 314</c:v>
                </c:pt>
                <c:pt idx="491">
                  <c:v>Customer 18</c:v>
                </c:pt>
                <c:pt idx="492">
                  <c:v>Customer 28</c:v>
                </c:pt>
              </c:strCache>
            </c:strRef>
          </c:cat>
          <c:val>
            <c:numRef>
              <c:f>'Top Customers'!$C$4:$C$497</c:f>
              <c:numCache>
                <c:formatCode>General</c:formatCode>
                <c:ptCount val="493"/>
                <c:pt idx="0">
                  <c:v>72387.11</c:v>
                </c:pt>
                <c:pt idx="1">
                  <c:v>64186.959999999992</c:v>
                </c:pt>
                <c:pt idx="2">
                  <c:v>53543.979999999996</c:v>
                </c:pt>
                <c:pt idx="3">
                  <c:v>53250.15</c:v>
                </c:pt>
                <c:pt idx="4">
                  <c:v>51267.74</c:v>
                </c:pt>
                <c:pt idx="5">
                  <c:v>50757.040000000008</c:v>
                </c:pt>
                <c:pt idx="6">
                  <c:v>49306.18</c:v>
                </c:pt>
                <c:pt idx="7">
                  <c:v>48538.86</c:v>
                </c:pt>
                <c:pt idx="8">
                  <c:v>47106.96</c:v>
                </c:pt>
                <c:pt idx="9">
                  <c:v>46495.469999999994</c:v>
                </c:pt>
                <c:pt idx="10">
                  <c:v>45786.349999999991</c:v>
                </c:pt>
                <c:pt idx="11">
                  <c:v>44341.94</c:v>
                </c:pt>
                <c:pt idx="12">
                  <c:v>43615.259999999995</c:v>
                </c:pt>
                <c:pt idx="13">
                  <c:v>43372.53</c:v>
                </c:pt>
                <c:pt idx="14">
                  <c:v>42850.539999999994</c:v>
                </c:pt>
                <c:pt idx="15">
                  <c:v>42198.259999999995</c:v>
                </c:pt>
                <c:pt idx="16">
                  <c:v>41687.020000000004</c:v>
                </c:pt>
                <c:pt idx="17">
                  <c:v>41285.75</c:v>
                </c:pt>
                <c:pt idx="18">
                  <c:v>40937.22</c:v>
                </c:pt>
                <c:pt idx="19">
                  <c:v>40916.65</c:v>
                </c:pt>
                <c:pt idx="20">
                  <c:v>40285.49</c:v>
                </c:pt>
                <c:pt idx="21">
                  <c:v>39807.300000000003</c:v>
                </c:pt>
                <c:pt idx="22">
                  <c:v>39635.879999999997</c:v>
                </c:pt>
                <c:pt idx="23">
                  <c:v>39521.870000000003</c:v>
                </c:pt>
                <c:pt idx="24">
                  <c:v>39304.699999999997</c:v>
                </c:pt>
                <c:pt idx="25">
                  <c:v>38664.410000000003</c:v>
                </c:pt>
                <c:pt idx="26">
                  <c:v>38304.630000000005</c:v>
                </c:pt>
                <c:pt idx="27">
                  <c:v>38214.03</c:v>
                </c:pt>
                <c:pt idx="28">
                  <c:v>38062.449999999997</c:v>
                </c:pt>
                <c:pt idx="29">
                  <c:v>37425.29</c:v>
                </c:pt>
                <c:pt idx="30">
                  <c:v>37038.590000000004</c:v>
                </c:pt>
                <c:pt idx="31">
                  <c:v>36570.25</c:v>
                </c:pt>
                <c:pt idx="32">
                  <c:v>35919.69</c:v>
                </c:pt>
                <c:pt idx="33">
                  <c:v>35269.089999999997</c:v>
                </c:pt>
                <c:pt idx="34">
                  <c:v>35132.69</c:v>
                </c:pt>
                <c:pt idx="35">
                  <c:v>34888.39</c:v>
                </c:pt>
                <c:pt idx="36">
                  <c:v>34653.43</c:v>
                </c:pt>
                <c:pt idx="37">
                  <c:v>34131.980000000003</c:v>
                </c:pt>
                <c:pt idx="38">
                  <c:v>34019.29</c:v>
                </c:pt>
                <c:pt idx="39">
                  <c:v>33861.01</c:v>
                </c:pt>
                <c:pt idx="40">
                  <c:v>33463.39</c:v>
                </c:pt>
                <c:pt idx="41">
                  <c:v>33418.1</c:v>
                </c:pt>
                <c:pt idx="42">
                  <c:v>33331.64</c:v>
                </c:pt>
                <c:pt idx="43">
                  <c:v>32971.39</c:v>
                </c:pt>
                <c:pt idx="44">
                  <c:v>32918.28</c:v>
                </c:pt>
                <c:pt idx="45">
                  <c:v>32659.600000000002</c:v>
                </c:pt>
                <c:pt idx="46">
                  <c:v>32480.699999999997</c:v>
                </c:pt>
                <c:pt idx="47">
                  <c:v>32406.699999999997</c:v>
                </c:pt>
                <c:pt idx="48">
                  <c:v>32119.059999999998</c:v>
                </c:pt>
                <c:pt idx="49">
                  <c:v>31877.47</c:v>
                </c:pt>
                <c:pt idx="50">
                  <c:v>31851.25</c:v>
                </c:pt>
                <c:pt idx="51">
                  <c:v>31811.1</c:v>
                </c:pt>
                <c:pt idx="52">
                  <c:v>31749.449999999997</c:v>
                </c:pt>
                <c:pt idx="53">
                  <c:v>31738.519999999997</c:v>
                </c:pt>
                <c:pt idx="54">
                  <c:v>31723.919999999998</c:v>
                </c:pt>
                <c:pt idx="55">
                  <c:v>31719.520000000004</c:v>
                </c:pt>
                <c:pt idx="56">
                  <c:v>31709.279999999999</c:v>
                </c:pt>
                <c:pt idx="57">
                  <c:v>31617.96</c:v>
                </c:pt>
                <c:pt idx="58">
                  <c:v>31486.46</c:v>
                </c:pt>
                <c:pt idx="59">
                  <c:v>31241.850000000002</c:v>
                </c:pt>
                <c:pt idx="60">
                  <c:v>30955.14</c:v>
                </c:pt>
                <c:pt idx="61">
                  <c:v>30603.809999999998</c:v>
                </c:pt>
                <c:pt idx="62">
                  <c:v>30597.86</c:v>
                </c:pt>
                <c:pt idx="63">
                  <c:v>30496.77</c:v>
                </c:pt>
                <c:pt idx="64">
                  <c:v>30476.440000000002</c:v>
                </c:pt>
                <c:pt idx="65">
                  <c:v>30410.11</c:v>
                </c:pt>
                <c:pt idx="66">
                  <c:v>30323.68</c:v>
                </c:pt>
                <c:pt idx="67">
                  <c:v>30228.78</c:v>
                </c:pt>
                <c:pt idx="68">
                  <c:v>30108.879999999997</c:v>
                </c:pt>
                <c:pt idx="69">
                  <c:v>30085.03</c:v>
                </c:pt>
                <c:pt idx="70">
                  <c:v>29791.07</c:v>
                </c:pt>
                <c:pt idx="71">
                  <c:v>29705.75</c:v>
                </c:pt>
                <c:pt idx="72">
                  <c:v>29664.6</c:v>
                </c:pt>
                <c:pt idx="73">
                  <c:v>29585.17</c:v>
                </c:pt>
                <c:pt idx="74">
                  <c:v>29486.04</c:v>
                </c:pt>
                <c:pt idx="75">
                  <c:v>29459.5</c:v>
                </c:pt>
                <c:pt idx="76">
                  <c:v>29272.6</c:v>
                </c:pt>
                <c:pt idx="77">
                  <c:v>29265.1</c:v>
                </c:pt>
                <c:pt idx="78">
                  <c:v>28851.280000000002</c:v>
                </c:pt>
                <c:pt idx="79">
                  <c:v>28815.879999999997</c:v>
                </c:pt>
                <c:pt idx="80">
                  <c:v>28693.57</c:v>
                </c:pt>
                <c:pt idx="81">
                  <c:v>28579.03</c:v>
                </c:pt>
                <c:pt idx="82">
                  <c:v>28563.65</c:v>
                </c:pt>
                <c:pt idx="83">
                  <c:v>28320.559999999998</c:v>
                </c:pt>
                <c:pt idx="84">
                  <c:v>28187.57</c:v>
                </c:pt>
                <c:pt idx="85">
                  <c:v>27946.229999999996</c:v>
                </c:pt>
                <c:pt idx="86">
                  <c:v>27829.26</c:v>
                </c:pt>
                <c:pt idx="87">
                  <c:v>27709.94</c:v>
                </c:pt>
                <c:pt idx="88">
                  <c:v>27687.17</c:v>
                </c:pt>
                <c:pt idx="89">
                  <c:v>27532.67</c:v>
                </c:pt>
                <c:pt idx="90">
                  <c:v>27456.86</c:v>
                </c:pt>
                <c:pt idx="91">
                  <c:v>27418.62</c:v>
                </c:pt>
                <c:pt idx="92">
                  <c:v>27210.920000000002</c:v>
                </c:pt>
                <c:pt idx="93">
                  <c:v>27052.370000000003</c:v>
                </c:pt>
                <c:pt idx="94">
                  <c:v>27035.319999999996</c:v>
                </c:pt>
                <c:pt idx="95">
                  <c:v>26979.14</c:v>
                </c:pt>
                <c:pt idx="96">
                  <c:v>26800.11</c:v>
                </c:pt>
                <c:pt idx="97">
                  <c:v>26775.97</c:v>
                </c:pt>
                <c:pt idx="98">
                  <c:v>26654.420000000002</c:v>
                </c:pt>
                <c:pt idx="99">
                  <c:v>26612.59</c:v>
                </c:pt>
                <c:pt idx="100">
                  <c:v>26466.89</c:v>
                </c:pt>
                <c:pt idx="101">
                  <c:v>26436.59</c:v>
                </c:pt>
                <c:pt idx="102">
                  <c:v>26296.19</c:v>
                </c:pt>
                <c:pt idx="103">
                  <c:v>26164.67</c:v>
                </c:pt>
                <c:pt idx="104">
                  <c:v>26145.96</c:v>
                </c:pt>
                <c:pt idx="105">
                  <c:v>26075.66</c:v>
                </c:pt>
                <c:pt idx="106">
                  <c:v>25586.99</c:v>
                </c:pt>
                <c:pt idx="107">
                  <c:v>25486.550000000003</c:v>
                </c:pt>
                <c:pt idx="108">
                  <c:v>25486.11</c:v>
                </c:pt>
                <c:pt idx="109">
                  <c:v>25244.959999999999</c:v>
                </c:pt>
                <c:pt idx="110">
                  <c:v>25190.13</c:v>
                </c:pt>
                <c:pt idx="111">
                  <c:v>24999.43</c:v>
                </c:pt>
                <c:pt idx="112">
                  <c:v>24621.18</c:v>
                </c:pt>
                <c:pt idx="113">
                  <c:v>24598.83</c:v>
                </c:pt>
                <c:pt idx="114">
                  <c:v>24515.520000000004</c:v>
                </c:pt>
                <c:pt idx="115">
                  <c:v>24468.91</c:v>
                </c:pt>
                <c:pt idx="116">
                  <c:v>24285.47</c:v>
                </c:pt>
                <c:pt idx="117">
                  <c:v>24193.42</c:v>
                </c:pt>
                <c:pt idx="118">
                  <c:v>24178.660000000003</c:v>
                </c:pt>
                <c:pt idx="119">
                  <c:v>24124.78</c:v>
                </c:pt>
                <c:pt idx="120">
                  <c:v>23908.1</c:v>
                </c:pt>
                <c:pt idx="121">
                  <c:v>23883.86</c:v>
                </c:pt>
                <c:pt idx="122">
                  <c:v>23700.129999999997</c:v>
                </c:pt>
                <c:pt idx="123">
                  <c:v>23692.66</c:v>
                </c:pt>
                <c:pt idx="124">
                  <c:v>23631.57</c:v>
                </c:pt>
                <c:pt idx="125">
                  <c:v>23382.160000000003</c:v>
                </c:pt>
                <c:pt idx="126">
                  <c:v>23336.760000000002</c:v>
                </c:pt>
                <c:pt idx="127">
                  <c:v>23319.46</c:v>
                </c:pt>
                <c:pt idx="128">
                  <c:v>23281.120000000003</c:v>
                </c:pt>
                <c:pt idx="129">
                  <c:v>23210.81</c:v>
                </c:pt>
                <c:pt idx="130">
                  <c:v>23210.730000000003</c:v>
                </c:pt>
                <c:pt idx="131">
                  <c:v>23167.040000000001</c:v>
                </c:pt>
                <c:pt idx="132">
                  <c:v>23112.17</c:v>
                </c:pt>
                <c:pt idx="133">
                  <c:v>23063.86</c:v>
                </c:pt>
                <c:pt idx="134">
                  <c:v>23055.440000000002</c:v>
                </c:pt>
                <c:pt idx="135">
                  <c:v>23037.86</c:v>
                </c:pt>
                <c:pt idx="136">
                  <c:v>22891.77</c:v>
                </c:pt>
                <c:pt idx="137">
                  <c:v>22827.629999999997</c:v>
                </c:pt>
                <c:pt idx="138">
                  <c:v>22708.03</c:v>
                </c:pt>
                <c:pt idx="139">
                  <c:v>22622.54</c:v>
                </c:pt>
                <c:pt idx="140">
                  <c:v>22493.71</c:v>
                </c:pt>
                <c:pt idx="141">
                  <c:v>22433.190000000002</c:v>
                </c:pt>
                <c:pt idx="142">
                  <c:v>22395.33</c:v>
                </c:pt>
                <c:pt idx="143">
                  <c:v>22258.61</c:v>
                </c:pt>
                <c:pt idx="144">
                  <c:v>22134.9</c:v>
                </c:pt>
                <c:pt idx="145">
                  <c:v>22101.010000000002</c:v>
                </c:pt>
                <c:pt idx="146">
                  <c:v>22084.11</c:v>
                </c:pt>
                <c:pt idx="147">
                  <c:v>21983.190000000002</c:v>
                </c:pt>
                <c:pt idx="148">
                  <c:v>21915.38</c:v>
                </c:pt>
                <c:pt idx="149">
                  <c:v>21910.449999999997</c:v>
                </c:pt>
                <c:pt idx="150">
                  <c:v>21793.91</c:v>
                </c:pt>
                <c:pt idx="151">
                  <c:v>21781.46</c:v>
                </c:pt>
                <c:pt idx="152">
                  <c:v>21379.5</c:v>
                </c:pt>
                <c:pt idx="153">
                  <c:v>21175.690000000002</c:v>
                </c:pt>
                <c:pt idx="154">
                  <c:v>21165.02</c:v>
                </c:pt>
                <c:pt idx="155">
                  <c:v>21060.89</c:v>
                </c:pt>
                <c:pt idx="156">
                  <c:v>21059.5</c:v>
                </c:pt>
                <c:pt idx="157">
                  <c:v>20783.130000000005</c:v>
                </c:pt>
                <c:pt idx="158">
                  <c:v>20713.7</c:v>
                </c:pt>
                <c:pt idx="159">
                  <c:v>20695.46</c:v>
                </c:pt>
                <c:pt idx="160">
                  <c:v>20514.36</c:v>
                </c:pt>
                <c:pt idx="161">
                  <c:v>20138.32</c:v>
                </c:pt>
                <c:pt idx="162">
                  <c:v>20106.900000000001</c:v>
                </c:pt>
                <c:pt idx="163">
                  <c:v>19967.080000000002</c:v>
                </c:pt>
                <c:pt idx="164">
                  <c:v>19883.3</c:v>
                </c:pt>
                <c:pt idx="165">
                  <c:v>19869.66</c:v>
                </c:pt>
                <c:pt idx="166">
                  <c:v>19847.669999999998</c:v>
                </c:pt>
                <c:pt idx="167">
                  <c:v>19833.03</c:v>
                </c:pt>
                <c:pt idx="168">
                  <c:v>19721.57</c:v>
                </c:pt>
                <c:pt idx="169">
                  <c:v>19706.939999999999</c:v>
                </c:pt>
                <c:pt idx="170">
                  <c:v>19698.64</c:v>
                </c:pt>
                <c:pt idx="171">
                  <c:v>19621.75</c:v>
                </c:pt>
                <c:pt idx="172">
                  <c:v>19619.84</c:v>
                </c:pt>
                <c:pt idx="173">
                  <c:v>19519.77</c:v>
                </c:pt>
                <c:pt idx="174">
                  <c:v>19444.760000000002</c:v>
                </c:pt>
                <c:pt idx="175">
                  <c:v>19400.519999999997</c:v>
                </c:pt>
                <c:pt idx="176">
                  <c:v>19395.22</c:v>
                </c:pt>
                <c:pt idx="177">
                  <c:v>19367.3</c:v>
                </c:pt>
                <c:pt idx="178">
                  <c:v>19338.36</c:v>
                </c:pt>
                <c:pt idx="179">
                  <c:v>19287.22</c:v>
                </c:pt>
                <c:pt idx="180">
                  <c:v>19206.18</c:v>
                </c:pt>
                <c:pt idx="181">
                  <c:v>18984.780000000002</c:v>
                </c:pt>
                <c:pt idx="182">
                  <c:v>18897.27</c:v>
                </c:pt>
                <c:pt idx="183">
                  <c:v>18877.03</c:v>
                </c:pt>
                <c:pt idx="184">
                  <c:v>18860.27</c:v>
                </c:pt>
                <c:pt idx="185">
                  <c:v>18823.650000000001</c:v>
                </c:pt>
                <c:pt idx="186">
                  <c:v>18649.02</c:v>
                </c:pt>
                <c:pt idx="187">
                  <c:v>18611.32</c:v>
                </c:pt>
                <c:pt idx="188">
                  <c:v>18598.47</c:v>
                </c:pt>
                <c:pt idx="189">
                  <c:v>18320.37</c:v>
                </c:pt>
                <c:pt idx="190">
                  <c:v>18302.059999999998</c:v>
                </c:pt>
                <c:pt idx="191">
                  <c:v>18267.18</c:v>
                </c:pt>
                <c:pt idx="192">
                  <c:v>18266.09</c:v>
                </c:pt>
                <c:pt idx="193">
                  <c:v>18230</c:v>
                </c:pt>
                <c:pt idx="194">
                  <c:v>18224.8</c:v>
                </c:pt>
                <c:pt idx="195">
                  <c:v>18161.66</c:v>
                </c:pt>
                <c:pt idx="196">
                  <c:v>18141.699999999997</c:v>
                </c:pt>
                <c:pt idx="197">
                  <c:v>18098.849999999999</c:v>
                </c:pt>
                <c:pt idx="198">
                  <c:v>18009.690000000002</c:v>
                </c:pt>
                <c:pt idx="199">
                  <c:v>17967.29</c:v>
                </c:pt>
                <c:pt idx="200">
                  <c:v>17903.18</c:v>
                </c:pt>
                <c:pt idx="201">
                  <c:v>17800.23</c:v>
                </c:pt>
                <c:pt idx="202">
                  <c:v>17785.68</c:v>
                </c:pt>
                <c:pt idx="203">
                  <c:v>17784.34</c:v>
                </c:pt>
                <c:pt idx="204">
                  <c:v>17750.14</c:v>
                </c:pt>
                <c:pt idx="205">
                  <c:v>17727.54</c:v>
                </c:pt>
                <c:pt idx="206">
                  <c:v>17661.16</c:v>
                </c:pt>
                <c:pt idx="207">
                  <c:v>17656.52</c:v>
                </c:pt>
                <c:pt idx="208">
                  <c:v>17652.16</c:v>
                </c:pt>
                <c:pt idx="209">
                  <c:v>17623.43</c:v>
                </c:pt>
                <c:pt idx="210">
                  <c:v>17604.990000000002</c:v>
                </c:pt>
                <c:pt idx="211">
                  <c:v>17585.870000000003</c:v>
                </c:pt>
                <c:pt idx="212">
                  <c:v>17487.98</c:v>
                </c:pt>
                <c:pt idx="213">
                  <c:v>17413.579999999998</c:v>
                </c:pt>
                <c:pt idx="214">
                  <c:v>17300.61</c:v>
                </c:pt>
                <c:pt idx="215">
                  <c:v>17209.25</c:v>
                </c:pt>
                <c:pt idx="216">
                  <c:v>17076.95</c:v>
                </c:pt>
                <c:pt idx="217">
                  <c:v>17073.41</c:v>
                </c:pt>
                <c:pt idx="218">
                  <c:v>17069.79</c:v>
                </c:pt>
                <c:pt idx="219">
                  <c:v>17058.330000000002</c:v>
                </c:pt>
                <c:pt idx="220">
                  <c:v>16941.810000000001</c:v>
                </c:pt>
                <c:pt idx="221">
                  <c:v>16911.97</c:v>
                </c:pt>
                <c:pt idx="222">
                  <c:v>16907.559999999998</c:v>
                </c:pt>
                <c:pt idx="223">
                  <c:v>16885.739999999998</c:v>
                </c:pt>
                <c:pt idx="224">
                  <c:v>16840.03</c:v>
                </c:pt>
                <c:pt idx="225">
                  <c:v>16799.239999999998</c:v>
                </c:pt>
                <c:pt idx="226">
                  <c:v>16704.940000000002</c:v>
                </c:pt>
                <c:pt idx="227">
                  <c:v>16700.64</c:v>
                </c:pt>
                <c:pt idx="228">
                  <c:v>16677.91</c:v>
                </c:pt>
                <c:pt idx="229">
                  <c:v>16673.53</c:v>
                </c:pt>
                <c:pt idx="230">
                  <c:v>16658.43</c:v>
                </c:pt>
                <c:pt idx="231">
                  <c:v>16655.03</c:v>
                </c:pt>
                <c:pt idx="232">
                  <c:v>16633.63</c:v>
                </c:pt>
                <c:pt idx="233">
                  <c:v>16482.060000000001</c:v>
                </c:pt>
                <c:pt idx="234">
                  <c:v>16481.98</c:v>
                </c:pt>
                <c:pt idx="235">
                  <c:v>16457.75</c:v>
                </c:pt>
                <c:pt idx="236">
                  <c:v>16283.12</c:v>
                </c:pt>
                <c:pt idx="237">
                  <c:v>16261.120000000003</c:v>
                </c:pt>
                <c:pt idx="238">
                  <c:v>16130.61</c:v>
                </c:pt>
                <c:pt idx="239">
                  <c:v>16096.88</c:v>
                </c:pt>
                <c:pt idx="240">
                  <c:v>15969.95</c:v>
                </c:pt>
                <c:pt idx="241">
                  <c:v>15815.189999999999</c:v>
                </c:pt>
                <c:pt idx="242">
                  <c:v>15789.33</c:v>
                </c:pt>
                <c:pt idx="243">
                  <c:v>15785.47</c:v>
                </c:pt>
                <c:pt idx="244">
                  <c:v>15757.149999999998</c:v>
                </c:pt>
                <c:pt idx="245">
                  <c:v>15733.99</c:v>
                </c:pt>
                <c:pt idx="246">
                  <c:v>15701.130000000001</c:v>
                </c:pt>
                <c:pt idx="247">
                  <c:v>15668.99</c:v>
                </c:pt>
                <c:pt idx="248">
                  <c:v>15543.07</c:v>
                </c:pt>
                <c:pt idx="249">
                  <c:v>15511.58</c:v>
                </c:pt>
                <c:pt idx="250">
                  <c:v>15486.840000000002</c:v>
                </c:pt>
                <c:pt idx="251">
                  <c:v>15434.78</c:v>
                </c:pt>
                <c:pt idx="252">
                  <c:v>15394.86</c:v>
                </c:pt>
                <c:pt idx="253">
                  <c:v>15305.869999999999</c:v>
                </c:pt>
                <c:pt idx="254">
                  <c:v>15265.15</c:v>
                </c:pt>
                <c:pt idx="255">
                  <c:v>15167.579999999998</c:v>
                </c:pt>
                <c:pt idx="256">
                  <c:v>15093.439999999999</c:v>
                </c:pt>
                <c:pt idx="257">
                  <c:v>15090.130000000001</c:v>
                </c:pt>
                <c:pt idx="258">
                  <c:v>15087.74</c:v>
                </c:pt>
                <c:pt idx="259">
                  <c:v>15023.84</c:v>
                </c:pt>
                <c:pt idx="260">
                  <c:v>14926.419999999998</c:v>
                </c:pt>
                <c:pt idx="261">
                  <c:v>14874.32</c:v>
                </c:pt>
                <c:pt idx="262">
                  <c:v>14828.02</c:v>
                </c:pt>
                <c:pt idx="263">
                  <c:v>14825.669999999998</c:v>
                </c:pt>
                <c:pt idx="264">
                  <c:v>14746.529999999999</c:v>
                </c:pt>
                <c:pt idx="265">
                  <c:v>14680.96</c:v>
                </c:pt>
                <c:pt idx="266">
                  <c:v>14680.710000000001</c:v>
                </c:pt>
                <c:pt idx="267">
                  <c:v>14619.27</c:v>
                </c:pt>
                <c:pt idx="268">
                  <c:v>14607.119999999999</c:v>
                </c:pt>
                <c:pt idx="269">
                  <c:v>14546.36</c:v>
                </c:pt>
                <c:pt idx="270">
                  <c:v>14508.03</c:v>
                </c:pt>
                <c:pt idx="271">
                  <c:v>14502.16</c:v>
                </c:pt>
                <c:pt idx="272">
                  <c:v>14367.24</c:v>
                </c:pt>
                <c:pt idx="273">
                  <c:v>14299.470000000001</c:v>
                </c:pt>
                <c:pt idx="274">
                  <c:v>14291.990000000002</c:v>
                </c:pt>
                <c:pt idx="275">
                  <c:v>14241.27</c:v>
                </c:pt>
                <c:pt idx="276">
                  <c:v>14210.06</c:v>
                </c:pt>
                <c:pt idx="277">
                  <c:v>14176.57</c:v>
                </c:pt>
                <c:pt idx="278">
                  <c:v>14101.29</c:v>
                </c:pt>
                <c:pt idx="279">
                  <c:v>13989.36</c:v>
                </c:pt>
                <c:pt idx="280">
                  <c:v>13923.89</c:v>
                </c:pt>
                <c:pt idx="281">
                  <c:v>13899.5</c:v>
                </c:pt>
                <c:pt idx="282">
                  <c:v>13831.18</c:v>
                </c:pt>
                <c:pt idx="283">
                  <c:v>13794.29</c:v>
                </c:pt>
                <c:pt idx="284">
                  <c:v>13791.79</c:v>
                </c:pt>
                <c:pt idx="285">
                  <c:v>13776.599999999999</c:v>
                </c:pt>
                <c:pt idx="286">
                  <c:v>13714.69</c:v>
                </c:pt>
                <c:pt idx="287">
                  <c:v>13504.529999999999</c:v>
                </c:pt>
                <c:pt idx="288">
                  <c:v>13485.890000000001</c:v>
                </c:pt>
                <c:pt idx="289">
                  <c:v>13473.44</c:v>
                </c:pt>
                <c:pt idx="290">
                  <c:v>13472.6</c:v>
                </c:pt>
                <c:pt idx="291">
                  <c:v>13380.29</c:v>
                </c:pt>
                <c:pt idx="292">
                  <c:v>13217.06</c:v>
                </c:pt>
                <c:pt idx="293">
                  <c:v>13189.02</c:v>
                </c:pt>
                <c:pt idx="294">
                  <c:v>13177.19</c:v>
                </c:pt>
                <c:pt idx="295">
                  <c:v>13143.21</c:v>
                </c:pt>
                <c:pt idx="296">
                  <c:v>13109.32</c:v>
                </c:pt>
                <c:pt idx="297">
                  <c:v>13098</c:v>
                </c:pt>
                <c:pt idx="298">
                  <c:v>13067.06</c:v>
                </c:pt>
                <c:pt idx="299">
                  <c:v>13028.73</c:v>
                </c:pt>
                <c:pt idx="300">
                  <c:v>13003</c:v>
                </c:pt>
                <c:pt idx="301">
                  <c:v>12977.62</c:v>
                </c:pt>
                <c:pt idx="302">
                  <c:v>12974.58</c:v>
                </c:pt>
                <c:pt idx="303">
                  <c:v>12605.99</c:v>
                </c:pt>
                <c:pt idx="304">
                  <c:v>12540.470000000001</c:v>
                </c:pt>
                <c:pt idx="305">
                  <c:v>12484.23</c:v>
                </c:pt>
                <c:pt idx="306">
                  <c:v>12451.079999999998</c:v>
                </c:pt>
                <c:pt idx="307">
                  <c:v>12446.94</c:v>
                </c:pt>
                <c:pt idx="308">
                  <c:v>12405.95</c:v>
                </c:pt>
                <c:pt idx="309">
                  <c:v>12403.150000000001</c:v>
                </c:pt>
                <c:pt idx="310">
                  <c:v>12296.3</c:v>
                </c:pt>
                <c:pt idx="311">
                  <c:v>12250</c:v>
                </c:pt>
                <c:pt idx="312">
                  <c:v>12238.56</c:v>
                </c:pt>
                <c:pt idx="313">
                  <c:v>12169.74</c:v>
                </c:pt>
                <c:pt idx="314">
                  <c:v>12115.189999999999</c:v>
                </c:pt>
                <c:pt idx="315">
                  <c:v>12104.02</c:v>
                </c:pt>
                <c:pt idx="316">
                  <c:v>12069.39</c:v>
                </c:pt>
                <c:pt idx="317">
                  <c:v>12025.36</c:v>
                </c:pt>
                <c:pt idx="318">
                  <c:v>12001.69</c:v>
                </c:pt>
                <c:pt idx="319">
                  <c:v>11974.32</c:v>
                </c:pt>
                <c:pt idx="320">
                  <c:v>11952.95</c:v>
                </c:pt>
                <c:pt idx="321">
                  <c:v>11946.189999999999</c:v>
                </c:pt>
                <c:pt idx="322">
                  <c:v>11892.05</c:v>
                </c:pt>
                <c:pt idx="323">
                  <c:v>11832.11</c:v>
                </c:pt>
                <c:pt idx="324">
                  <c:v>11693.77</c:v>
                </c:pt>
                <c:pt idx="325">
                  <c:v>11668.61</c:v>
                </c:pt>
                <c:pt idx="326">
                  <c:v>11649.66</c:v>
                </c:pt>
                <c:pt idx="327">
                  <c:v>11590.900000000001</c:v>
                </c:pt>
                <c:pt idx="328">
                  <c:v>11553.64</c:v>
                </c:pt>
                <c:pt idx="329">
                  <c:v>11533.16</c:v>
                </c:pt>
                <c:pt idx="330">
                  <c:v>11493.66</c:v>
                </c:pt>
                <c:pt idx="331">
                  <c:v>11459.380000000001</c:v>
                </c:pt>
                <c:pt idx="332">
                  <c:v>11454.48</c:v>
                </c:pt>
                <c:pt idx="333">
                  <c:v>11409.61</c:v>
                </c:pt>
                <c:pt idx="334">
                  <c:v>11392.75</c:v>
                </c:pt>
                <c:pt idx="335">
                  <c:v>11286.31</c:v>
                </c:pt>
                <c:pt idx="336">
                  <c:v>11266.84</c:v>
                </c:pt>
                <c:pt idx="337">
                  <c:v>11132.64</c:v>
                </c:pt>
                <c:pt idx="338">
                  <c:v>11070.34</c:v>
                </c:pt>
                <c:pt idx="339">
                  <c:v>11065.74</c:v>
                </c:pt>
                <c:pt idx="340">
                  <c:v>11011.05</c:v>
                </c:pt>
                <c:pt idx="341">
                  <c:v>10997.29</c:v>
                </c:pt>
                <c:pt idx="342">
                  <c:v>10948.08</c:v>
                </c:pt>
                <c:pt idx="343">
                  <c:v>10727.05</c:v>
                </c:pt>
                <c:pt idx="344">
                  <c:v>10722.76</c:v>
                </c:pt>
                <c:pt idx="345">
                  <c:v>10686.82</c:v>
                </c:pt>
                <c:pt idx="346">
                  <c:v>10634.91</c:v>
                </c:pt>
                <c:pt idx="347">
                  <c:v>10608.14</c:v>
                </c:pt>
                <c:pt idx="348">
                  <c:v>10530.8</c:v>
                </c:pt>
                <c:pt idx="349">
                  <c:v>10452.89</c:v>
                </c:pt>
                <c:pt idx="350">
                  <c:v>10445.380000000001</c:v>
                </c:pt>
                <c:pt idx="351">
                  <c:v>10429.02</c:v>
                </c:pt>
                <c:pt idx="352">
                  <c:v>10307.959999999999</c:v>
                </c:pt>
                <c:pt idx="353">
                  <c:v>10299.59</c:v>
                </c:pt>
                <c:pt idx="354">
                  <c:v>10207.08</c:v>
                </c:pt>
                <c:pt idx="355">
                  <c:v>10092.459999999999</c:v>
                </c:pt>
                <c:pt idx="356">
                  <c:v>10053.310000000001</c:v>
                </c:pt>
                <c:pt idx="357">
                  <c:v>10026.26</c:v>
                </c:pt>
                <c:pt idx="358">
                  <c:v>9978.4700000000012</c:v>
                </c:pt>
                <c:pt idx="359">
                  <c:v>9938.36</c:v>
                </c:pt>
                <c:pt idx="360">
                  <c:v>9922.34</c:v>
                </c:pt>
                <c:pt idx="361">
                  <c:v>9844.56</c:v>
                </c:pt>
                <c:pt idx="362">
                  <c:v>9830.0499999999993</c:v>
                </c:pt>
                <c:pt idx="363">
                  <c:v>9693.8700000000008</c:v>
                </c:pt>
                <c:pt idx="364">
                  <c:v>9664.7000000000007</c:v>
                </c:pt>
                <c:pt idx="365">
                  <c:v>9645.380000000001</c:v>
                </c:pt>
                <c:pt idx="366">
                  <c:v>9563.75</c:v>
                </c:pt>
                <c:pt idx="367">
                  <c:v>9418.2999999999993</c:v>
                </c:pt>
                <c:pt idx="368">
                  <c:v>9414.1299999999992</c:v>
                </c:pt>
                <c:pt idx="369">
                  <c:v>9186.2999999999993</c:v>
                </c:pt>
                <c:pt idx="370">
                  <c:v>9159.07</c:v>
                </c:pt>
                <c:pt idx="371">
                  <c:v>9111.3700000000008</c:v>
                </c:pt>
                <c:pt idx="372">
                  <c:v>9094.44</c:v>
                </c:pt>
                <c:pt idx="373">
                  <c:v>9088.75</c:v>
                </c:pt>
                <c:pt idx="374">
                  <c:v>9052.93</c:v>
                </c:pt>
                <c:pt idx="375">
                  <c:v>9031.5299999999988</c:v>
                </c:pt>
                <c:pt idx="376">
                  <c:v>9017.26</c:v>
                </c:pt>
                <c:pt idx="377">
                  <c:v>9006.6299999999992</c:v>
                </c:pt>
                <c:pt idx="378">
                  <c:v>9001.6299999999992</c:v>
                </c:pt>
                <c:pt idx="379">
                  <c:v>8966.9</c:v>
                </c:pt>
                <c:pt idx="380">
                  <c:v>8946.11</c:v>
                </c:pt>
                <c:pt idx="381">
                  <c:v>8933.5500000000011</c:v>
                </c:pt>
                <c:pt idx="382">
                  <c:v>8802.09</c:v>
                </c:pt>
                <c:pt idx="383">
                  <c:v>8798.8700000000008</c:v>
                </c:pt>
                <c:pt idx="384">
                  <c:v>8736.8299999999981</c:v>
                </c:pt>
                <c:pt idx="385">
                  <c:v>8649.8499999999985</c:v>
                </c:pt>
                <c:pt idx="386">
                  <c:v>8637.07</c:v>
                </c:pt>
                <c:pt idx="387">
                  <c:v>8628.9599999999991</c:v>
                </c:pt>
                <c:pt idx="388">
                  <c:v>8620.09</c:v>
                </c:pt>
                <c:pt idx="389">
                  <c:v>8537.77</c:v>
                </c:pt>
                <c:pt idx="390">
                  <c:v>8487.74</c:v>
                </c:pt>
                <c:pt idx="391">
                  <c:v>8442.2599999999984</c:v>
                </c:pt>
                <c:pt idx="392">
                  <c:v>8381.4500000000007</c:v>
                </c:pt>
                <c:pt idx="393">
                  <c:v>8335.85</c:v>
                </c:pt>
                <c:pt idx="394">
                  <c:v>8304.51</c:v>
                </c:pt>
                <c:pt idx="395">
                  <c:v>8239.36</c:v>
                </c:pt>
                <c:pt idx="396">
                  <c:v>8229.880000000001</c:v>
                </c:pt>
                <c:pt idx="397">
                  <c:v>8215</c:v>
                </c:pt>
                <c:pt idx="398">
                  <c:v>8185.24</c:v>
                </c:pt>
                <c:pt idx="399">
                  <c:v>8135.4</c:v>
                </c:pt>
                <c:pt idx="400">
                  <c:v>8131.95</c:v>
                </c:pt>
                <c:pt idx="401">
                  <c:v>8084.45</c:v>
                </c:pt>
                <c:pt idx="402">
                  <c:v>8021.92</c:v>
                </c:pt>
                <c:pt idx="403">
                  <c:v>7932.54</c:v>
                </c:pt>
                <c:pt idx="404">
                  <c:v>7792.4</c:v>
                </c:pt>
                <c:pt idx="405">
                  <c:v>7787.09</c:v>
                </c:pt>
                <c:pt idx="406">
                  <c:v>7767.32</c:v>
                </c:pt>
                <c:pt idx="407">
                  <c:v>7751.35</c:v>
                </c:pt>
                <c:pt idx="408">
                  <c:v>7723.01</c:v>
                </c:pt>
                <c:pt idx="409">
                  <c:v>7698.6100000000006</c:v>
                </c:pt>
                <c:pt idx="410">
                  <c:v>7579.33</c:v>
                </c:pt>
                <c:pt idx="411">
                  <c:v>7570.3899999999994</c:v>
                </c:pt>
                <c:pt idx="412">
                  <c:v>7466.5</c:v>
                </c:pt>
                <c:pt idx="413">
                  <c:v>7420.96</c:v>
                </c:pt>
                <c:pt idx="414">
                  <c:v>7400.6</c:v>
                </c:pt>
                <c:pt idx="415">
                  <c:v>7154.6399999999994</c:v>
                </c:pt>
                <c:pt idx="416">
                  <c:v>7140.96</c:v>
                </c:pt>
                <c:pt idx="417">
                  <c:v>6993.3700000000008</c:v>
                </c:pt>
                <c:pt idx="418">
                  <c:v>6955.62</c:v>
                </c:pt>
                <c:pt idx="419">
                  <c:v>6745.4600000000009</c:v>
                </c:pt>
                <c:pt idx="420">
                  <c:v>6628.68</c:v>
                </c:pt>
                <c:pt idx="421">
                  <c:v>6272.58</c:v>
                </c:pt>
                <c:pt idx="422">
                  <c:v>6266</c:v>
                </c:pt>
                <c:pt idx="423">
                  <c:v>6263.08</c:v>
                </c:pt>
                <c:pt idx="424">
                  <c:v>6115.85</c:v>
                </c:pt>
                <c:pt idx="425">
                  <c:v>5846.87</c:v>
                </c:pt>
                <c:pt idx="426">
                  <c:v>5786.26</c:v>
                </c:pt>
                <c:pt idx="427">
                  <c:v>5760.2800000000007</c:v>
                </c:pt>
                <c:pt idx="428">
                  <c:v>5628.2800000000007</c:v>
                </c:pt>
                <c:pt idx="429">
                  <c:v>5598.62</c:v>
                </c:pt>
                <c:pt idx="430">
                  <c:v>5512.71</c:v>
                </c:pt>
                <c:pt idx="431">
                  <c:v>5507.77</c:v>
                </c:pt>
                <c:pt idx="432">
                  <c:v>5501.59</c:v>
                </c:pt>
                <c:pt idx="433">
                  <c:v>5484.27</c:v>
                </c:pt>
                <c:pt idx="434">
                  <c:v>5388.79</c:v>
                </c:pt>
                <c:pt idx="435">
                  <c:v>5269.27</c:v>
                </c:pt>
                <c:pt idx="436">
                  <c:v>5237.9799999999996</c:v>
                </c:pt>
                <c:pt idx="437">
                  <c:v>5191.43</c:v>
                </c:pt>
                <c:pt idx="438">
                  <c:v>5182.63</c:v>
                </c:pt>
                <c:pt idx="439">
                  <c:v>5158.49</c:v>
                </c:pt>
                <c:pt idx="440">
                  <c:v>5147.59</c:v>
                </c:pt>
                <c:pt idx="441">
                  <c:v>4978.49</c:v>
                </c:pt>
                <c:pt idx="442">
                  <c:v>4872.53</c:v>
                </c:pt>
                <c:pt idx="443">
                  <c:v>4838.42</c:v>
                </c:pt>
                <c:pt idx="444">
                  <c:v>4831.24</c:v>
                </c:pt>
                <c:pt idx="445">
                  <c:v>4725.8</c:v>
                </c:pt>
                <c:pt idx="446">
                  <c:v>4706.43</c:v>
                </c:pt>
                <c:pt idx="447">
                  <c:v>4679.53</c:v>
                </c:pt>
                <c:pt idx="448">
                  <c:v>4666.09</c:v>
                </c:pt>
                <c:pt idx="449">
                  <c:v>4646.16</c:v>
                </c:pt>
                <c:pt idx="450">
                  <c:v>4617.21</c:v>
                </c:pt>
                <c:pt idx="451">
                  <c:v>4523.37</c:v>
                </c:pt>
                <c:pt idx="452">
                  <c:v>4495.7000000000007</c:v>
                </c:pt>
                <c:pt idx="453">
                  <c:v>4451.93</c:v>
                </c:pt>
                <c:pt idx="454">
                  <c:v>4427.4799999999996</c:v>
                </c:pt>
                <c:pt idx="455">
                  <c:v>4354.84</c:v>
                </c:pt>
                <c:pt idx="456">
                  <c:v>4303.8700000000008</c:v>
                </c:pt>
                <c:pt idx="457">
                  <c:v>4197.5</c:v>
                </c:pt>
                <c:pt idx="458">
                  <c:v>4051.79</c:v>
                </c:pt>
                <c:pt idx="459">
                  <c:v>3893.92</c:v>
                </c:pt>
                <c:pt idx="460">
                  <c:v>3683.1000000000004</c:v>
                </c:pt>
                <c:pt idx="461">
                  <c:v>3637.66</c:v>
                </c:pt>
                <c:pt idx="462">
                  <c:v>3506.16</c:v>
                </c:pt>
                <c:pt idx="463">
                  <c:v>3326.55</c:v>
                </c:pt>
                <c:pt idx="464">
                  <c:v>3239.94</c:v>
                </c:pt>
                <c:pt idx="465">
                  <c:v>2989.5600000000004</c:v>
                </c:pt>
                <c:pt idx="466">
                  <c:v>2966.34</c:v>
                </c:pt>
                <c:pt idx="467">
                  <c:v>2891.38</c:v>
                </c:pt>
                <c:pt idx="468">
                  <c:v>2869.98</c:v>
                </c:pt>
                <c:pt idx="469">
                  <c:v>2849.17</c:v>
                </c:pt>
                <c:pt idx="470">
                  <c:v>2710.07</c:v>
                </c:pt>
                <c:pt idx="471">
                  <c:v>2657.21</c:v>
                </c:pt>
                <c:pt idx="472">
                  <c:v>2540.09</c:v>
                </c:pt>
                <c:pt idx="473">
                  <c:v>2335.48</c:v>
                </c:pt>
                <c:pt idx="474">
                  <c:v>2246.4499999999998</c:v>
                </c:pt>
                <c:pt idx="475">
                  <c:v>2078.25</c:v>
                </c:pt>
                <c:pt idx="476">
                  <c:v>1932.9699999999998</c:v>
                </c:pt>
                <c:pt idx="477">
                  <c:v>1925.93</c:v>
                </c:pt>
                <c:pt idx="478">
                  <c:v>1922.84</c:v>
                </c:pt>
                <c:pt idx="479">
                  <c:v>1706.75</c:v>
                </c:pt>
                <c:pt idx="480">
                  <c:v>1678.21</c:v>
                </c:pt>
                <c:pt idx="481">
                  <c:v>1612.69</c:v>
                </c:pt>
                <c:pt idx="482">
                  <c:v>1575.23</c:v>
                </c:pt>
                <c:pt idx="483">
                  <c:v>1467.41</c:v>
                </c:pt>
                <c:pt idx="484">
                  <c:v>1287.6500000000001</c:v>
                </c:pt>
                <c:pt idx="485">
                  <c:v>1195.33</c:v>
                </c:pt>
                <c:pt idx="486">
                  <c:v>1117.69</c:v>
                </c:pt>
                <c:pt idx="487">
                  <c:v>983.32</c:v>
                </c:pt>
                <c:pt idx="488">
                  <c:v>943.03</c:v>
                </c:pt>
                <c:pt idx="489">
                  <c:v>675.64</c:v>
                </c:pt>
                <c:pt idx="490">
                  <c:v>656.95</c:v>
                </c:pt>
                <c:pt idx="491">
                  <c:v>431.68</c:v>
                </c:pt>
                <c:pt idx="492">
                  <c:v>244.73</c:v>
                </c:pt>
              </c:numCache>
            </c:numRef>
          </c:val>
          <c:extLst>
            <c:ext xmlns:c16="http://schemas.microsoft.com/office/drawing/2014/chart" uri="{C3380CC4-5D6E-409C-BE32-E72D297353CC}">
              <c16:uniqueId val="{00000001-5C16-441F-B94D-A2AD7DFCB491}"/>
            </c:ext>
          </c:extLst>
        </c:ser>
        <c:dLbls>
          <c:showLegendKey val="0"/>
          <c:showVal val="0"/>
          <c:showCatName val="0"/>
          <c:showSerName val="0"/>
          <c:showPercent val="0"/>
          <c:showBubbleSize val="0"/>
        </c:dLbls>
        <c:gapWidth val="150"/>
        <c:shape val="box"/>
        <c:axId val="1917062255"/>
        <c:axId val="1917062735"/>
        <c:axId val="0"/>
      </c:bar3DChart>
      <c:catAx>
        <c:axId val="191706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17062735"/>
        <c:crosses val="autoZero"/>
        <c:auto val="1"/>
        <c:lblAlgn val="ctr"/>
        <c:lblOffset val="100"/>
        <c:noMultiLvlLbl val="0"/>
      </c:catAx>
      <c:valAx>
        <c:axId val="1917062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6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&amp; Dashboard.xlsx]Branch Performance!PivotTable5</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a:t>
            </a:r>
            <a:r>
              <a:rPr lang="en-US" baseline="0"/>
              <a:t> Performance</a:t>
            </a:r>
            <a:endParaRPr lang="en-US"/>
          </a:p>
        </c:rich>
      </c:tx>
      <c:layout>
        <c:manualLayout>
          <c:xMode val="edge"/>
          <c:yMode val="edge"/>
          <c:x val="0.44184011373578291"/>
          <c:y val="4.5275590551181105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34955194359094"/>
          <c:y val="0.2572178477690289"/>
          <c:w val="0.49733597058756918"/>
          <c:h val="0.65853091280256637"/>
        </c:manualLayout>
      </c:layout>
      <c:bar3DChart>
        <c:barDir val="col"/>
        <c:grouping val="standard"/>
        <c:varyColors val="0"/>
        <c:ser>
          <c:idx val="0"/>
          <c:order val="0"/>
          <c:tx>
            <c:strRef>
              <c:f>'Branch Performance'!$B$3</c:f>
              <c:strCache>
                <c:ptCount val="1"/>
                <c:pt idx="0">
                  <c:v>Sum of Profit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Performance'!$A$4:$A$8</c:f>
              <c:strCache>
                <c:ptCount val="4"/>
                <c:pt idx="0">
                  <c:v>Ogba</c:v>
                </c:pt>
                <c:pt idx="1">
                  <c:v>Surulere</c:v>
                </c:pt>
                <c:pt idx="2">
                  <c:v>Yaba</c:v>
                </c:pt>
                <c:pt idx="3">
                  <c:v>Ikeja</c:v>
                </c:pt>
              </c:strCache>
            </c:strRef>
          </c:cat>
          <c:val>
            <c:numRef>
              <c:f>'Branch Performance'!$B$4:$B$8</c:f>
              <c:numCache>
                <c:formatCode>_(* #,##0.00_);_(* \(#,##0.00\);_(* "-"??_);_(@_)</c:formatCode>
                <c:ptCount val="4"/>
                <c:pt idx="0">
                  <c:v>2252928.1000000006</c:v>
                </c:pt>
                <c:pt idx="1">
                  <c:v>2229042.3100000019</c:v>
                </c:pt>
                <c:pt idx="2">
                  <c:v>2166490.5899999989</c:v>
                </c:pt>
                <c:pt idx="3">
                  <c:v>2035408.5099999998</c:v>
                </c:pt>
              </c:numCache>
            </c:numRef>
          </c:val>
          <c:extLst>
            <c:ext xmlns:c16="http://schemas.microsoft.com/office/drawing/2014/chart" uri="{C3380CC4-5D6E-409C-BE32-E72D297353CC}">
              <c16:uniqueId val="{00000000-56FB-4CDC-A827-19D05B5CA8A8}"/>
            </c:ext>
          </c:extLst>
        </c:ser>
        <c:ser>
          <c:idx val="1"/>
          <c:order val="1"/>
          <c:tx>
            <c:strRef>
              <c:f>'Branch Performance'!$C$3</c:f>
              <c:strCache>
                <c:ptCount val="1"/>
                <c:pt idx="0">
                  <c:v>Sum of Total Revenue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 Performance'!$A$4:$A$8</c:f>
              <c:strCache>
                <c:ptCount val="4"/>
                <c:pt idx="0">
                  <c:v>Ogba</c:v>
                </c:pt>
                <c:pt idx="1">
                  <c:v>Surulere</c:v>
                </c:pt>
                <c:pt idx="2">
                  <c:v>Yaba</c:v>
                </c:pt>
                <c:pt idx="3">
                  <c:v>Ikeja</c:v>
                </c:pt>
              </c:strCache>
            </c:strRef>
          </c:cat>
          <c:val>
            <c:numRef>
              <c:f>'Branch Performance'!$C$4:$C$8</c:f>
              <c:numCache>
                <c:formatCode>_(* #,##0.00_);_(* \(#,##0.00\);_(* "-"??_);_(@_)</c:formatCode>
                <c:ptCount val="4"/>
                <c:pt idx="0">
                  <c:v>7628001.6999999993</c:v>
                </c:pt>
                <c:pt idx="1">
                  <c:v>7239454.1000000015</c:v>
                </c:pt>
                <c:pt idx="2">
                  <c:v>7119218.3500000006</c:v>
                </c:pt>
                <c:pt idx="3">
                  <c:v>6891192.9000000013</c:v>
                </c:pt>
              </c:numCache>
            </c:numRef>
          </c:val>
          <c:extLst>
            <c:ext xmlns:c16="http://schemas.microsoft.com/office/drawing/2014/chart" uri="{C3380CC4-5D6E-409C-BE32-E72D297353CC}">
              <c16:uniqueId val="{00000001-56FB-4CDC-A827-19D05B5CA8A8}"/>
            </c:ext>
          </c:extLst>
        </c:ser>
        <c:dLbls>
          <c:showLegendKey val="0"/>
          <c:showVal val="1"/>
          <c:showCatName val="0"/>
          <c:showSerName val="0"/>
          <c:showPercent val="0"/>
          <c:showBubbleSize val="0"/>
        </c:dLbls>
        <c:gapWidth val="150"/>
        <c:shape val="box"/>
        <c:axId val="1917100655"/>
        <c:axId val="1917090095"/>
        <c:axId val="1601660031"/>
      </c:bar3DChart>
      <c:catAx>
        <c:axId val="191710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90095"/>
        <c:crosses val="autoZero"/>
        <c:auto val="1"/>
        <c:lblAlgn val="ctr"/>
        <c:lblOffset val="100"/>
        <c:noMultiLvlLbl val="0"/>
      </c:catAx>
      <c:valAx>
        <c:axId val="191709009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0655"/>
        <c:crosses val="autoZero"/>
        <c:crossBetween val="between"/>
      </c:valAx>
      <c:serAx>
        <c:axId val="1601660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900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120650</xdr:colOff>
      <xdr:row>1</xdr:row>
      <xdr:rowOff>1</xdr:rowOff>
    </xdr:from>
    <xdr:to>
      <xdr:col>5</xdr:col>
      <xdr:colOff>311150</xdr:colOff>
      <xdr:row>12</xdr:row>
      <xdr:rowOff>165101</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82CBE7D6-6B6D-ABB7-2073-258225CC98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13100" y="184151"/>
              <a:ext cx="14097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0</xdr:row>
      <xdr:rowOff>177801</xdr:rowOff>
    </xdr:from>
    <xdr:to>
      <xdr:col>7</xdr:col>
      <xdr:colOff>419100</xdr:colOff>
      <xdr:row>13</xdr:row>
      <xdr:rowOff>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96E09175-861D-5BBC-F250-D8F2FA81E2A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87900" y="177801"/>
              <a:ext cx="1162050" cy="221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4</xdr:row>
      <xdr:rowOff>69850</xdr:rowOff>
    </xdr:from>
    <xdr:to>
      <xdr:col>2</xdr:col>
      <xdr:colOff>1657350</xdr:colOff>
      <xdr:row>21</xdr:row>
      <xdr:rowOff>31750</xdr:rowOff>
    </xdr:to>
    <xdr:graphicFrame macro="">
      <xdr:nvGraphicFramePr>
        <xdr:cNvPr id="2" name="Chart 1">
          <a:extLst>
            <a:ext uri="{FF2B5EF4-FFF2-40B4-BE49-F238E27FC236}">
              <a16:creationId xmlns:a16="http://schemas.microsoft.com/office/drawing/2014/main" id="{5A4F01C3-FC7A-4743-90C6-3ACA7FD93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1847850</xdr:colOff>
      <xdr:row>4</xdr:row>
      <xdr:rowOff>69850</xdr:rowOff>
    </xdr:from>
    <xdr:to>
      <xdr:col>8</xdr:col>
      <xdr:colOff>203200</xdr:colOff>
      <xdr:row>21</xdr:row>
      <xdr:rowOff>31750</xdr:rowOff>
    </xdr:to>
    <xdr:graphicFrame macro="">
      <xdr:nvGraphicFramePr>
        <xdr:cNvPr id="3" name="Chart 2">
          <a:extLst>
            <a:ext uri="{FF2B5EF4-FFF2-40B4-BE49-F238E27FC236}">
              <a16:creationId xmlns:a16="http://schemas.microsoft.com/office/drawing/2014/main" id="{9C205FB2-F84F-4DFC-945A-FFB6A167B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xdr:colOff>
      <xdr:row>22</xdr:row>
      <xdr:rowOff>69850</xdr:rowOff>
    </xdr:from>
    <xdr:to>
      <xdr:col>2</xdr:col>
      <xdr:colOff>1689100</xdr:colOff>
      <xdr:row>39</xdr:row>
      <xdr:rowOff>107950</xdr:rowOff>
    </xdr:to>
    <xdr:graphicFrame macro="">
      <xdr:nvGraphicFramePr>
        <xdr:cNvPr id="4" name="Chart 3">
          <a:extLst>
            <a:ext uri="{FF2B5EF4-FFF2-40B4-BE49-F238E27FC236}">
              <a16:creationId xmlns:a16="http://schemas.microsoft.com/office/drawing/2014/main" id="{5A2C2091-BF1A-4C9F-AA4D-4C1AED8F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22</xdr:row>
      <xdr:rowOff>63500</xdr:rowOff>
    </xdr:from>
    <xdr:to>
      <xdr:col>8</xdr:col>
      <xdr:colOff>298450</xdr:colOff>
      <xdr:row>39</xdr:row>
      <xdr:rowOff>95250</xdr:rowOff>
    </xdr:to>
    <xdr:graphicFrame macro="">
      <xdr:nvGraphicFramePr>
        <xdr:cNvPr id="6" name="Chart 5">
          <a:extLst>
            <a:ext uri="{FF2B5EF4-FFF2-40B4-BE49-F238E27FC236}">
              <a16:creationId xmlns:a16="http://schemas.microsoft.com/office/drawing/2014/main" id="{3CC786A3-3418-4BEA-A60A-2C8DB0930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43</xdr:row>
      <xdr:rowOff>107951</xdr:rowOff>
    </xdr:from>
    <xdr:to>
      <xdr:col>1</xdr:col>
      <xdr:colOff>146050</xdr:colOff>
      <xdr:row>55</xdr:row>
      <xdr:rowOff>177800</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C99A22C8-3330-4BDA-B529-68802860DDA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4300" y="8293101"/>
              <a:ext cx="1828800" cy="2279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127000</xdr:colOff>
      <xdr:row>43</xdr:row>
      <xdr:rowOff>101601</xdr:rowOff>
    </xdr:from>
    <xdr:to>
      <xdr:col>1</xdr:col>
      <xdr:colOff>1955800</xdr:colOff>
      <xdr:row>55</xdr:row>
      <xdr:rowOff>177801</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3646E743-E621-4974-B497-4AFCEBD6CFF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24050" y="8286751"/>
              <a:ext cx="1828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1905000</xdr:colOff>
      <xdr:row>43</xdr:row>
      <xdr:rowOff>88901</xdr:rowOff>
    </xdr:from>
    <xdr:to>
      <xdr:col>2</xdr:col>
      <xdr:colOff>1714500</xdr:colOff>
      <xdr:row>51</xdr:row>
      <xdr:rowOff>1</xdr:rowOff>
    </xdr:to>
    <mc:AlternateContent xmlns:mc="http://schemas.openxmlformats.org/markup-compatibility/2006" xmlns:a14="http://schemas.microsoft.com/office/drawing/2010/main">
      <mc:Choice Requires="a14">
        <xdr:graphicFrame macro="">
          <xdr:nvGraphicFramePr>
            <xdr:cNvPr id="9" name="Branch">
              <a:extLst>
                <a:ext uri="{FF2B5EF4-FFF2-40B4-BE49-F238E27FC236}">
                  <a16:creationId xmlns:a16="http://schemas.microsoft.com/office/drawing/2014/main" id="{EF408842-90F8-4F8E-ADD0-BA4C784F244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702050" y="8274051"/>
              <a:ext cx="1828800" cy="138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406400</xdr:colOff>
      <xdr:row>43</xdr:row>
      <xdr:rowOff>88900</xdr:rowOff>
    </xdr:from>
    <xdr:ext cx="5416550" cy="3987800"/>
    <xdr:sp macro="" textlink="">
      <xdr:nvSpPr>
        <xdr:cNvPr id="10" name="TextBox 9">
          <a:extLst>
            <a:ext uri="{FF2B5EF4-FFF2-40B4-BE49-F238E27FC236}">
              <a16:creationId xmlns:a16="http://schemas.microsoft.com/office/drawing/2014/main" id="{E539804E-191A-75ED-67A1-827E96FC8E7C}"/>
            </a:ext>
          </a:extLst>
        </xdr:cNvPr>
        <xdr:cNvSpPr txBox="1"/>
      </xdr:nvSpPr>
      <xdr:spPr>
        <a:xfrm>
          <a:off x="6089650" y="8274050"/>
          <a:ext cx="5416550" cy="3987800"/>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noAutofit/>
        </a:bodyPr>
        <a:lstStyle/>
        <a:p>
          <a:pPr algn="ctr"/>
          <a:r>
            <a:rPr lang="en-US" sz="1600" b="1">
              <a:latin typeface="Times New Roman" panose="02020603050405020304" pitchFamily="18" charset="0"/>
              <a:cs typeface="Times New Roman" panose="02020603050405020304" pitchFamily="18" charset="0"/>
            </a:rPr>
            <a:t>Insights:</a:t>
          </a:r>
          <a:endParaRPr lang="en-US" sz="1600">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Top Products</a:t>
          </a:r>
          <a:endParaRPr lang="en-US">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Food category leads in revenue and profit.</a:t>
          </a:r>
          <a:r>
            <a:rPr lang="en-US" baseline="0">
              <a:latin typeface="Times New Roman" panose="02020603050405020304" pitchFamily="18" charset="0"/>
              <a:cs typeface="Times New Roman" panose="02020603050405020304" pitchFamily="18" charset="0"/>
            </a:rPr>
            <a:t> </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Soup, Drink, Bakery, Snack follow.</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Grocery, Beef Pie, and Egusi Soup are the lowest performers; low quantities likely affect sales.</a:t>
          </a:r>
        </a:p>
        <a:p>
          <a:r>
            <a:rPr lang="en-US" b="1">
              <a:latin typeface="Times New Roman" panose="02020603050405020304" pitchFamily="18" charset="0"/>
              <a:cs typeface="Times New Roman" panose="02020603050405020304" pitchFamily="18" charset="0"/>
            </a:rPr>
            <a:t>Sales Trends</a:t>
          </a:r>
          <a:endParaRPr lang="en-US">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Peak months: January, April, June, July, August, November.</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Low month: September – consider promotions to boost sales.</a:t>
          </a:r>
        </a:p>
        <a:p>
          <a:r>
            <a:rPr lang="en-US" b="1">
              <a:latin typeface="Times New Roman" panose="02020603050405020304" pitchFamily="18" charset="0"/>
              <a:cs typeface="Times New Roman" panose="02020603050405020304" pitchFamily="18" charset="0"/>
            </a:rPr>
            <a:t>Top Customers</a:t>
          </a:r>
          <a:endParaRPr lang="en-US">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313, 348, 421, 427, 161 are the top 5.</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Customer 313 brings highest revenue; 421 contributes highest profit.</a:t>
          </a:r>
        </a:p>
        <a:p>
          <a:r>
            <a:rPr lang="en-US" b="1">
              <a:latin typeface="Times New Roman" panose="02020603050405020304" pitchFamily="18" charset="0"/>
              <a:cs typeface="Times New Roman" panose="02020603050405020304" pitchFamily="18" charset="0"/>
            </a:rPr>
            <a:t>Location Performance</a:t>
          </a:r>
          <a:endParaRPr lang="en-US">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Best: Ogba</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Moderate: Surulere, Yaba</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Lowest: Ikeja – investigate sales strategy or outreach in this area.</a:t>
          </a:r>
        </a:p>
        <a:p>
          <a:pPr algn="ctr"/>
          <a:r>
            <a:rPr lang="en-US" sz="1400" b="1">
              <a:latin typeface="Times New Roman" panose="02020603050405020304" pitchFamily="18" charset="0"/>
              <a:cs typeface="Times New Roman" panose="02020603050405020304" pitchFamily="18" charset="0"/>
            </a:rPr>
            <a:t>Recommendations:</a:t>
          </a:r>
          <a:endParaRPr lang="en-US" sz="1400">
            <a:latin typeface="Times New Roman" panose="02020603050405020304" pitchFamily="18" charset="0"/>
            <a:cs typeface="Times New Roman" panose="02020603050405020304" pitchFamily="18" charset="0"/>
          </a:endParaRP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Increase quantities and promotions for low-performing products (Beef Pie, Egusi Soup, Grocery).</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Reward top customers to drive repeat business.</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Prepare inventory and campaigns for peak months.</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Track weekly quantities, revenue, and profit to quickly spot trends.</a:t>
          </a:r>
        </a:p>
        <a:p>
          <a:pPr marL="171450" indent="-171450">
            <a:buFont typeface="Arial" panose="020B0604020202020204" pitchFamily="34" charset="0"/>
            <a:buChar char="•"/>
          </a:pPr>
          <a:r>
            <a:rPr lang="en-US">
              <a:latin typeface="Times New Roman" panose="02020603050405020304" pitchFamily="18" charset="0"/>
              <a:cs typeface="Times New Roman" panose="02020603050405020304" pitchFamily="18" charset="0"/>
            </a:rPr>
            <a:t>Focus on improving underperforming locations.</a:t>
          </a:r>
        </a:p>
        <a:p>
          <a:pPr marL="171450" indent="-171450">
            <a:buFont typeface="Wingdings" panose="05000000000000000000" pitchFamily="2" charset="2"/>
            <a:buChar char="§"/>
          </a:pPr>
          <a:endParaRPr lang="en-US">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6.530713888889" createdVersion="8" refreshedVersion="8" minRefreshableVersion="3" recordCount="2000" xr:uid="{6B3AE31B-F52A-439C-A5C0-DF0FD5846FEF}">
  <cacheSource type="worksheet">
    <worksheetSource name="SalesData"/>
  </cacheSource>
  <cacheFields count="17">
    <cacheField name="OrderID" numFmtId="0">
      <sharedItems count="2000">
        <s v="ORD1678"/>
        <s v="ORD1350"/>
        <s v="ORD1476"/>
        <s v="ORD1902"/>
        <s v="ORD659"/>
        <s v="ORD1163"/>
        <s v="ORD1896"/>
        <s v="ORD1697"/>
        <s v="ORD1318"/>
        <s v="ORD486"/>
        <s v="ORD816"/>
        <s v="ORD1716"/>
        <s v="ORD467"/>
        <s v="ORD924"/>
        <s v="ORD96"/>
        <s v="ORD38"/>
        <s v="ORD1639"/>
        <s v="ORD596"/>
        <s v="ORD238"/>
        <s v="ORD985"/>
        <s v="ORD506"/>
        <s v="ORD747"/>
        <s v="ORD1759"/>
        <s v="ORD245"/>
        <s v="ORD1570"/>
        <s v="ORD537"/>
        <s v="ORD49"/>
        <s v="ORD905"/>
        <s v="ORD695"/>
        <s v="ORD1767"/>
        <s v="ORD556"/>
        <s v="ORD994"/>
        <s v="ORD1535"/>
        <s v="ORD970"/>
        <s v="ORD1745"/>
        <s v="ORD1423"/>
        <s v="ORD1748"/>
        <s v="ORD1088"/>
        <s v="ORD193"/>
        <s v="ORD438"/>
        <s v="ORD1862"/>
        <s v="ORD1468"/>
        <s v="ORD1460"/>
        <s v="ORD1141"/>
        <s v="ORD963"/>
        <s v="ORD1242"/>
        <s v="ORD731"/>
        <s v="ORD525"/>
        <s v="ORD734"/>
        <s v="ORD340"/>
        <s v="ORD1707"/>
        <s v="ORD269"/>
        <s v="ORD466"/>
        <s v="ORD1050"/>
        <s v="ORD979"/>
        <s v="ORD237"/>
        <s v="ORD1617"/>
        <s v="ORD204"/>
        <s v="ORD1289"/>
        <s v="ORD810"/>
        <s v="ORD1403"/>
        <s v="ORD744"/>
        <s v="ORD424"/>
        <s v="ORD1563"/>
        <s v="ORD602"/>
        <s v="ORD324"/>
        <s v="ORD1713"/>
        <s v="ORD1624"/>
        <s v="ORD723"/>
        <s v="ORD292"/>
        <s v="ORD1560"/>
        <s v="ORD346"/>
        <s v="ORD1876"/>
        <s v="ORD1766"/>
        <s v="ORD1845"/>
        <s v="ORD421"/>
        <s v="ORD472"/>
        <s v="ORD1118"/>
        <s v="ORD1990"/>
        <s v="ORD1546"/>
        <s v="ORD821"/>
        <s v="ORD1297"/>
        <s v="ORD139"/>
        <s v="ORD829"/>
        <s v="ORD1935"/>
        <s v="ORD1374"/>
        <s v="ORD474"/>
        <s v="ORD684"/>
        <s v="ORD43"/>
        <s v="ORD437"/>
        <s v="ORD741"/>
        <s v="ORD156"/>
        <s v="ORD107"/>
        <s v="ORD1923"/>
        <s v="ORD578"/>
        <s v="ORD1335"/>
        <s v="ORD1168"/>
        <s v="ORD515"/>
        <s v="ORD301"/>
        <s v="ORD529"/>
        <s v="ORD2000"/>
        <s v="ORD1174"/>
        <s v="ORD1924"/>
        <s v="ORD510"/>
        <s v="ORD1371"/>
        <s v="ORD314"/>
        <s v="ORD154"/>
        <s v="ORD784"/>
        <s v="ORD735"/>
        <s v="ORD277"/>
        <s v="ORD742"/>
        <s v="ORD1887"/>
        <s v="ORD1835"/>
        <s v="ORD770"/>
        <s v="ORD152"/>
        <s v="ORD1016"/>
        <s v="ORD316"/>
        <s v="ORD1336"/>
        <s v="ORD1947"/>
        <s v="ORD61"/>
        <s v="ORD240"/>
        <s v="ORD1270"/>
        <s v="ORD968"/>
        <s v="ORD377"/>
        <s v="ORD331"/>
        <s v="ORD913"/>
        <s v="ORD1789"/>
        <s v="ORD1422"/>
        <s v="ORD1991"/>
        <s v="ORD1257"/>
        <s v="ORD1511"/>
        <s v="ORD577"/>
        <s v="ORD1509"/>
        <s v="ORD1062"/>
        <s v="ORD478"/>
        <s v="ORD330"/>
        <s v="ORD1804"/>
        <s v="ORD983"/>
        <s v="ORD1023"/>
        <s v="ORD333"/>
        <s v="ORD482"/>
        <s v="ORD736"/>
        <s v="ORD1712"/>
        <s v="ORD336"/>
        <s v="ORD352"/>
        <s v="ORD297"/>
        <s v="ORD1054"/>
        <s v="ORD1152"/>
        <s v="ORD1036"/>
        <s v="ORD481"/>
        <s v="ORD808"/>
        <s v="ORD1343"/>
        <s v="ORD733"/>
        <s v="ORD1824"/>
        <s v="ORD1355"/>
        <s v="ORD98"/>
        <s v="ORD1932"/>
        <s v="ORD1381"/>
        <s v="ORD1204"/>
        <s v="ORD1703"/>
        <s v="ORD712"/>
        <s v="ORD1269"/>
        <s v="ORD445"/>
        <s v="ORD1219"/>
        <s v="ORD1510"/>
        <s v="ORD1673"/>
        <s v="ORD1057"/>
        <s v="ORD580"/>
        <s v="ORD534"/>
        <s v="ORD261"/>
        <s v="ORD1897"/>
        <s v="ORD1276"/>
        <s v="ORD1799"/>
        <s v="ORD753"/>
        <s v="ORD407"/>
        <s v="ORD976"/>
        <s v="ORD4"/>
        <s v="ORD1728"/>
        <s v="ORD1807"/>
        <s v="ORD30"/>
        <s v="ORD1970"/>
        <s v="ORD1642"/>
        <s v="ORD146"/>
        <s v="ORD1274"/>
        <s v="ORD1749"/>
        <s v="ORD319"/>
        <s v="ORD214"/>
        <s v="ORD137"/>
        <s v="ORD416"/>
        <s v="ORD1071"/>
        <s v="ORD1429"/>
        <s v="ORD215"/>
        <s v="ORD940"/>
        <s v="ORD1038"/>
        <s v="ORD739"/>
        <s v="ORD719"/>
        <s v="ORD155"/>
        <s v="ORD1812"/>
        <s v="ORD1418"/>
        <s v="ORD1123"/>
        <s v="ORD144"/>
        <s v="ORD117"/>
        <s v="ORD1201"/>
        <s v="ORD1760"/>
        <s v="ORD170"/>
        <s v="ORD1069"/>
        <s v="ORD614"/>
        <s v="ORD527"/>
        <s v="ORD1182"/>
        <s v="ORD763"/>
        <s v="ORD1091"/>
        <s v="ORD149"/>
        <s v="ORD1725"/>
        <s v="ORD442"/>
        <s v="ORD1075"/>
        <s v="ORD541"/>
        <s v="ORD350"/>
        <s v="ORD1843"/>
        <s v="ORD1653"/>
        <s v="ORD1890"/>
        <s v="ORD1859"/>
        <s v="ORD26"/>
        <s v="ORD274"/>
        <s v="ORD640"/>
        <s v="ORD1197"/>
        <s v="ORD1406"/>
        <s v="ORD1291"/>
        <s v="ORD1797"/>
        <s v="ORD764"/>
        <s v="ORD1229"/>
        <s v="ORD1738"/>
        <s v="ORD1385"/>
        <s v="ORD231"/>
        <s v="ORD1203"/>
        <s v="ORD315"/>
        <s v="ORD647"/>
        <s v="ORD1863"/>
        <s v="ORD1858"/>
        <s v="ORD1399"/>
        <s v="ORD1351"/>
        <s v="ORD1552"/>
        <s v="ORD1461"/>
        <s v="ORD1940"/>
        <s v="ORD371"/>
        <s v="ORD58"/>
        <s v="ORD1685"/>
        <s v="ORD123"/>
        <s v="ORD1664"/>
        <s v="ORD1188"/>
        <s v="ORD396"/>
        <s v="ORD1353"/>
        <s v="ORD1251"/>
        <s v="ORD1958"/>
        <s v="ORD1872"/>
        <s v="ORD392"/>
        <s v="ORD417"/>
        <s v="ORD1012"/>
        <s v="ORD1776"/>
        <s v="ORD1121"/>
        <s v="ORD957"/>
        <s v="ORD869"/>
        <s v="ORD1626"/>
        <s v="ORD1849"/>
        <s v="ORD1817"/>
        <s v="ORD654"/>
        <s v="ORD732"/>
        <s v="ORD359"/>
        <s v="ORD1268"/>
        <s v="ORD268"/>
        <s v="ORD1561"/>
        <s v="ORD1538"/>
        <s v="ORD84"/>
        <s v="ORD1285"/>
        <s v="ORD1507"/>
        <s v="ORD368"/>
        <s v="ORD444"/>
        <s v="ORD609"/>
        <s v="ORD692"/>
        <s v="ORD538"/>
        <s v="ORD302"/>
        <s v="ORD827"/>
        <s v="ORD1048"/>
        <s v="ORD1210"/>
        <s v="ORD715"/>
        <s v="ORD1407"/>
        <s v="ORD1068"/>
        <s v="ORD1800"/>
        <s v="ORD1175"/>
        <s v="ORD115"/>
        <s v="ORD838"/>
        <s v="ORD1319"/>
        <s v="ORD1249"/>
        <s v="ORD748"/>
        <s v="ORD1025"/>
        <s v="ORD223"/>
        <s v="ORD947"/>
        <s v="ORD1554"/>
        <s v="ORD504"/>
        <s v="ORD1100"/>
        <s v="ORD1328"/>
        <s v="ORD1950"/>
        <s v="ORD1500"/>
        <s v="ORD175"/>
        <s v="ORD861"/>
        <s v="ORD1209"/>
        <s v="ORD1040"/>
        <s v="ORD828"/>
        <s v="ORD511"/>
        <s v="ORD1008"/>
        <s v="ORD1240"/>
        <s v="ORD360"/>
        <s v="ORD1519"/>
        <s v="ORD1956"/>
        <s v="ORD587"/>
        <s v="ORD1644"/>
        <s v="ORD904"/>
        <s v="ORD1390"/>
        <s v="ORD18"/>
        <s v="ORD1101"/>
        <s v="ORD1305"/>
        <s v="ORD420"/>
        <s v="ORD1901"/>
        <s v="ORD522"/>
        <s v="ORD1098"/>
        <s v="ORD683"/>
        <s v="ORD1969"/>
        <s v="ORD159"/>
        <s v="ORD641"/>
        <s v="ORD180"/>
        <s v="ORD296"/>
        <s v="ORD1631"/>
        <s v="ORD1327"/>
        <s v="ORD1904"/>
        <s v="ORD786"/>
        <s v="ORD1743"/>
        <s v="ORD1125"/>
        <s v="ORD1636"/>
        <s v="ORD1530"/>
        <s v="ORD1058"/>
        <s v="ORD1514"/>
        <s v="ORD1370"/>
        <s v="ORD1913"/>
        <s v="ORD493"/>
        <s v="ORD859"/>
        <s v="ORD188"/>
        <s v="ORD1392"/>
        <s v="ORD880"/>
        <s v="ORD162"/>
        <s v="ORD1425"/>
        <s v="ORD212"/>
        <s v="ORD507"/>
        <s v="ORD702"/>
        <s v="ORD1006"/>
        <s v="ORD91"/>
        <s v="ORD698"/>
        <s v="ORD1029"/>
        <s v="ORD1177"/>
        <s v="ORD31"/>
        <s v="ORD717"/>
        <s v="ORD490"/>
        <s v="ORD860"/>
        <s v="ORD1044"/>
        <s v="ORD980"/>
        <s v="ORD888"/>
        <s v="ORD1787"/>
        <s v="ORD310"/>
        <s v="ORD759"/>
        <s v="ORD1292"/>
        <s v="ORD1515"/>
        <s v="ORD1359"/>
        <s v="ORD564"/>
        <s v="ORD75"/>
        <s v="ORD1473"/>
        <s v="ORD593"/>
        <s v="ORD1411"/>
        <s v="ORD1643"/>
        <s v="ORD53"/>
        <s v="ORD751"/>
        <s v="ORD1665"/>
        <s v="ORD1259"/>
        <s v="ORD1523"/>
        <s v="ORD1247"/>
        <s v="ORD484"/>
        <s v="ORD1832"/>
        <s v="ORD1543"/>
        <s v="ORD36"/>
        <s v="ORD999"/>
        <s v="ORD996"/>
        <s v="ORD1529"/>
        <s v="ORD758"/>
        <s v="ORD1744"/>
        <s v="ORD998"/>
        <s v="ORD1173"/>
        <s v="ORD936"/>
        <s v="ORD1755"/>
        <s v="ORD1630"/>
        <s v="ORD1576"/>
        <s v="ORD178"/>
        <s v="ORD792"/>
        <s v="ORD1248"/>
        <s v="ORD235"/>
        <s v="ORD1300"/>
        <s v="ORD1694"/>
        <s v="ORD1027"/>
        <s v="ORD1883"/>
        <s v="ORD1227"/>
        <s v="ORD270"/>
        <s v="ORD1428"/>
        <s v="ORD440"/>
        <s v="ORD118"/>
        <s v="ORD1394"/>
        <s v="ORD1286"/>
        <s v="ORD199"/>
        <s v="ORD1187"/>
        <s v="ORD987"/>
        <s v="ORD1320"/>
        <s v="ORD841"/>
        <s v="ORD965"/>
        <s v="ORD1648"/>
        <s v="ORD251"/>
        <s v="ORD918"/>
        <s v="ORD11"/>
        <s v="ORD429"/>
        <s v="ORD1603"/>
        <s v="ORD1573"/>
        <s v="ORD64"/>
        <s v="ORD499"/>
        <s v="ORD1228"/>
        <s v="ORD835"/>
        <s v="ORD944"/>
        <s v="ORD545"/>
        <s v="ORD239"/>
        <s v="ORD1943"/>
        <s v="ORD1710"/>
        <s v="ORD1287"/>
        <s v="ORD1115"/>
        <s v="ORD1283"/>
        <s v="ORD1736"/>
        <s v="ORD95"/>
        <s v="ORD1838"/>
        <s v="ORD1482"/>
        <s v="ORD47"/>
        <s v="ORD1402"/>
        <s v="ORD1893"/>
        <s v="ORD1874"/>
        <s v="ORD1520"/>
        <s v="ORD244"/>
        <s v="ORD450"/>
        <s v="ORD1656"/>
        <s v="ORD836"/>
        <s v="ORD427"/>
        <s v="ORD183"/>
        <s v="ORD1444"/>
        <s v="ORD1136"/>
        <s v="ORD1606"/>
        <s v="ORD1047"/>
        <s v="ORD730"/>
        <s v="ORD1440"/>
        <s v="ORD1492"/>
        <s v="ORD1070"/>
        <s v="ORD1369"/>
        <s v="ORD975"/>
        <s v="ORD1891"/>
        <s v="ORD1978"/>
        <s v="ORD796"/>
        <s v="ORD1792"/>
        <s v="ORD1588"/>
        <s v="ORD586"/>
        <s v="ORD1017"/>
        <s v="ORD900"/>
        <s v="ORD728"/>
        <s v="ORD1458"/>
        <s v="ORD914"/>
        <s v="ORD1727"/>
        <s v="ORD1879"/>
        <s v="ORD916"/>
        <s v="ORD1033"/>
        <s v="ORD571"/>
        <s v="ORD1254"/>
        <s v="ORD218"/>
        <s v="ORD1960"/>
        <s v="ORD548"/>
        <s v="ORD1063"/>
        <s v="ORD171"/>
        <s v="ORD986"/>
        <s v="ORD489"/>
        <s v="ORD1632"/>
        <s v="ORD1349"/>
        <s v="ORD1485"/>
        <s v="ORD45"/>
        <s v="ORD211"/>
        <s v="ORD1922"/>
        <s v="ORD1722"/>
        <s v="ORD273"/>
        <s v="ORD28"/>
        <s v="ORD1261"/>
        <s v="ORD682"/>
        <s v="ORD1449"/>
        <s v="ORD1528"/>
        <s v="ORD1591"/>
        <s v="ORD1149"/>
        <s v="ORD1341"/>
        <s v="ORD1111"/>
        <s v="ORD591"/>
        <s v="ORD356"/>
        <s v="ORD1345"/>
        <s v="ORD1486"/>
        <s v="ORD1337"/>
        <s v="ORD1077"/>
        <s v="ORD129"/>
        <s v="ORD1929"/>
        <s v="ORD1180"/>
        <s v="ORD254"/>
        <s v="ORD1103"/>
        <s v="ORD22"/>
        <s v="ORD1945"/>
        <s v="ORD584"/>
        <s v="ORD1930"/>
        <s v="ORD480"/>
        <s v="ORD1671"/>
        <s v="ORD1740"/>
        <s v="ORD651"/>
        <s v="ORD652"/>
        <s v="ORD1953"/>
        <s v="ORD1638"/>
        <s v="ORD100"/>
        <s v="ORD1946"/>
        <s v="ORD1544"/>
        <s v="ORD890"/>
        <s v="ORD364"/>
        <s v="ORD1720"/>
        <s v="ORD419"/>
        <s v="ORD1919"/>
        <s v="ORD497"/>
        <s v="ORD653"/>
        <s v="ORD500"/>
        <s v="ORD802"/>
        <s v="ORD398"/>
        <s v="ORD362"/>
        <s v="ORD666"/>
        <s v="ORD1794"/>
        <s v="ORD48"/>
        <s v="ORD1783"/>
        <s v="ORD616"/>
        <s v="ORD1742"/>
        <s v="ORD1667"/>
        <s v="ORD1207"/>
        <s v="ORD608"/>
        <s v="ORD164"/>
        <s v="ORD1096"/>
        <s v="ORD867"/>
        <s v="ORD464"/>
        <s v="ORD380"/>
        <s v="ORD441"/>
        <s v="ORD849"/>
        <s v="ORD255"/>
        <s v="ORD1310"/>
        <s v="ORD1489"/>
        <s v="ORD1322"/>
        <s v="ORD1684"/>
        <s v="ORD1880"/>
        <s v="ORD1773"/>
        <s v="ORD83"/>
        <s v="ORD1213"/>
        <s v="ORD298"/>
        <s v="ORD1980"/>
        <s v="ORD1253"/>
        <s v="ORD1852"/>
        <s v="ORD459"/>
        <s v="ORD701"/>
        <s v="ORD1933"/>
        <s v="ORD1571"/>
        <s v="ORD1431"/>
        <s v="ORD1967"/>
        <s v="ORD1873"/>
        <s v="ORD765"/>
        <s v="ORD1870"/>
        <s v="ORD818"/>
        <s v="ORD1771"/>
        <s v="ORD797"/>
        <s v="ORD391"/>
        <s v="ORD1217"/>
        <s v="ORD1729"/>
        <s v="ORD496"/>
        <s v="ORD406"/>
        <s v="ORD153"/>
        <s v="ORD889"/>
        <s v="ORD374"/>
        <s v="ORD1534"/>
        <s v="ORD1"/>
        <s v="ORD1325"/>
        <s v="ORD813"/>
        <s v="ORD1825"/>
        <s v="ORD1003"/>
        <s v="ORD387"/>
        <s v="ORD954"/>
        <s v="ORD1109"/>
        <s v="ORD820"/>
        <s v="ORD1702"/>
        <s v="ORD1739"/>
        <s v="ORD390"/>
        <s v="ORD1404"/>
        <s v="ORD1159"/>
        <s v="ORD294"/>
        <s v="ORD1975"/>
        <s v="ORD811"/>
        <s v="ORD1232"/>
        <s v="ORD685"/>
        <s v="ORD1968"/>
        <s v="ORD1637"/>
        <s v="ORD1834"/>
        <s v="ORD389"/>
        <s v="ORD317"/>
        <s v="ORD961"/>
        <s v="ORD1453"/>
        <s v="ORD1275"/>
        <s v="ORD1363"/>
        <s v="ORD88"/>
        <s v="ORD1323"/>
        <s v="ORD63"/>
        <s v="ORD558"/>
        <s v="ORD1601"/>
        <s v="ORD978"/>
        <s v="ORD857"/>
        <s v="ORD1494"/>
        <s v="ORD899"/>
        <s v="ORD599"/>
        <s v="ORD309"/>
        <s v="ORD1087"/>
        <s v="ORD1052"/>
        <s v="ORD1420"/>
        <s v="ORD1035"/>
        <s v="ORD1842"/>
        <s v="ORD1586"/>
        <s v="ORD1525"/>
        <s v="ORD1826"/>
        <s v="ORD566"/>
        <s v="ORD1102"/>
        <s v="ORD1447"/>
        <s v="ORD1839"/>
        <s v="ORD585"/>
        <s v="ORD1618"/>
        <s v="ORD623"/>
        <s v="ORD1782"/>
        <s v="ORD492"/>
        <s v="ORD597"/>
        <s v="ORD184"/>
        <s v="ORD1081"/>
        <s v="ORD461"/>
        <s v="ORD318"/>
        <s v="ORD1634"/>
        <s v="ORD679"/>
        <s v="ORD1267"/>
        <s v="ORD988"/>
        <s v="ORD1236"/>
        <s v="ORD1095"/>
        <s v="ORD29"/>
        <s v="ORD363"/>
        <s v="ORD1833"/>
        <s v="ORD1049"/>
        <s v="ORD567"/>
        <s v="ORD937"/>
        <s v="ORD1774"/>
        <s v="ORD883"/>
        <s v="ORD526"/>
        <s v="ORD343"/>
        <s v="ORD1454"/>
        <s v="ORD1506"/>
        <s v="ORD521"/>
        <s v="ORD572"/>
        <s v="ORD1384"/>
        <s v="ORD122"/>
        <s v="ORD1877"/>
        <s v="ORD560"/>
        <s v="ORD691"/>
        <s v="ORD772"/>
        <s v="ORD1272"/>
        <s v="ORD948"/>
        <s v="ORD1765"/>
        <s v="ORD209"/>
        <s v="ORD1060"/>
        <s v="ORD1786"/>
        <s v="ORD1704"/>
        <s v="ORD700"/>
        <s v="ORD1911"/>
        <s v="ORD1483"/>
        <s v="ORD872"/>
        <s v="ORD1480"/>
        <s v="ORD1840"/>
        <s v="ORD1235"/>
        <s v="ORD1166"/>
        <s v="ORD1587"/>
        <s v="ORD1304"/>
        <s v="ORD1505"/>
        <s v="ORD1181"/>
        <s v="ORD307"/>
        <s v="ORD672"/>
        <s v="ORD600"/>
        <s v="ORD1537"/>
        <s v="ORD1747"/>
        <s v="ORD1821"/>
        <s v="ORD411"/>
        <s v="ORD1214"/>
        <s v="ORD830"/>
        <s v="ORD822"/>
        <s v="ORD1120"/>
        <s v="ORD1619"/>
        <s v="ORD1942"/>
        <s v="ORD1278"/>
        <s v="ORD1189"/>
        <s v="ORD384"/>
        <s v="ORD648"/>
        <s v="ORD169"/>
        <s v="ORD451"/>
        <s v="ORD1906"/>
        <s v="ORD1092"/>
        <s v="ORD477"/>
        <s v="ORD1723"/>
        <s v="ORD1714"/>
        <s v="ORD1105"/>
        <s v="ORD1138"/>
        <s v="ORD222"/>
        <s v="ORD955"/>
        <s v="ORD458"/>
        <s v="ORD192"/>
        <s v="ORD915"/>
        <s v="ORD1562"/>
        <s v="ORD27"/>
        <s v="ORD312"/>
        <s v="ORD1487"/>
        <s v="ORD1944"/>
        <s v="ORD761"/>
        <s v="ORD791"/>
        <s v="ORD1295"/>
        <s v="ORD1918"/>
        <s v="ORD1894"/>
        <s v="ORD626"/>
        <s v="ORD893"/>
        <s v="ORD207"/>
        <s v="ORD1471"/>
        <s v="ORD832"/>
        <s v="ORD1830"/>
        <s v="ORD185"/>
        <s v="ORD177"/>
        <s v="ORD1737"/>
        <s v="ORD646"/>
        <s v="ORD1808"/>
        <s v="ORD502"/>
        <s v="ORD833"/>
        <s v="ORD1360"/>
        <s v="ORD1426"/>
        <s v="ORD1212"/>
        <s v="ORD1200"/>
        <s v="ORD1549"/>
        <s v="ORD1868"/>
        <s v="ORD376"/>
        <s v="ORD327"/>
        <s v="ORD1019"/>
        <s v="ORD826"/>
        <s v="ORD1593"/>
        <s v="ORD1324"/>
        <s v="ORD637"/>
        <s v="ORD259"/>
        <s v="ORD308"/>
        <s v="ORD191"/>
        <s v="ORD1829"/>
        <s v="ORD402"/>
        <s v="ORD42"/>
        <s v="ORD570"/>
        <s v="ORD665"/>
        <s v="ORD1080"/>
        <s v="ORD1602"/>
        <s v="ORD1801"/>
        <s v="ORD1540"/>
        <s v="ORD716"/>
        <s v="ORD613"/>
        <s v="ORD1061"/>
        <s v="ORD547"/>
        <s v="ORD1298"/>
        <s v="ORD1215"/>
        <s v="ORD1614"/>
        <s v="ORD962"/>
        <s v="ORD1886"/>
        <s v="ORD612"/>
        <s v="ORD463"/>
        <s v="ORD590"/>
        <s v="ORD1596"/>
        <s v="ORD410"/>
        <s v="ORD535"/>
        <s v="ORD964"/>
        <s v="ORD1600"/>
        <s v="ORD414"/>
        <s v="ORD858"/>
        <s v="ORD337"/>
        <s v="ORD707"/>
        <s v="ORD920"/>
        <s v="ORD196"/>
        <s v="ORD1988"/>
        <s v="ORD439"/>
        <s v="ORD202"/>
        <s v="ORD1179"/>
        <s v="ORD285"/>
        <s v="ORD923"/>
        <s v="ORD1488"/>
        <s v="ORD762"/>
        <s v="ORD1424"/>
        <s v="ORD1352"/>
        <s v="ORD403"/>
        <s v="ORD704"/>
        <s v="ORD782"/>
        <s v="ORD446"/>
        <s v="ORD1898"/>
        <s v="ORD1155"/>
        <s v="ORD1997"/>
        <s v="ORD1083"/>
        <s v="ORD140"/>
        <s v="ORD395"/>
        <s v="ORD321"/>
        <s v="ORD332"/>
        <s v="ORD724"/>
        <s v="ORD5"/>
        <s v="ORD230"/>
        <s v="ORD93"/>
        <s v="ORD452"/>
        <s v="ORD1313"/>
        <s v="ORD1599"/>
        <s v="ORD449"/>
        <s v="ORD99"/>
        <s v="ORD552"/>
        <s v="ORD1481"/>
        <s v="ORD1772"/>
        <s v="ORD774"/>
        <s v="ORD1463"/>
        <s v="ORD805"/>
        <s v="ORD460"/>
        <s v="ORD721"/>
        <s v="ORD1652"/>
        <s v="ORD713"/>
        <s v="ORD1339"/>
        <s v="ORD528"/>
        <s v="ORD1655"/>
        <s v="ORD1199"/>
        <s v="ORD1192"/>
        <s v="ORD378"/>
        <s v="ORD275"/>
        <s v="ORD147"/>
        <s v="ORD1547"/>
        <s v="ORD55"/>
        <s v="ORD339"/>
        <s v="ORD1256"/>
        <s v="ORD276"/>
        <s v="ORD658"/>
        <s v="ORD1015"/>
        <s v="ORD912"/>
        <s v="ORD543"/>
        <s v="ORD1408"/>
        <s v="ORD469"/>
        <s v="ORD161"/>
        <s v="ORD186"/>
        <s v="ORD664"/>
        <s v="ORD423"/>
        <s v="ORD862"/>
        <s v="ORD569"/>
        <s v="ORD1903"/>
        <s v="ORD891"/>
        <s v="ORD690"/>
        <s v="ORD1119"/>
        <s v="ORD1226"/>
        <s v="ORD610"/>
        <s v="ORD549"/>
        <s v="ORD1741"/>
        <s v="ORD1448"/>
        <s v="ORD720"/>
        <s v="ORD951"/>
        <s v="ORD803"/>
        <s v="ORD1090"/>
        <s v="ORD1555"/>
        <s v="ORD977"/>
        <s v="ORD242"/>
        <s v="ORD1279"/>
        <s v="ORD1597"/>
        <s v="ORD203"/>
        <s v="ORD1719"/>
        <s v="ORD928"/>
        <s v="ORD911"/>
        <s v="ORD1130"/>
        <s v="ORD1752"/>
        <s v="ORD1233"/>
        <s v="ORD668"/>
        <s v="ORD132"/>
        <s v="ORD755"/>
        <s v="ORD434"/>
        <s v="ORD35"/>
        <s v="ORD533"/>
        <s v="ORD456"/>
        <s v="ORD1579"/>
        <s v="ORD400"/>
        <s v="ORD326"/>
        <s v="ORD1998"/>
        <s v="ORD73"/>
        <s v="ORD1899"/>
        <s v="ORD1442"/>
        <s v="ORD1521"/>
        <s v="ORD1916"/>
        <s v="ORD1263"/>
        <s v="ORD1165"/>
        <s v="ORD1963"/>
        <s v="ORD688"/>
        <s v="ORD66"/>
        <s v="ORD1260"/>
        <s v="ORD519"/>
        <s v="ORD1316"/>
        <s v="ORD1034"/>
        <s v="ORD532"/>
        <s v="ORD1495"/>
        <s v="ORD1499"/>
        <s v="ORD628"/>
        <s v="ORD636"/>
        <s v="ORD845"/>
        <s v="ORD1239"/>
        <s v="ORD1450"/>
        <s v="ORD1466"/>
        <s v="ORD383"/>
        <s v="ORD1479"/>
        <s v="ORD875"/>
        <s v="ORD865"/>
        <s v="ORD574"/>
        <s v="ORD554"/>
        <s v="ORD1367"/>
        <s v="ORD1762"/>
        <s v="ORD260"/>
        <s v="ORD119"/>
        <s v="ORD266"/>
        <s v="ORD487"/>
        <s v="ORD1037"/>
        <s v="ORD1053"/>
        <s v="ORD1158"/>
        <s v="ORD1307"/>
        <s v="ORD1854"/>
        <s v="ORD1715"/>
        <s v="ORD1309"/>
        <s v="ORD1011"/>
        <s v="ORD286"/>
        <s v="ORD432"/>
        <s v="ORD1856"/>
        <s v="ORD1578"/>
        <s v="ORD630"/>
        <s v="ORD1846"/>
        <s v="ORD1432"/>
        <s v="ORD1974"/>
        <s v="ORD1595"/>
        <s v="ORD1686"/>
        <s v="ORD208"/>
        <s v="ORD1126"/>
        <s v="ORD1635"/>
        <s v="ORD1984"/>
        <s v="ORD1116"/>
        <s v="ORD1156"/>
        <s v="ORD973"/>
        <s v="ORD629"/>
        <s v="ORD291"/>
        <s v="ORD1695"/>
        <s v="ORD1150"/>
        <s v="ORD1822"/>
        <s v="ORD1699"/>
        <s v="ORD1986"/>
        <s v="ORD1705"/>
        <s v="ORD264"/>
        <s v="ORD1681"/>
        <s v="ORD1907"/>
        <s v="ORD1288"/>
        <s v="ORD6"/>
        <s v="ORD1018"/>
        <s v="ORD311"/>
        <s v="ORD1139"/>
        <s v="ORD1850"/>
        <s v="ORD1462"/>
        <s v="ORD1831"/>
        <s v="ORD1628"/>
        <s v="ORD1711"/>
        <s v="ORD676"/>
        <s v="ORD825"/>
        <s v="ORD678"/>
        <s v="ORD898"/>
        <s v="ORD345"/>
        <s v="ORD1531"/>
        <s v="ORD1651"/>
        <s v="ORD1784"/>
        <s v="ORD397"/>
        <s v="ORD1607"/>
        <s v="ORD606"/>
        <s v="ORD172"/>
        <s v="ORD128"/>
        <s v="ORD619"/>
        <s v="ORD1397"/>
        <s v="ORD512"/>
        <s v="ORD344"/>
        <s v="ORD90"/>
        <s v="ORD1457"/>
        <s v="ORD795"/>
        <s v="ORD1623"/>
        <s v="ORD853"/>
        <s v="ORD1264"/>
        <s v="ORD1878"/>
        <s v="ORD847"/>
        <s v="ORD799"/>
        <s v="ORD1496"/>
        <s v="ORD1568"/>
        <s v="ORD1051"/>
        <s v="ORD1140"/>
        <s v="ORD110"/>
        <s v="ORD1517"/>
        <s v="ORD737"/>
        <s v="ORD1994"/>
        <s v="ORD236"/>
        <s v="ORD1002"/>
        <s v="ORD262"/>
        <s v="ORD142"/>
        <s v="ORD863"/>
        <s v="ORD1133"/>
        <s v="ORD1625"/>
        <s v="ORD1706"/>
        <s v="ORD686"/>
        <s v="ORD1516"/>
        <s v="ORD1467"/>
        <s v="ORD181"/>
        <s v="ORD553"/>
        <s v="ORD40"/>
        <s v="ORD1533"/>
        <s v="ORD68"/>
        <s v="ORD809"/>
        <s v="ORD253"/>
        <s v="ORD1768"/>
        <s v="ORD1802"/>
        <s v="ORD281"/>
        <s v="ORD798"/>
        <s v="ORD768"/>
        <s v="ORD101"/>
        <s v="ORD1575"/>
        <s v="ORD984"/>
        <s v="ORD1124"/>
        <s v="ORD696"/>
        <s v="ORD1889"/>
        <s v="ORD1914"/>
        <s v="ORD248"/>
        <s v="ORD127"/>
        <s v="ORD290"/>
        <s v="ORD56"/>
        <s v="ORD1030"/>
        <s v="ORD1770"/>
        <s v="ORD198"/>
        <s v="ORD1612"/>
        <s v="ORD1691"/>
        <s v="ORD974"/>
        <s v="ORD229"/>
        <s v="ORD1046"/>
        <s v="ORD1658"/>
        <s v="ORD1303"/>
        <s v="ORD1934"/>
        <s v="ORD435"/>
        <s v="ORD76"/>
        <s v="ORD850"/>
        <s v="ORD1503"/>
        <s v="ORD1955"/>
        <s v="ORD1629"/>
        <s v="ORD1780"/>
        <s v="ORD1032"/>
        <s v="ORD105"/>
        <s v="ORD1446"/>
        <s v="ORD1860"/>
        <s v="ORD44"/>
        <s v="ORD462"/>
        <s v="ORD325"/>
        <s v="ORD950"/>
        <s v="ORD1144"/>
        <s v="ORD224"/>
        <s v="ORD328"/>
        <s v="ORD1005"/>
        <s v="ORD1820"/>
        <s v="ORD1687"/>
        <s v="ORD886"/>
        <s v="ORD1912"/>
        <s v="ORD1280"/>
        <s v="ORD779"/>
        <s v="ORD1622"/>
        <s v="ORD1966"/>
        <s v="ORD300"/>
        <s v="ORD1148"/>
        <s v="ORD1915"/>
        <s v="ORD638"/>
        <s v="ORD995"/>
        <s v="ORD457"/>
        <s v="ORD473"/>
        <s v="ORD518"/>
        <s v="ORD1474"/>
        <s v="ORD568"/>
        <s v="ORD86"/>
        <s v="ORD1677"/>
        <s v="ORD71"/>
        <s v="ORD1779"/>
        <s v="ORD1056"/>
        <s v="ORD840"/>
        <s v="ORD1809"/>
        <s v="ORD1660"/>
        <s v="ORD293"/>
        <s v="ORD866"/>
        <s v="ORD1793"/>
        <s v="ORD1379"/>
        <s v="ORD1391"/>
        <s v="ORD1076"/>
        <s v="ORD505"/>
        <s v="ORD540"/>
        <s v="ORD197"/>
        <s v="ORD972"/>
        <s v="ORD1190"/>
        <s v="ORD1377"/>
        <s v="ORD1987"/>
        <s v="ORD663"/>
        <s v="ORD902"/>
        <s v="ORD1398"/>
        <s v="ORD227"/>
        <s v="ORD1170"/>
        <s v="ORD157"/>
        <s v="ORD1609"/>
        <s v="ORD1084"/>
        <s v="ORD711"/>
        <s v="ORD1827"/>
        <s v="ORD1347"/>
        <s v="ORD1382"/>
        <s v="ORD598"/>
        <s v="ORD1470"/>
        <s v="ORD831"/>
        <s v="ORD338"/>
        <s v="ORD671"/>
        <s v="ORD588"/>
        <s v="ORD62"/>
        <s v="ORD1308"/>
        <s v="ORD777"/>
        <s v="ORD1393"/>
        <s v="ORD1733"/>
        <s v="ORD1594"/>
        <s v="ORD1611"/>
        <s v="ORD752"/>
        <s v="ORD662"/>
        <s v="ORD399"/>
        <s v="ORD1000"/>
        <s v="ORD1277"/>
        <s v="ORD1806"/>
        <s v="ORD756"/>
        <s v="ORD693"/>
        <s v="ORD306"/>
        <s v="ORD50"/>
        <s v="ORD1972"/>
        <s v="ORD1416"/>
        <s v="ORD1798"/>
        <s v="ORD824"/>
        <s v="ORD453"/>
        <s v="ORD431"/>
        <s v="ORD112"/>
        <s v="ORD365"/>
        <s v="ORD725"/>
        <s v="ORD10"/>
        <s v="ORD604"/>
        <s v="ORD1372"/>
        <s v="ORD1436"/>
        <s v="ORD595"/>
        <s v="ORD1564"/>
        <s v="ORD1238"/>
        <s v="ORD1875"/>
        <s v="ORD1661"/>
        <s v="ORD1361"/>
        <s v="ORD1026"/>
        <s v="ORD1791"/>
        <s v="ORD934"/>
        <s v="ORD1993"/>
        <s v="ORD1775"/>
        <s v="ORD1438"/>
        <s v="ORD1513"/>
        <s v="ORD388"/>
        <s v="ORD814"/>
        <s v="ORD1659"/>
        <s v="ORD256"/>
        <s v="ORD1211"/>
        <s v="ORD1167"/>
        <s v="ORD1113"/>
        <s v="ORD1781"/>
        <s v="ORD1688"/>
        <s v="ORD1400"/>
        <s v="ORD581"/>
        <s v="ORD9"/>
        <s v="ORD953"/>
        <s v="ORD750"/>
        <s v="ORD1683"/>
        <s v="ORD681"/>
        <s v="ORD1311"/>
        <s v="ORD1022"/>
        <s v="ORD79"/>
        <s v="ORD372"/>
        <s v="ORD287"/>
        <s v="ORD1299"/>
        <s v="ORD767"/>
        <s v="ORD1853"/>
        <s v="ORD1668"/>
        <s v="ORD868"/>
        <s v="ORD1936"/>
        <s v="ORD1326"/>
        <s v="ORD1246"/>
        <s v="ORD1971"/>
        <s v="ORD366"/>
        <s v="ORD694"/>
        <s v="ORD1621"/>
        <s v="ORD1730"/>
        <s v="ORD428"/>
        <s v="ORD677"/>
        <s v="ORD65"/>
        <s v="ORD655"/>
        <s v="ORD1837"/>
        <s v="ORD1965"/>
        <s v="ORD1708"/>
        <s v="ORD485"/>
        <s v="ORD430"/>
        <s v="ORD322"/>
        <s v="ORD894"/>
        <s v="ORD1186"/>
        <s v="ORD106"/>
        <s v="ORD1995"/>
        <s v="ORD219"/>
        <s v="ORD1610"/>
        <s v="ORD89"/>
        <s v="ORD265"/>
        <s v="ORD667"/>
        <s v="ORD1726"/>
        <s v="ORD1072"/>
        <s v="ORD1220"/>
        <s v="ORD1378"/>
        <s v="ORD1085"/>
        <s v="ORD1354"/>
        <s v="ORD517"/>
        <s v="ORD1585"/>
        <s v="ORD104"/>
        <s v="ORD523"/>
        <s v="ORD1590"/>
        <s v="ORD1657"/>
        <s v="ORD878"/>
        <s v="ORD1112"/>
        <s v="ORD168"/>
        <s v="ORD1731"/>
        <s v="ORD935"/>
        <s v="ORD483"/>
        <s v="ORD1721"/>
        <s v="ORD1334"/>
        <s v="ORD945"/>
        <s v="ORD1917"/>
        <s v="ORD1255"/>
        <s v="ORD78"/>
        <s v="ORD176"/>
        <s v="ORD1973"/>
        <s v="ORD896"/>
        <s v="ORD1234"/>
        <s v="ORD907"/>
        <s v="ORD1814"/>
        <s v="ORD272"/>
        <s v="ORD465"/>
        <s v="ORD1388"/>
        <s v="ORD1754"/>
        <s v="ORD687"/>
        <s v="ORD714"/>
        <s v="ORD874"/>
        <s v="ORD289"/>
        <s v="ORD94"/>
        <s v="ORD1532"/>
        <s v="ORD1498"/>
        <s v="ORD413"/>
        <s v="ORD1567"/>
        <s v="ORD1855"/>
        <s v="ORD1861"/>
        <s v="ORD1582"/>
        <s v="ORD80"/>
        <s v="ORD1604"/>
        <s v="ORD1654"/>
        <s v="ORD1982"/>
        <s v="ORD1161"/>
        <s v="ORD661"/>
        <s v="ORD508"/>
        <s v="ORD1572"/>
        <s v="ORD1941"/>
        <s v="ORD1905"/>
        <s v="ORD1478"/>
        <s v="ORD1884"/>
        <s v="ORD1926"/>
        <s v="ORD448"/>
        <s v="ORD1415"/>
        <s v="ORD1198"/>
        <s v="ORD1502"/>
        <s v="ORD1097"/>
        <s v="ORD1620"/>
        <s v="ORD97"/>
        <s v="ORD425"/>
        <s v="ORD295"/>
        <s v="ORD16"/>
        <s v="ORD576"/>
        <s v="ORD1949"/>
        <s v="ORD997"/>
        <s v="ORD217"/>
        <s v="ORD1823"/>
        <s v="ORD787"/>
        <s v="ORD892"/>
        <s v="ORD394"/>
        <s v="ORD141"/>
        <s v="ORD1508"/>
        <s v="ORD382"/>
        <s v="ORD70"/>
        <s v="ORD1021"/>
        <s v="ORD1647"/>
        <s v="ORD1718"/>
        <s v="ORD74"/>
        <s v="ORD1273"/>
        <s v="ORD447"/>
        <s v="ORD806"/>
        <s v="ORD546"/>
        <s v="ORD1216"/>
        <s v="ORD1477"/>
        <s v="ORD969"/>
        <s v="ORD1865"/>
        <s v="ORD323"/>
        <s v="ORD594"/>
        <s v="ORD624"/>
        <s v="ORD776"/>
        <s v="ORD1231"/>
        <s v="ORD727"/>
        <s v="ORD837"/>
        <s v="ORD1329"/>
        <s v="ORD908"/>
        <s v="ORD1484"/>
        <s v="ORD246"/>
        <s v="ORD669"/>
        <s v="ORD1757"/>
        <s v="ORD167"/>
        <s v="ORD785"/>
        <s v="ORD1202"/>
        <s v="ORD1357"/>
        <s v="ORD642"/>
        <s v="ORD1758"/>
        <s v="ORD60"/>
        <s v="ORD1810"/>
        <s v="ORD842"/>
        <s v="ORD1921"/>
        <s v="ORD1154"/>
        <s v="ORD81"/>
        <s v="ORD743"/>
        <s v="ORD801"/>
        <s v="ORD67"/>
        <s v="ORD249"/>
        <s v="ORD87"/>
        <s v="ORD381"/>
        <s v="ORD941"/>
        <s v="ORD476"/>
        <s v="ORD1627"/>
        <s v="ORD12"/>
        <s v="ORD1675"/>
        <s v="ORD125"/>
        <s v="ORD781"/>
        <s v="ORD250"/>
        <s v="ORD1795"/>
        <s v="ORD1028"/>
        <s v="ORD1153"/>
        <s v="ORD971"/>
        <s v="ORD1732"/>
        <s v="ORD1962"/>
        <s v="ORD1692"/>
        <s v="ORD815"/>
        <s v="ORD513"/>
        <s v="ORD1104"/>
        <s v="ORD539"/>
        <s v="ORD1451"/>
        <s v="ORD347"/>
        <s v="ORD108"/>
        <s v="ORD1128"/>
        <s v="ORD1321"/>
        <s v="ORD1957"/>
        <s v="ORD561"/>
        <s v="ORD644"/>
        <s v="ORD433"/>
        <s v="ORD1763"/>
        <s v="ORD59"/>
        <s v="ORD488"/>
        <s v="ORD1067"/>
        <s v="ORD1293"/>
        <s v="ORD938"/>
        <s v="ORD77"/>
        <s v="ORD1208"/>
        <s v="ORD909"/>
        <s v="ORD54"/>
        <s v="ORD213"/>
        <s v="ORD754"/>
        <s v="ORD267"/>
        <s v="ORD1674"/>
        <s v="ORD422"/>
        <s v="ORD1464"/>
        <s v="ORD1265"/>
        <s v="ORD288"/>
        <s v="ORD13"/>
        <s v="ORD643"/>
        <s v="ORD46"/>
        <s v="ORD1164"/>
        <s v="ORD334"/>
        <s v="ORD386"/>
        <s v="ORD501"/>
        <s v="ORD1574"/>
        <s v="ORD1909"/>
        <s v="ORD116"/>
        <s v="ORD1079"/>
        <s v="ORD1412"/>
        <s v="ORD1312"/>
        <s v="ORD206"/>
        <s v="ORD1881"/>
        <s v="ORD1368"/>
        <s v="ORD1171"/>
        <s v="ORD1342"/>
        <s v="ORD966"/>
        <s v="ORD852"/>
        <s v="ORD1122"/>
        <s v="ORD660"/>
        <s v="ORD706"/>
        <s v="ORD1937"/>
        <s v="ORD1522"/>
        <s v="ORD1041"/>
        <s v="ORD633"/>
        <s v="ORD1243"/>
        <s v="ORD1469"/>
        <s v="ORD917"/>
        <s v="ORD1301"/>
        <s v="ORD949"/>
        <s v="ORD1541"/>
        <s v="ORD789"/>
        <s v="ORD622"/>
        <s v="ORD1358"/>
        <s v="ORD233"/>
        <s v="ORD7"/>
        <s v="ORD800"/>
        <s v="ORD1169"/>
        <s v="ORD555"/>
        <s v="ORD1443"/>
        <s v="ORD1803"/>
        <s v="ORD1526"/>
        <s v="ORD942"/>
        <s v="ORD919"/>
        <s v="ORD342"/>
        <s v="ORD102"/>
        <s v="ORD201"/>
        <s v="ORD939"/>
        <s v="ORD834"/>
        <s v="ORD121"/>
        <s v="ORD1284"/>
        <s v="ORD1649"/>
        <s v="ORD1266"/>
        <s v="ORD1689"/>
        <s v="ORD562"/>
        <s v="ORD24"/>
        <s v="ORD620"/>
        <s v="ORD650"/>
        <s v="ORD746"/>
        <s v="ORD1785"/>
        <s v="ORD1577"/>
        <s v="ORD1441"/>
        <s v="ORD133"/>
        <s v="ORD1421"/>
        <s v="ORD823"/>
        <s v="ORD1551"/>
        <s v="ORD1014"/>
        <s v="ORD271"/>
        <s v="ORD329"/>
        <s v="ORD20"/>
        <s v="ORD82"/>
        <s v="ORD1434"/>
        <s v="ORD1222"/>
        <s v="ORD1135"/>
        <s v="ORD674"/>
        <s v="ORD738"/>
        <s v="ORD1409"/>
        <s v="ORD933"/>
        <s v="ORD195"/>
        <s v="ORD252"/>
        <s v="ORD138"/>
        <s v="ORD854"/>
        <s v="ORD1194"/>
        <s v="ORD958"/>
        <s v="ORD1954"/>
        <s v="ORD1331"/>
        <s v="ORD769"/>
        <s v="ORD1605"/>
        <s v="ORD592"/>
        <s v="ORD1672"/>
        <s v="ORD1172"/>
        <s v="ORD1663"/>
        <s v="ORD848"/>
        <s v="ORD603"/>
        <s v="ORD148"/>
        <s v="ORD14"/>
        <s v="ORD1548"/>
        <s v="ORD839"/>
        <s v="ORD1867"/>
        <s v="ORD1959"/>
        <s v="ORD1001"/>
        <s v="ORD1976"/>
        <s v="ORD1700"/>
        <s v="ORD1584"/>
        <s v="ORD351"/>
        <s v="ORD649"/>
        <s v="ORD32"/>
        <s v="ORD873"/>
        <s v="ORD1380"/>
        <s v="ORD1221"/>
        <s v="ORD1262"/>
        <s v="ORD120"/>
        <s v="ORD1237"/>
        <s v="ORD1983"/>
        <s v="ORD855"/>
        <s v="ORD542"/>
        <s v="ORD952"/>
        <s v="ORD1145"/>
        <s v="ORD1241"/>
        <s v="ORD1290"/>
        <s v="ORD1366"/>
        <s v="ORD234"/>
        <s v="ORD607"/>
        <s v="ORD1302"/>
        <s v="ORD1066"/>
        <s v="ORD491"/>
        <s v="ORD583"/>
        <s v="ORD1364"/>
        <s v="ORD1828"/>
        <s v="ORD1465"/>
        <s v="ORD1225"/>
        <s v="ORD1082"/>
        <s v="ORD1777"/>
        <s v="ORD1230"/>
        <s v="ORD1258"/>
        <s v="ORD864"/>
        <s v="ORD631"/>
        <s v="ORD174"/>
        <s v="ORD1518"/>
        <s v="ORD804"/>
        <s v="ORD232"/>
        <s v="ORD1356"/>
        <s v="ORD1580"/>
        <s v="ORD1746"/>
        <s v="ORD247"/>
        <s v="ORD673"/>
        <s v="ORD699"/>
        <s v="ORD1690"/>
        <s v="ORD455"/>
        <s v="ORD1315"/>
        <s v="ORD1717"/>
        <s v="ORD8"/>
        <s v="ORD887"/>
        <s v="ORD1524"/>
        <s v="ORD550"/>
        <s v="ORD221"/>
        <s v="ORD1417"/>
        <s v="ORD1920"/>
        <s v="ORD881"/>
        <s v="ORD524"/>
        <s v="ORD1751"/>
        <s v="ORD1045"/>
        <s v="ORD959"/>
        <s v="ORD927"/>
        <s v="ORD210"/>
        <s v="ORD1888"/>
        <s v="ORD1346"/>
        <s v="ORD1501"/>
        <s v="ORD657"/>
        <s v="ORD1065"/>
        <s v="ORD1693"/>
        <s v="ORD353"/>
        <s v="ORD930"/>
        <s v="ORD1127"/>
        <s v="ORD516"/>
        <s v="ORD436"/>
        <s v="ORD514"/>
        <s v="ORD1885"/>
        <s v="ORD1592"/>
        <s v="ORD23"/>
        <s v="ORD906"/>
        <s v="ORD1245"/>
        <s v="ORD263"/>
        <s v="ORD520"/>
        <s v="ORD1977"/>
        <s v="ORD369"/>
        <s v="ORD358"/>
        <s v="ORD1750"/>
        <s v="ORD1735"/>
        <s v="ORD1790"/>
        <s v="ORD1386"/>
        <s v="ORD468"/>
        <s v="ORD1598"/>
        <s v="ORD990"/>
        <s v="ORD160"/>
        <s v="ORD1459"/>
        <s v="ORD1042"/>
        <s v="ORD1218"/>
        <s v="ORD1376"/>
        <s v="ORD1223"/>
        <s v="ORD1110"/>
        <s v="ORD21"/>
        <s v="ORD408"/>
        <s v="ORD143"/>
        <s v="ORD1490"/>
        <s v="ORD1778"/>
        <s v="ORD794"/>
        <s v="ORD1430"/>
        <s v="ORD1147"/>
        <s v="ORD1927"/>
        <s v="ORD1841"/>
        <s v="ORD1536"/>
        <s v="ORD278"/>
        <s v="ORD19"/>
        <s v="ORD625"/>
        <s v="ORD1396"/>
        <s v="ORD992"/>
        <s v="ORD1857"/>
        <s v="ORD710"/>
        <s v="ORD1769"/>
        <s v="ORD1282"/>
        <s v="ORD15"/>
        <s v="ORD393"/>
        <s v="ORD1581"/>
        <s v="ORD530"/>
        <s v="ORD279"/>
        <s v="ORD1670"/>
        <s v="ORD1224"/>
        <s v="ORD1185"/>
        <s v="ORD341"/>
        <s v="ORD1475"/>
        <s v="ORD544"/>
        <s v="ORD1666"/>
        <s v="ORD1756"/>
        <s v="ORD1566"/>
        <s v="ORD846"/>
        <s v="ORD991"/>
        <s v="ORD243"/>
        <s v="ORD1143"/>
        <s v="ORD1696"/>
        <s v="ORD1073"/>
        <s v="ORD817"/>
        <s v="ORD303"/>
        <s v="ORD1162"/>
        <s v="ORD3"/>
        <s v="ORD680"/>
        <s v="ORD1338"/>
        <s v="ORD361"/>
        <s v="ORD1999"/>
        <s v="ORD1709"/>
        <s v="ORD1089"/>
        <s v="ORD1724"/>
        <s v="ORD1314"/>
        <s v="ORD379"/>
        <s v="ORD766"/>
        <s v="ORD304"/>
        <s v="ORD1815"/>
        <s v="ORD401"/>
        <s v="ORD25"/>
        <s v="ORD1895"/>
        <s v="ORD856"/>
        <s v="ORD531"/>
        <s v="ORD1813"/>
        <s v="ORD1734"/>
        <s v="ORD565"/>
        <s v="ORD1445"/>
        <s v="ORD1317"/>
        <s v="ORD1961"/>
        <s v="ORD72"/>
        <s v="ORD1252"/>
        <s v="ORD1114"/>
        <s v="ORD1108"/>
        <s v="ORD960"/>
        <s v="ORD226"/>
        <s v="ORD1387"/>
        <s v="ORD1383"/>
        <s v="ORD1559"/>
        <s v="ORD130"/>
        <s v="ORD943"/>
        <s v="ORD1004"/>
        <s v="ORD1191"/>
        <s v="ORD103"/>
        <s v="ORD69"/>
        <s v="ORD1844"/>
        <s v="ORD605"/>
        <s v="ORD932"/>
        <s v="ORD1178"/>
        <s v="ORD627"/>
        <s v="ORD1493"/>
        <s v="ORD611"/>
        <s v="ORD357"/>
        <s v="ORD1951"/>
        <s v="ORD705"/>
        <s v="ORD479"/>
        <s v="ORD563"/>
        <s v="ORD635"/>
        <s v="ORD1527"/>
        <s v="ORD675"/>
        <s v="ORD1160"/>
        <s v="ORD1542"/>
        <s v="ORD1569"/>
        <s v="ORD967"/>
        <s v="ORD819"/>
        <s v="ORD1928"/>
        <s v="ORD703"/>
        <s v="ORD1679"/>
        <s v="ORD1389"/>
        <s v="ORD258"/>
        <s v="ORD228"/>
        <s v="ORD1455"/>
        <s v="ORD895"/>
        <s v="ORD922"/>
        <s v="ORD1414"/>
        <s v="ORD1413"/>
        <s v="ORD494"/>
        <s v="ORD1497"/>
        <s v="ORD697"/>
        <s v="ORD1616"/>
        <s v="ORD1851"/>
        <s v="ORD348"/>
        <s v="ORD1405"/>
        <s v="ORD1106"/>
        <s v="ORD639"/>
        <s v="ORD780"/>
        <s v="ORD1333"/>
        <s v="ORD722"/>
        <s v="ORD740"/>
        <s v="ORD404"/>
        <s v="ORD1908"/>
        <s v="ORD1952"/>
        <s v="ORD385"/>
        <s v="ORD1900"/>
        <s v="ORD163"/>
        <s v="ORD897"/>
        <s v="ORD205"/>
        <s v="ORD1157"/>
        <s v="ORD1796"/>
        <s v="ORD225"/>
        <s v="ORD1550"/>
        <s v="ORD57"/>
        <s v="ORD645"/>
        <s v="ORD989"/>
        <s v="ORD557"/>
        <s v="ORD1020"/>
        <s v="ORD1131"/>
        <s v="ORD1645"/>
        <s v="ORD1864"/>
        <s v="ORD790"/>
        <s v="ORD150"/>
        <s v="ORD1669"/>
        <s v="ORD135"/>
        <s v="ORD926"/>
        <s v="ORD1557"/>
        <s v="ORD749"/>
        <s v="ORD582"/>
        <s v="ORD52"/>
        <s v="ORD283"/>
        <s v="ORD1055"/>
        <s v="ORD1491"/>
        <s v="ORD1433"/>
        <s v="ORD589"/>
        <s v="ORD929"/>
        <s v="ORD1332"/>
        <s v="ORD1583"/>
        <s v="ORD124"/>
        <s v="ORD1395"/>
        <s v="ORD1294"/>
        <s v="ORD151"/>
        <s v="ORD354"/>
        <s v="ORD1452"/>
        <s v="ORD134"/>
        <s v="ORD1641"/>
        <s v="ORD1633"/>
        <s v="ORD1996"/>
        <s v="ORD931"/>
        <s v="ORD426"/>
        <s v="ORD1142"/>
        <s v="ORD1836"/>
        <s v="ORD284"/>
        <s v="ORD194"/>
        <s v="ORD1375"/>
        <s v="ORD1206"/>
        <s v="ORD1892"/>
        <s v="ORD85"/>
        <s v="ORD136"/>
        <s v="ORD1074"/>
        <s v="ORD946"/>
        <s v="ORD775"/>
        <s v="ORD1250"/>
        <s v="ORD1129"/>
        <s v="ORD783"/>
        <s v="ORD475"/>
        <s v="ORD1296"/>
        <s v="ORD1086"/>
        <s v="ORD793"/>
        <s v="ORD843"/>
        <s v="ORD1869"/>
        <s v="ORD503"/>
        <s v="ORD1439"/>
        <s v="ORD882"/>
        <s v="ORD509"/>
        <s v="ORD418"/>
        <s v="ORD409"/>
        <s v="ORD1556"/>
        <s v="ORD443"/>
        <s v="ORD559"/>
        <s v="ORD1078"/>
        <s v="ORD1871"/>
        <s v="ORD1195"/>
        <s v="ORD1948"/>
        <s v="ORD1979"/>
        <s v="ORD1545"/>
        <s v="ORD871"/>
        <s v="ORD280"/>
        <s v="ORD844"/>
        <s v="ORD1043"/>
        <s v="ORD1512"/>
        <s v="ORD2"/>
        <s v="ORD367"/>
        <s v="ORD1761"/>
        <s v="ORD1137"/>
        <s v="ORD1134"/>
        <s v="ORD282"/>
        <s v="ORD1811"/>
        <s v="ORD1348"/>
        <s v="ORD617"/>
        <s v="ORD788"/>
        <s v="ORD1608"/>
        <s v="ORD1146"/>
        <s v="ORD1039"/>
        <s v="ORD910"/>
        <s v="ORD773"/>
        <s v="ORD470"/>
        <s v="ORD182"/>
        <s v="ORD601"/>
        <s v="ORD179"/>
        <s v="ORD812"/>
        <s v="ORD190"/>
        <s v="ORD1010"/>
        <s v="ORD726"/>
        <s v="ORD993"/>
        <s v="ORD111"/>
        <s v="ORD708"/>
        <s v="ORD621"/>
        <s v="ORD216"/>
        <s v="ORD1271"/>
        <s v="ORD1330"/>
        <s v="ORD1009"/>
        <s v="ORD551"/>
        <s v="ORD1816"/>
        <s v="ORD1427"/>
        <s v="ORD41"/>
        <s v="ORD1281"/>
        <s v="ORD1373"/>
        <s v="ORD1107"/>
        <s v="ORD454"/>
        <s v="ORD1646"/>
        <s v="ORD879"/>
        <s v="ORD1640"/>
        <s v="ORD189"/>
        <s v="ORD1615"/>
        <s v="ORD1989"/>
        <s v="ORD126"/>
        <s v="ORD1805"/>
        <s v="ORD355"/>
        <s v="ORD1419"/>
        <s v="ORD165"/>
        <s v="ORD39"/>
        <s v="ORD51"/>
        <s v="ORD349"/>
        <s v="ORD1064"/>
        <s v="ORD1031"/>
        <s v="ORD656"/>
        <s v="ORD1680"/>
        <s v="ORD1456"/>
        <s v="ORD498"/>
        <s v="ORD1764"/>
        <s v="ORD1437"/>
        <s v="ORD1306"/>
        <s v="ORD1196"/>
        <s v="ORD335"/>
        <s v="ORD1344"/>
        <s v="ORD1410"/>
        <s v="ORD757"/>
        <s v="ORD1435"/>
        <s v="ORD1132"/>
        <s v="ORD1613"/>
        <s v="ORD1662"/>
        <s v="ORD921"/>
        <s v="ORD1024"/>
        <s v="ORD1401"/>
        <s v="ORD982"/>
        <s v="ORD1698"/>
        <s v="ORD745"/>
        <s v="ORD1184"/>
        <s v="ORD405"/>
        <s v="ORD885"/>
        <s v="ORD1882"/>
        <s v="ORD1504"/>
        <s v="ORD1365"/>
        <s v="ORD771"/>
        <s v="ORD632"/>
        <s v="ORD1753"/>
        <s v="ORD884"/>
        <s v="ORD1847"/>
        <s v="ORD870"/>
        <s v="ORD313"/>
        <s v="ORD760"/>
        <s v="ORD1985"/>
        <s v="ORD851"/>
        <s v="ORD241"/>
        <s v="ORD778"/>
        <s v="ORD220"/>
        <s v="ORD200"/>
        <s v="ORD618"/>
        <s v="ORD320"/>
        <s v="ORD1362"/>
        <s v="ORD92"/>
        <s v="ORD956"/>
        <s v="ORD1939"/>
        <s v="ORD579"/>
        <s v="ORD1866"/>
        <s v="ORD1193"/>
        <s v="ORD575"/>
        <s v="ORD1099"/>
        <s v="ORD670"/>
        <s v="ORD689"/>
        <s v="ORD807"/>
        <s v="ORD37"/>
        <s v="ORD1007"/>
        <s v="ORD17"/>
        <s v="ORD1848"/>
        <s v="ORD1340"/>
        <s v="ORD1059"/>
        <s v="ORD375"/>
        <s v="ORD415"/>
        <s v="ORD109"/>
        <s v="ORD1553"/>
        <s v="ORD1981"/>
        <s v="ORD1650"/>
        <s v="ORD370"/>
        <s v="ORD718"/>
        <s v="ORD573"/>
        <s v="ORD1682"/>
        <s v="ORD1151"/>
        <s v="ORD33"/>
        <s v="ORD876"/>
        <s v="ORD471"/>
        <s v="ORD536"/>
        <s v="ORD615"/>
        <s v="ORD305"/>
        <s v="ORD903"/>
        <s v="ORD1094"/>
        <s v="ORD145"/>
        <s v="ORD925"/>
        <s v="ORD1964"/>
        <s v="ORD709"/>
        <s v="ORD495"/>
        <s v="ORD299"/>
        <s v="ORD158"/>
        <s v="ORD1788"/>
        <s v="ORD1183"/>
        <s v="ORD1818"/>
        <s v="ORD1819"/>
        <s v="ORD1589"/>
        <s v="ORD113"/>
        <s v="ORD1093"/>
        <s v="ORD1925"/>
        <s v="ORD981"/>
        <s v="ORD1676"/>
        <s v="ORD1176"/>
        <s v="ORD1565"/>
        <s v="ORD257"/>
        <s v="ORD114"/>
        <s v="ORD1244"/>
        <s v="ORD1558"/>
        <s v="ORD1117"/>
        <s v="ORD1205"/>
        <s v="ORD729"/>
        <s v="ORD1992"/>
        <s v="ORD187"/>
        <s v="ORD877"/>
        <s v="ORD166"/>
        <s v="ORD634"/>
        <s v="ORD1013"/>
        <s v="ORD173"/>
        <s v="ORD34"/>
        <s v="ORD1931"/>
        <s v="ORD1938"/>
        <s v="ORD901"/>
        <s v="ORD1539"/>
        <s v="ORD131"/>
        <s v="ORD373"/>
        <s v="ORD412"/>
        <s v="ORD1472"/>
        <s v="ORD1910"/>
        <s v="ORD1701"/>
      </sharedItems>
    </cacheField>
    <cacheField name="Date" numFmtId="14">
      <sharedItems containsSemiMixedTypes="0" containsNonDate="0" containsDate="1" containsString="0" minDate="2023-01-01T00:00:00" maxDate="2024-01-01T00:00:00"/>
    </cacheField>
    <cacheField name="Product" numFmtId="0">
      <sharedItems count="10">
        <s v="Jollof Rice"/>
        <s v="Beef Pie"/>
        <s v="Chapman"/>
        <s v="Afang Soup"/>
        <s v="Egusi Soup"/>
        <s v="Palm Oil"/>
        <s v="Fried Rice"/>
        <s v="Chicken Pie"/>
        <s v="Zobo Drink"/>
        <s v="Plantain Chips"/>
      </sharedItems>
    </cacheField>
    <cacheField name="Category" numFmtId="0">
      <sharedItems count="6">
        <s v="Food"/>
        <s v="Bakery"/>
        <s v="Drink"/>
        <s v="Soup"/>
        <s v="Grocery"/>
        <s v="Snack"/>
      </sharedItems>
    </cacheField>
    <cacheField name="Unit Price" numFmtId="0">
      <sharedItems containsSemiMixedTypes="0" containsString="0" containsNumber="1" containsInteger="1" minValue="803" maxValue="4999"/>
    </cacheField>
    <cacheField name="Quantity" numFmtId="0">
      <sharedItems containsSemiMixedTypes="0" containsString="0" containsNumber="1" containsInteger="1" minValue="1" maxValue="10"/>
    </cacheField>
    <cacheField name="Discount" numFmtId="0">
      <sharedItems containsSemiMixedTypes="0" containsString="0" containsNumber="1" containsInteger="1" minValue="0" maxValue="15"/>
    </cacheField>
    <cacheField name="Total Revenue" numFmtId="0">
      <sharedItems containsSemiMixedTypes="0" containsString="0" containsNumber="1" minValue="729.3" maxValue="49040" count="1968">
        <n v="729.3"/>
        <n v="739.5"/>
        <n v="753.95"/>
        <n v="763.8"/>
        <n v="857.65"/>
        <n v="861.9"/>
        <n v="866.15"/>
        <n v="867.35"/>
        <n v="912"/>
        <n v="927.2"/>
        <n v="956"/>
        <n v="987.05"/>
        <n v="1013.4"/>
        <n v="1015"/>
        <n v="1037"/>
        <n v="1042"/>
        <n v="1087.2"/>
        <n v="1091"/>
        <n v="1102.5"/>
        <n v="1116.25"/>
        <n v="1117.75"/>
        <n v="1133.9000000000001"/>
        <n v="1157.7"/>
        <n v="1160"/>
        <n v="1178.95"/>
        <n v="1212.3"/>
        <n v="1216"/>
        <n v="1229.95"/>
        <n v="1236"/>
        <n v="1265.4000000000001"/>
        <n v="1277.55"/>
        <n v="1291.1500000000001"/>
        <n v="1297.95"/>
        <n v="1308"/>
        <n v="1350.9"/>
        <n v="1385.5"/>
        <n v="1387"/>
        <n v="1388.9"/>
        <n v="1431"/>
        <n v="1462.85"/>
        <n v="1466.1"/>
        <n v="1492.2"/>
        <n v="1493"/>
        <n v="1512.4"/>
        <n v="1512.9"/>
        <n v="1521.9"/>
        <n v="1539"/>
        <n v="1542"/>
        <n v="1560"/>
        <n v="1561"/>
        <n v="1571.4"/>
        <n v="1572.3"/>
        <n v="1574"/>
        <n v="1586.5"/>
        <n v="1597.15"/>
        <n v="1614"/>
        <n v="1619"/>
        <n v="1626"/>
        <n v="1630.8"/>
        <n v="1654.1"/>
        <n v="1665.35"/>
        <n v="1677.9"/>
        <n v="1684"/>
        <n v="1695"/>
        <n v="1695.6"/>
        <n v="1704"/>
        <n v="1709.1"/>
        <n v="1716.3"/>
        <n v="1719"/>
        <n v="1731.45"/>
        <n v="1734.85"/>
        <n v="1735.2"/>
        <n v="1763.2"/>
        <n v="1776.5"/>
        <n v="1783.8"/>
        <n v="1785"/>
        <n v="1809"/>
        <n v="1810"/>
        <n v="1838"/>
        <n v="1850.4"/>
        <n v="1859.4"/>
        <n v="1865.8"/>
        <n v="1895"/>
        <n v="1896"/>
        <n v="1918.45"/>
        <n v="1933.2"/>
        <n v="1940.55"/>
        <n v="1949.4"/>
        <n v="1954"/>
        <n v="1973.7"/>
        <n v="1982.65"/>
        <n v="1986.3"/>
        <n v="1994.05"/>
        <n v="2004"/>
        <n v="2004.5"/>
        <n v="2010"/>
        <n v="2026.35"/>
        <n v="2028.1"/>
        <n v="2030.4"/>
        <n v="2031.1"/>
        <n v="2036.8"/>
        <n v="2071"/>
        <n v="2085"/>
        <n v="2110.9"/>
        <n v="2119.9"/>
        <n v="2124"/>
        <n v="2124.15"/>
        <n v="2133"/>
        <n v="2142.25"/>
        <n v="2165.8000000000002"/>
        <n v="2188.8000000000002"/>
        <n v="2206"/>
        <n v="2209"/>
        <n v="2227.85"/>
        <n v="2236.35"/>
        <n v="2240.1"/>
        <n v="2254"/>
        <n v="2259.1"/>
        <n v="2272.9"/>
        <n v="2276.1"/>
        <n v="2301.85"/>
        <n v="2308.6"/>
        <n v="2316.6"/>
        <n v="2335.5"/>
        <n v="2335.8000000000002"/>
        <n v="2340.9"/>
        <n v="2343.65"/>
        <n v="2346"/>
        <n v="2364.6999999999998"/>
        <n v="2394.4499999999998"/>
        <n v="2397.6"/>
        <n v="2406.35"/>
        <n v="2425.9"/>
        <n v="2431.0500000000002"/>
        <n v="2438.65"/>
        <n v="2442.6"/>
        <n v="2452.9"/>
        <n v="2463.3000000000002"/>
        <n v="2483.6999999999998"/>
        <n v="2484.5500000000002"/>
        <n v="2494.6999999999998"/>
        <n v="2494.8000000000002"/>
        <n v="2508"/>
        <n v="2519.1"/>
        <n v="2526.1999999999998"/>
        <n v="2529.6"/>
        <n v="2536"/>
        <n v="2539.8000000000002"/>
        <n v="2540.6999999999998"/>
        <n v="2548.8000000000002"/>
        <n v="2575.5"/>
        <n v="2588.4"/>
        <n v="2619.6999999999998"/>
        <n v="2635"/>
        <n v="2635.2"/>
        <n v="2640"/>
        <n v="2656.8"/>
        <n v="2660.5"/>
        <n v="2662.2"/>
        <n v="2687.7"/>
        <n v="2689.45"/>
        <n v="2690"/>
        <n v="2692.8"/>
        <n v="2702"/>
        <n v="2703.6"/>
        <n v="2713"/>
        <n v="2715"/>
        <n v="2738"/>
        <n v="2740"/>
        <n v="2769.3"/>
        <n v="2775"/>
        <n v="2781"/>
        <n v="2806.7"/>
        <n v="2822.45"/>
        <n v="2823"/>
        <n v="2823.4"/>
        <n v="2834.8"/>
        <n v="2857.7"/>
        <n v="2906.05"/>
        <n v="2935.05"/>
        <n v="2944.4"/>
        <n v="2962.1"/>
        <n v="2964"/>
        <n v="2969.9"/>
        <n v="2980.8"/>
        <n v="2983"/>
        <n v="2986.05"/>
        <n v="2987.75"/>
        <n v="3024.8"/>
        <n v="3026.85"/>
        <n v="3066.8"/>
        <n v="3074.2"/>
        <n v="3081.8"/>
        <n v="3086.55"/>
        <n v="3101"/>
        <n v="3107.7"/>
        <n v="3112.2"/>
        <n v="3167.1"/>
        <n v="3168.8"/>
        <n v="3170.5"/>
        <n v="3178.8"/>
        <n v="3182.4"/>
        <n v="3184.95"/>
        <n v="3194.3"/>
        <n v="3228.3"/>
        <n v="3231"/>
        <n v="3235.7"/>
        <n v="3237.6"/>
        <n v="3241.4"/>
        <n v="3244"/>
        <n v="3246.15"/>
        <n v="3256"/>
        <n v="3264"/>
        <n v="3284"/>
        <n v="3285.25"/>
        <n v="3306.5"/>
        <n v="3310.75"/>
        <n v="3317.4"/>
        <n v="3325.2"/>
        <n v="3330.7"/>
        <n v="3337.95"/>
        <n v="3360.15"/>
        <n v="3364"/>
        <n v="3364.9"/>
        <n v="3395"/>
        <n v="3405.1"/>
        <n v="3419"/>
        <n v="3420.95"/>
        <n v="3427.2"/>
        <n v="3435.3"/>
        <n v="3443.75"/>
        <n v="3464.1"/>
        <n v="3496"/>
        <n v="3502.8"/>
        <n v="3509"/>
        <n v="3515.6"/>
        <n v="3516.9"/>
        <n v="3524.4"/>
        <n v="3526"/>
        <n v="3544.2"/>
        <n v="3556.4"/>
        <n v="3558.6"/>
        <n v="3561.5"/>
        <n v="3563.1"/>
        <n v="3578.4"/>
        <n v="3589.1"/>
        <n v="3595"/>
        <n v="3605.4"/>
        <n v="3608.1"/>
        <n v="3621.6"/>
        <n v="3627"/>
        <n v="3633"/>
        <n v="3643"/>
        <n v="3643.2"/>
        <n v="3644"/>
        <n v="3646"/>
        <n v="3665.1"/>
        <n v="3672"/>
        <n v="3684.6"/>
        <n v="3694.5"/>
        <n v="3707.7"/>
        <n v="3709.8"/>
        <n v="3718.3"/>
        <n v="3739.5"/>
        <n v="3743.4"/>
        <n v="3750"/>
        <n v="3753"/>
        <n v="3762"/>
        <n v="3770.55"/>
        <n v="3782"/>
        <n v="3800.7"/>
        <n v="3802.85"/>
        <n v="3803.75"/>
        <n v="3805.7"/>
        <n v="3806.3"/>
        <n v="3815.1"/>
        <n v="3818.2"/>
        <n v="3818.7"/>
        <n v="3829.25"/>
        <n v="3830.4"/>
        <n v="3832.3"/>
        <n v="3834.2"/>
        <n v="3865.8"/>
        <n v="3872"/>
        <n v="3872.2"/>
        <n v="3886.2"/>
        <n v="3895"/>
        <n v="3898.8"/>
        <n v="3909.25"/>
        <n v="3911"/>
        <n v="3912"/>
        <n v="3919.7"/>
        <n v="3936.6"/>
        <n v="3936.8"/>
        <n v="3942"/>
        <n v="3960"/>
        <n v="3963"/>
        <n v="3971"/>
        <n v="3981.4"/>
        <n v="3982"/>
        <n v="4064.1"/>
        <n v="4066.2"/>
        <n v="4081.5"/>
        <n v="4086"/>
        <n v="4088.8"/>
        <n v="4104"/>
        <n v="4105.5"/>
        <n v="4106.8500000000004"/>
        <n v="4136.1000000000004"/>
        <n v="4138.2"/>
        <n v="4140"/>
        <n v="4145"/>
        <n v="4158.1499999999996"/>
        <n v="4172.3999999999996"/>
        <n v="4173"/>
        <n v="4187.6000000000004"/>
        <n v="4192.2"/>
        <n v="4214.2"/>
        <n v="4225.5"/>
        <n v="4225.6000000000004"/>
        <n v="4249.1499999999996"/>
        <n v="4258.5"/>
        <n v="4268.7"/>
        <n v="4275"/>
        <n v="4280.6000000000004"/>
        <n v="4309.2"/>
        <n v="4316.3999999999996"/>
        <n v="4320"/>
        <n v="4320.6000000000004"/>
        <n v="4321.8"/>
        <n v="4333.5"/>
        <n v="4340.1000000000004"/>
        <n v="4351.95"/>
        <n v="4357.6499999999996"/>
        <n v="4360.5"/>
        <n v="4362.3"/>
        <n v="4363.3500000000004"/>
        <n v="4365.25"/>
        <n v="4374.8999999999996"/>
        <n v="4381.2"/>
        <n v="4390.8999999999996"/>
        <n v="4392"/>
        <n v="4399.2"/>
        <n v="4411"/>
        <n v="4420.3500000000004"/>
        <n v="4427"/>
        <n v="4432.75"/>
        <n v="4442.3999999999996"/>
        <n v="4445"/>
        <n v="4447.2"/>
        <n v="4449.6000000000004"/>
        <n v="4450.5"/>
        <n v="4459.5"/>
        <n v="4467.6000000000004"/>
        <n v="4477.3500000000004"/>
        <n v="4480"/>
        <n v="4484"/>
        <n v="4507.75"/>
        <n v="4530"/>
        <n v="4535"/>
        <n v="4554.3"/>
        <n v="4556.2"/>
        <n v="4562.8500000000004"/>
        <n v="4572.1499999999996"/>
        <n v="4581"/>
        <n v="4590"/>
        <n v="4591"/>
        <n v="4598"/>
        <n v="4619"/>
        <n v="4626"/>
        <n v="4644"/>
        <n v="4648.3500000000004"/>
        <n v="4648.6499999999996"/>
        <n v="4649.5"/>
        <n v="4661.3999999999996"/>
        <n v="4686"/>
        <n v="4708"/>
        <n v="4708.2"/>
        <n v="4710"/>
        <n v="4715.8"/>
        <n v="4732"/>
        <n v="4734"/>
        <n v="4735"/>
        <n v="4741.2"/>
        <n v="4772"/>
        <n v="4772.75"/>
        <n v="4786"/>
        <n v="4797.3999999999996"/>
        <n v="4803"/>
        <n v="4835.5"/>
        <n v="4846.5"/>
        <n v="4847"/>
        <n v="4851.8999999999996"/>
        <n v="4858.2"/>
        <n v="4862.1000000000004"/>
        <n v="4863"/>
        <n v="4872"/>
        <n v="4874.75"/>
        <n v="4887.75"/>
        <n v="4902"/>
        <n v="4902.8"/>
        <n v="4914"/>
        <n v="4927.5"/>
        <n v="4968"/>
        <n v="4979"/>
        <n v="4993"/>
        <n v="5004.8"/>
        <n v="5011.6000000000004"/>
        <n v="5046"/>
        <n v="5055"/>
        <n v="5064.3"/>
        <n v="5069.3999999999996"/>
        <n v="5088"/>
        <n v="5090"/>
        <n v="5090.1000000000004"/>
        <n v="5103.3999999999996"/>
        <n v="5106.6000000000004"/>
        <n v="5122.95"/>
        <n v="5124.3"/>
        <n v="5130.6000000000004"/>
        <n v="5170"/>
        <n v="5177.5"/>
        <n v="5194.3500000000004"/>
        <n v="5277.25"/>
        <n v="5278.5"/>
        <n v="5283"/>
        <n v="5284.8"/>
        <n v="5292"/>
        <n v="5304"/>
        <n v="5341.5"/>
        <n v="5344"/>
        <n v="5350.4"/>
        <n v="5355.15"/>
        <n v="5367.6"/>
        <n v="5379"/>
        <n v="5390.7"/>
        <n v="5415"/>
        <n v="5423"/>
        <n v="5427"/>
        <n v="5443.2"/>
        <n v="5448"/>
        <n v="5459.55"/>
        <n v="5460.4"/>
        <n v="5462"/>
        <n v="5479.6"/>
        <n v="5484"/>
        <n v="5486.25"/>
        <n v="5492.7"/>
        <n v="5502.9"/>
        <n v="5508"/>
        <n v="5518.8"/>
        <n v="5570"/>
        <n v="5586"/>
        <n v="5592"/>
        <n v="5603.1"/>
        <n v="5613.4"/>
        <n v="5615.1"/>
        <n v="5643.15"/>
        <n v="5671.2"/>
        <n v="5683.5"/>
        <n v="5688.2"/>
        <n v="5706"/>
        <n v="5706.9"/>
        <n v="5712"/>
        <n v="5718.6"/>
        <n v="5739.2"/>
        <n v="5756"/>
        <n v="5766.5"/>
        <n v="5779.8"/>
        <n v="5789.35"/>
        <n v="5796.9"/>
        <n v="5802.6"/>
        <n v="5814"/>
        <n v="5817"/>
        <n v="5836.8"/>
        <n v="5853.6"/>
        <n v="5858.2"/>
        <n v="5865.3"/>
        <n v="5926.2"/>
        <n v="5928"/>
        <n v="5929.6"/>
        <n v="5944"/>
        <n v="5960"/>
        <n v="5967"/>
        <n v="5971"/>
        <n v="5974.2"/>
        <n v="5983.2"/>
        <n v="5990.8"/>
        <n v="5992"/>
        <n v="5994.2"/>
        <n v="5995.9"/>
        <n v="6003.9"/>
        <n v="6013.5"/>
        <n v="6035"/>
        <n v="6040.8"/>
        <n v="6041.8"/>
        <n v="6052"/>
        <n v="6075"/>
        <n v="6077.5"/>
        <n v="6085.8"/>
        <n v="6110"/>
        <n v="6114"/>
        <n v="6153"/>
        <n v="6156"/>
        <n v="6163.2"/>
        <n v="6192"/>
        <n v="6195.9"/>
        <n v="6199.2"/>
        <n v="6217.2"/>
        <n v="6228.2"/>
        <n v="6239"/>
        <n v="6242.4"/>
        <n v="6247.5"/>
        <n v="6249.2"/>
        <n v="6269.6"/>
        <n v="6272"/>
        <n v="6272.85"/>
        <n v="6289.95"/>
        <n v="6302.3"/>
        <n v="6303.6"/>
        <n v="6304.2"/>
        <n v="6306"/>
        <n v="6306.3"/>
        <n v="6338"/>
        <n v="6338.4"/>
        <n v="6359.7"/>
        <n v="6372.45"/>
        <n v="6391.6"/>
        <n v="6412.4"/>
        <n v="6415.8"/>
        <n v="6437.9"/>
        <n v="6438.75"/>
        <n v="6445.75"/>
        <n v="6464.75"/>
        <n v="6480"/>
        <n v="6484"/>
        <n v="6490.8"/>
        <n v="6515.1"/>
        <n v="6519.6"/>
        <n v="6522.7"/>
        <n v="6536"/>
        <n v="6542.1"/>
        <n v="6562"/>
        <n v="6564"/>
        <n v="6566.4"/>
        <n v="6568.8"/>
        <n v="6576"/>
        <n v="6577.3"/>
        <n v="6596.8"/>
        <n v="6631.2"/>
        <n v="6640"/>
        <n v="6643.35"/>
        <n v="6644.3"/>
        <n v="6647.4"/>
        <n v="6648.1"/>
        <n v="6657.2"/>
        <n v="6680.4"/>
        <n v="6686.1"/>
        <n v="6691.8"/>
        <n v="6703.2"/>
        <n v="6706.05"/>
        <n v="6714.15"/>
        <n v="6727"/>
        <n v="6729.8"/>
        <n v="6732"/>
        <n v="6733.8"/>
        <n v="6741.2"/>
        <n v="6746.4"/>
        <n v="6753"/>
        <n v="6756"/>
        <n v="6786"/>
        <n v="6786.4"/>
        <n v="6787.25"/>
        <n v="6789"/>
        <n v="6805.8"/>
        <n v="6815"/>
        <n v="6817.2"/>
        <n v="6825.6"/>
        <n v="6828"/>
        <n v="6832.4"/>
        <n v="6845.7"/>
        <n v="6855.3"/>
        <n v="6865.65"/>
        <n v="6866.6"/>
        <n v="6881.6"/>
        <n v="6885.6"/>
        <n v="6895.2"/>
        <n v="6899.85"/>
        <n v="6909.35"/>
        <n v="6918"/>
        <n v="6920.75"/>
        <n v="6933.6"/>
        <n v="6976.8"/>
        <n v="7006.5"/>
        <n v="7016.7"/>
        <n v="7031.2"/>
        <n v="7038"/>
        <n v="7049"/>
        <n v="7055"/>
        <n v="7077.6"/>
        <n v="7086.45"/>
        <n v="7094.6"/>
        <n v="7107.9"/>
        <n v="7130"/>
        <n v="7146.8"/>
        <n v="7157"/>
        <n v="7176"/>
        <n v="7196.4"/>
        <n v="7208.6"/>
        <n v="7240.9"/>
        <n v="7242"/>
        <n v="7254"/>
        <n v="7257"/>
        <n v="7263"/>
        <n v="7276"/>
        <n v="7282.8"/>
        <n v="7290"/>
        <n v="7296"/>
        <n v="7297.9"/>
        <n v="7305.75"/>
        <n v="7324.45"/>
        <n v="7335.5"/>
        <n v="7349.1"/>
        <n v="7368"/>
        <n v="7376"/>
        <n v="7405"/>
        <n v="7405.2"/>
        <n v="7412.85"/>
        <n v="7421.4"/>
        <n v="7422.2"/>
        <n v="7441.2"/>
        <n v="7443"/>
        <n v="7444.2"/>
        <n v="7445"/>
        <n v="7451.1"/>
        <n v="7452"/>
        <n v="7455.6"/>
        <n v="7465.1"/>
        <n v="7474.6"/>
        <n v="7490.2"/>
        <n v="7490.7"/>
        <n v="7492.75"/>
        <n v="7535.4"/>
        <n v="7539.5"/>
        <n v="7554"/>
        <n v="7560.75"/>
        <n v="7572"/>
        <n v="7578.9"/>
        <n v="7580"/>
        <n v="7581.6"/>
        <n v="7586"/>
        <n v="7605"/>
        <n v="7608"/>
        <n v="7614"/>
        <n v="7622.1"/>
        <n v="7627.05"/>
        <n v="7627.5"/>
        <n v="7635.6"/>
        <n v="7640"/>
        <n v="7644.9"/>
        <n v="7651"/>
        <n v="7655.1"/>
        <n v="7665.3"/>
        <n v="7666.5"/>
        <n v="7676"/>
        <n v="7682"/>
        <n v="7692"/>
        <n v="7726.5"/>
        <n v="7734.6"/>
        <n v="7738.7"/>
        <n v="7761.6"/>
        <n v="7772.4"/>
        <n v="7776"/>
        <n v="7777.5"/>
        <n v="7782.4"/>
        <n v="7814.9"/>
        <n v="7815.75"/>
        <n v="7829.9"/>
        <n v="7830"/>
        <n v="7832"/>
        <n v="7837"/>
        <n v="7896"/>
        <n v="7896.4"/>
        <n v="7912.65"/>
        <n v="7926"/>
        <n v="7946"/>
        <n v="7962"/>
        <n v="7970.4"/>
        <n v="7974.3"/>
        <n v="7983"/>
        <n v="7993.8"/>
        <n v="8026"/>
        <n v="8027.4"/>
        <n v="8042.7"/>
        <n v="8060.4"/>
        <n v="8074.15"/>
        <n v="8082"/>
        <n v="8101.6"/>
        <n v="8106"/>
        <n v="8107.3"/>
        <n v="8111.1"/>
        <n v="8120.7"/>
        <n v="8121.75"/>
        <n v="8152.35"/>
        <n v="8164.8"/>
        <n v="8168.1"/>
        <n v="8179.5"/>
        <n v="8200.7999999999993"/>
        <n v="8211"/>
        <n v="8230.5"/>
        <n v="8251.2000000000007"/>
        <n v="8307.75"/>
        <n v="8319.15"/>
        <n v="8326.75"/>
        <n v="8330"/>
        <n v="8347.65"/>
        <n v="8352.4"/>
        <n v="8367.4"/>
        <n v="8370"/>
        <n v="8384"/>
        <n v="8390"/>
        <n v="8433"/>
        <n v="8462.6"/>
        <n v="8465.4500000000007"/>
        <n v="8470"/>
        <n v="8472"/>
        <n v="8478"/>
        <n v="8490"/>
        <n v="8500.6"/>
        <n v="8504.25"/>
        <n v="8512.9500000000007"/>
        <n v="8529.75"/>
        <n v="8532.2999999999993"/>
        <n v="8535.75"/>
        <n v="8538"/>
        <n v="8564"/>
        <n v="8569.7999999999993"/>
        <n v="8572.5"/>
        <n v="8572.7999999999993"/>
        <n v="8580"/>
        <n v="8599.5"/>
        <n v="8617.5"/>
        <n v="8622.2000000000007"/>
        <n v="8626"/>
        <n v="8635.5"/>
        <n v="8646.2000000000007"/>
        <n v="8680.2000000000007"/>
        <n v="8686.7999999999993"/>
        <n v="8690.6"/>
        <n v="8694"/>
        <n v="8697.6"/>
        <n v="8702"/>
        <n v="8708"/>
        <n v="8733.6"/>
        <n v="8746.65"/>
        <n v="8747.6"/>
        <n v="8751"/>
        <n v="8755"/>
        <n v="8761.7999999999993"/>
        <n v="8762.7999999999993"/>
        <n v="8768.6"/>
        <n v="8792"/>
        <n v="8808"/>
        <n v="8817"/>
        <n v="8827.4"/>
        <n v="8844.5"/>
        <n v="8857.7999999999993"/>
        <n v="8865"/>
        <n v="8882.5"/>
        <n v="8891"/>
        <n v="8908"/>
        <n v="8924.2999999999993"/>
        <n v="8946"/>
        <n v="8949.6"/>
        <n v="8969.2000000000007"/>
        <n v="8975.6"/>
        <n v="8998.4"/>
        <n v="9019.35"/>
        <n v="9022.75"/>
        <n v="9044"/>
        <n v="9049.9500000000007"/>
        <n v="9057.2999999999993"/>
        <n v="9061"/>
        <n v="9084.7999999999993"/>
        <n v="9090"/>
        <n v="9101"/>
        <n v="9107.1"/>
        <n v="9111.15"/>
        <n v="9115.25"/>
        <n v="9131.4"/>
        <n v="9134.1"/>
        <n v="9146"/>
        <n v="9159.6"/>
        <n v="9161.7999999999993"/>
        <n v="9162"/>
        <n v="9201.6"/>
        <n v="9205"/>
        <n v="9214"/>
        <n v="9215.1"/>
        <n v="9216"/>
        <n v="9216.9"/>
        <n v="9261"/>
        <n v="9288"/>
        <n v="9300"/>
        <n v="9318"/>
        <n v="9327.6"/>
        <n v="9330"/>
        <n v="9348.2999999999993"/>
        <n v="9353.4"/>
        <n v="9371.7000000000007"/>
        <n v="9394.2000000000007"/>
        <n v="9422.25"/>
        <n v="9424.7999999999993"/>
        <n v="9432"/>
        <n v="9439.2000000000007"/>
        <n v="9444"/>
        <n v="9460.5"/>
        <n v="9481.9500000000007"/>
        <n v="9485.1"/>
        <n v="9487.7999999999993"/>
        <n v="9499.6"/>
        <n v="9512"/>
        <n v="9534"/>
        <n v="9537"/>
        <n v="9558"/>
        <n v="9560.7000000000007"/>
        <n v="9664"/>
        <n v="9672"/>
        <n v="9675"/>
        <n v="9679.5"/>
        <n v="9680"/>
        <n v="9682.2000000000007"/>
        <n v="9711"/>
        <n v="9723.25"/>
        <n v="9747"/>
        <n v="9780"/>
        <n v="9788.7999999999993"/>
        <n v="9806.85"/>
        <n v="9829.65"/>
        <n v="9831"/>
        <n v="9848.65"/>
        <n v="9849"/>
        <n v="9849.6"/>
        <n v="9894"/>
        <n v="9914.4"/>
        <n v="9928"/>
        <n v="9940"/>
        <n v="9942.4500000000007"/>
        <n v="9955.2000000000007"/>
        <n v="9957"/>
        <n v="9957.6"/>
        <n v="9970.5"/>
        <n v="9980"/>
        <n v="10003.5"/>
        <n v="10013"/>
        <n v="10040.4"/>
        <n v="10057.200000000001"/>
        <n v="10108"/>
        <n v="10110"/>
        <n v="10111.6"/>
        <n v="10115"/>
        <n v="10144"/>
        <n v="10160"/>
        <n v="10164"/>
        <n v="10173.6"/>
        <n v="10190"/>
        <n v="10195.200000000001"/>
        <n v="10206"/>
        <n v="10207.65"/>
        <n v="10234.35"/>
        <n v="10247.6"/>
        <n v="10248"/>
        <n v="10251"/>
        <n v="10260"/>
        <n v="10275.200000000001"/>
        <n v="10281.6"/>
        <n v="10306.25"/>
        <n v="10332.9"/>
        <n v="10358.799999999999"/>
        <n v="10358.950000000001"/>
        <n v="10360"/>
        <n v="10364.4"/>
        <n v="10370"/>
        <n v="10414.799999999999"/>
        <n v="10416"/>
        <n v="10442.4"/>
        <n v="10465.200000000001"/>
        <n v="10467"/>
        <n v="10488.15"/>
        <n v="10500"/>
        <n v="10506"/>
        <n v="10516.5"/>
        <n v="10519.6"/>
        <n v="10532.7"/>
        <n v="10547.85"/>
        <n v="10575"/>
        <n v="10580"/>
        <n v="10587.6"/>
        <n v="10597.8"/>
        <n v="10598.2"/>
        <n v="10601.2"/>
        <n v="10616.25"/>
        <n v="10616.5"/>
        <n v="10647"/>
        <n v="10652"/>
        <n v="10672.2"/>
        <n v="10695.6"/>
        <n v="10707.45"/>
        <n v="10724"/>
        <n v="10736"/>
        <n v="10749.6"/>
        <n v="10756.8"/>
        <n v="10764"/>
        <n v="10773"/>
        <n v="10794.6"/>
        <n v="10799.25"/>
        <n v="10815.4"/>
        <n v="10825.25"/>
        <n v="10845.2"/>
        <n v="10864.2"/>
        <n v="10872"/>
        <n v="10918.8"/>
        <n v="10929.6"/>
        <n v="10929.75"/>
        <n v="10935"/>
        <n v="10941.2"/>
        <n v="10949.7"/>
        <n v="10989.6"/>
        <n v="11004.8"/>
        <n v="11027.6"/>
        <n v="11036.4"/>
        <n v="11041.2"/>
        <n v="11048.4"/>
        <n v="11049.45"/>
        <n v="11054.25"/>
        <n v="11055.15"/>
        <n v="11085"/>
        <n v="11115"/>
        <n v="11126.4"/>
        <n v="11158.8"/>
        <n v="11182.6"/>
        <n v="11188.8"/>
        <n v="11210"/>
        <n v="11234.7"/>
        <n v="11262"/>
        <n v="11271.75"/>
        <n v="11278.8"/>
        <n v="11316.9"/>
        <n v="11345.8"/>
        <n v="11358.9"/>
        <n v="11384.8"/>
        <n v="11418.05"/>
        <n v="11420.6"/>
        <n v="11448.45"/>
        <n v="11451.3"/>
        <n v="11466"/>
        <n v="11476"/>
        <n v="11492"/>
        <n v="11500.5"/>
        <n v="11520.9"/>
        <n v="11551.05"/>
        <n v="11559.6"/>
        <n v="11596"/>
        <n v="11617.8"/>
        <n v="11637"/>
        <n v="11648.4"/>
        <n v="11685.8"/>
        <n v="11697"/>
        <n v="11700.2"/>
        <n v="11711"/>
        <n v="11721.6"/>
        <n v="11736.3"/>
        <n v="11743.9"/>
        <n v="11760"/>
        <n v="11764.8"/>
        <n v="11775"/>
        <n v="11781"/>
        <n v="11781.9"/>
        <n v="11816"/>
        <n v="11822.75"/>
        <n v="11824.65"/>
        <n v="11831.4"/>
        <n v="11836.8"/>
        <n v="11859"/>
        <n v="11870"/>
        <n v="11889"/>
        <n v="11898"/>
        <n v="11925"/>
        <n v="11934"/>
        <n v="11951.1"/>
        <n v="11952"/>
        <n v="11959.5"/>
        <n v="12003"/>
        <n v="12027"/>
        <n v="12045"/>
        <n v="12060"/>
        <n v="12067.2"/>
        <n v="12082.5"/>
        <n v="12092"/>
        <n v="12137.2"/>
        <n v="12138.15"/>
        <n v="12180"/>
        <n v="12192"/>
        <n v="12201.3"/>
        <n v="12209.4"/>
        <n v="12210"/>
        <n v="12225.6"/>
        <n v="12235.75"/>
        <n v="12295.8"/>
        <n v="12302.5"/>
        <n v="12312"/>
        <n v="12316.5"/>
        <n v="12321.5"/>
        <n v="12335"/>
        <n v="12336"/>
        <n v="12345"/>
        <n v="12346.25"/>
        <n v="12350"/>
        <n v="12411"/>
        <n v="12438"/>
        <n v="12438.9"/>
        <n v="12440"/>
        <n v="12445"/>
        <n v="12468.6"/>
        <n v="12482.05"/>
        <n v="12495"/>
        <n v="12525.6"/>
        <n v="12546.9"/>
        <n v="12549.4"/>
        <n v="12582.75"/>
        <n v="12589.2"/>
        <n v="12593.6"/>
        <n v="12598.2"/>
        <n v="12619.8"/>
        <n v="12630.6"/>
        <n v="12670"/>
        <n v="12673.5"/>
        <n v="12680.6"/>
        <n v="12682"/>
        <n v="12688.8"/>
        <n v="12695.6"/>
        <n v="12707.2"/>
        <n v="12716"/>
        <n v="12736.8"/>
        <n v="12745.2"/>
        <n v="12806.1"/>
        <n v="12816"/>
        <n v="12819"/>
        <n v="12826.5"/>
        <n v="12839.25"/>
        <n v="12842.1"/>
        <n v="12858"/>
        <n v="12876.3"/>
        <n v="12911.4"/>
        <n v="12911.5"/>
        <n v="12920"/>
        <n v="12948.9"/>
        <n v="12949.2"/>
        <n v="12960"/>
        <n v="12980"/>
        <n v="12996"/>
        <n v="13003.2"/>
        <n v="13059.9"/>
        <n v="13068.2"/>
        <n v="13073.4"/>
        <n v="13078.8"/>
        <n v="13084"/>
        <n v="13113.8"/>
        <n v="13120"/>
        <n v="13132.8"/>
        <n v="13149"/>
        <n v="13152"/>
        <n v="13168.2"/>
        <n v="13180.5"/>
        <n v="13187.75"/>
        <n v="13212"/>
        <n v="13233"/>
        <n v="13246.2"/>
        <n v="13287.6"/>
        <n v="13315.25"/>
        <n v="13360.8"/>
        <n v="13363"/>
        <n v="13363.7"/>
        <n v="13435.2"/>
        <n v="13446.3"/>
        <n v="13461"/>
        <n v="13469.4"/>
        <n v="13470"/>
        <n v="13472"/>
        <n v="13496"/>
        <n v="13562.2"/>
        <n v="13580.25"/>
        <n v="13600"/>
        <n v="13612.55"/>
        <n v="13625.5"/>
        <n v="13630"/>
        <n v="13644"/>
        <n v="13668"/>
        <n v="13689"/>
        <n v="13710"/>
        <n v="13714.2"/>
        <n v="13721.4"/>
        <n v="13727"/>
        <n v="13748.4"/>
        <n v="13749.6"/>
        <n v="13765"/>
        <n v="13770"/>
        <n v="13780.2"/>
        <n v="13795.2"/>
        <n v="13808.25"/>
        <n v="13810"/>
        <n v="13824"/>
        <n v="13870"/>
        <n v="13914"/>
        <n v="13916.55"/>
        <n v="13924.8"/>
        <n v="13941"/>
        <n v="13945.05"/>
        <n v="13958.7"/>
        <n v="13999.2"/>
        <n v="14022"/>
        <n v="14041.95"/>
        <n v="14050.5"/>
        <n v="14050.8"/>
        <n v="14079"/>
        <n v="14101.5"/>
        <n v="14107.5"/>
        <n v="14113.2"/>
        <n v="14128.4"/>
        <n v="14145.5"/>
        <n v="14159.75"/>
        <n v="14170"/>
        <n v="14178"/>
        <n v="14215.4"/>
        <n v="14221.5"/>
        <n v="14231"/>
        <n v="14246.2"/>
        <n v="14247.9"/>
        <n v="14256"/>
        <n v="14269.8"/>
        <n v="14283"/>
        <n v="14292"/>
        <n v="14332.5"/>
        <n v="14340"/>
        <n v="14345"/>
        <n v="14370"/>
        <n v="14392.8"/>
        <n v="14429.6"/>
        <n v="14450"/>
        <n v="14494.5"/>
        <n v="14535"/>
        <n v="14539"/>
        <n v="14548.5"/>
        <n v="14570"/>
        <n v="14571.9"/>
        <n v="14604"/>
        <n v="14614.8"/>
        <n v="14617.8"/>
        <n v="14625"/>
        <n v="14626.8"/>
        <n v="14650.6"/>
        <n v="14663.25"/>
        <n v="14664"/>
        <n v="14700"/>
        <n v="14727"/>
        <n v="14739"/>
        <n v="14760"/>
        <n v="14784.9"/>
        <n v="14785.2"/>
        <n v="14789.6"/>
        <n v="14804.8"/>
        <n v="14811"/>
        <n v="14833.35"/>
        <n v="14849.45"/>
        <n v="14850.4"/>
        <n v="14854.2"/>
        <n v="14902.2"/>
        <n v="14909"/>
        <n v="14919.75"/>
        <n v="14931"/>
        <n v="14943"/>
        <n v="14950"/>
        <n v="14954.4"/>
        <n v="14990.4"/>
        <n v="15028.2"/>
        <n v="15029"/>
        <n v="15050.7"/>
        <n v="15055.2"/>
        <n v="15098.4"/>
        <n v="15134.4"/>
        <n v="15169.95"/>
        <n v="15222.8"/>
        <n v="15233.25"/>
        <n v="15246"/>
        <n v="15260.8"/>
        <n v="15261.75"/>
        <n v="15274.5"/>
        <n v="15282"/>
        <n v="15293.2"/>
        <n v="15295.75"/>
        <n v="15314.95"/>
        <n v="15347.25"/>
        <n v="15385.25"/>
        <n v="15388.4"/>
        <n v="15393.8"/>
        <n v="15450"/>
        <n v="15466"/>
        <n v="15473.6"/>
        <n v="15475.5"/>
        <n v="15500.2"/>
        <n v="15519.3"/>
        <n v="15535.35"/>
        <n v="15538"/>
        <n v="15540"/>
        <n v="15543"/>
        <n v="15555"/>
        <n v="15558.4"/>
        <n v="15559.25"/>
        <n v="15597"/>
        <n v="15606"/>
        <n v="15619.5"/>
        <n v="15627.6"/>
        <n v="15633"/>
        <n v="15701"/>
        <n v="15742"/>
        <n v="15759"/>
        <n v="15775.2"/>
        <n v="15781.5"/>
        <n v="15830.8"/>
        <n v="15844"/>
        <n v="15858"/>
        <n v="15868.8"/>
        <n v="15872"/>
        <n v="15880.2"/>
        <n v="15891.6"/>
        <n v="15908.4"/>
        <n v="15916.25"/>
        <n v="15920"/>
        <n v="15948"/>
        <n v="15967.25"/>
        <n v="15969.6"/>
        <n v="15975.75"/>
        <n v="15997.5"/>
        <n v="16000"/>
        <n v="16013.2"/>
        <n v="16022.5"/>
        <n v="16048"/>
        <n v="16096"/>
        <n v="16100"/>
        <n v="16106.65"/>
        <n v="16112"/>
        <n v="16124"/>
        <n v="16137"/>
        <n v="16146.6"/>
        <n v="16170"/>
        <n v="16172.8"/>
        <n v="16185"/>
        <n v="16185.6"/>
        <n v="16226"/>
        <n v="16264"/>
        <n v="16272"/>
        <n v="16274.1"/>
        <n v="16309.8"/>
        <n v="16336.2"/>
        <n v="16340.4"/>
        <n v="16354"/>
        <n v="16360.8"/>
        <n v="16380"/>
        <n v="16405"/>
        <n v="16416"/>
        <n v="16433.099999999999"/>
        <n v="16434"/>
        <n v="16472.05"/>
        <n v="16524"/>
        <n v="16590.8"/>
        <n v="16615.8"/>
        <n v="16631.099999999999"/>
        <n v="16651.599999999999"/>
        <n v="16653.2"/>
        <n v="16659.2"/>
        <n v="16678.2"/>
        <n v="16694"/>
        <n v="16699.95"/>
        <n v="16755.2"/>
        <n v="16758"/>
        <n v="16760"/>
        <n v="16761.599999999999"/>
        <n v="16764"/>
        <n v="16818"/>
        <n v="16821"/>
        <n v="16884"/>
        <n v="16897.650000000001"/>
        <n v="16900.5"/>
        <n v="16911"/>
        <n v="16924.25"/>
        <n v="16930.900000000001"/>
        <n v="16940.5"/>
        <n v="16947"/>
        <n v="16965"/>
        <n v="16977.599999999999"/>
        <n v="17035.2"/>
        <n v="17041.5"/>
        <n v="17046.75"/>
        <n v="17081.599999999999"/>
        <n v="17085.599999999999"/>
        <n v="17088.400000000001"/>
        <n v="17120"/>
        <n v="17131.75"/>
        <n v="17152"/>
        <n v="17153"/>
        <n v="17184"/>
        <n v="17253.900000000001"/>
        <n v="17289"/>
        <n v="17302.5"/>
        <n v="17320.5"/>
        <n v="17353.599999999999"/>
        <n v="17370"/>
        <n v="17397.8"/>
        <n v="17425"/>
        <n v="17430"/>
        <n v="17442"/>
        <n v="17455.599999999999"/>
        <n v="17475"/>
        <n v="17530"/>
        <n v="17546.5"/>
        <n v="17560.8"/>
        <n v="17568"/>
        <n v="17578.8"/>
        <n v="17628"/>
        <n v="17661"/>
        <n v="17690"/>
        <n v="17698.5"/>
        <n v="17707.2"/>
        <n v="17739.5"/>
        <n v="17755.2"/>
        <n v="17759"/>
        <n v="17770.95"/>
        <n v="17780"/>
        <n v="17795.7"/>
        <n v="17809.650000000001"/>
        <n v="17811"/>
        <n v="17820"/>
        <n v="17822"/>
        <n v="17850"/>
        <n v="17857"/>
        <n v="17890"/>
        <n v="17901"/>
        <n v="17982"/>
        <n v="18004"/>
        <n v="18014.400000000001"/>
        <n v="18023.400000000001"/>
        <n v="18025.2"/>
        <n v="18049.75"/>
        <n v="18063.3"/>
        <n v="18092.25"/>
        <n v="18107"/>
        <n v="18118.8"/>
        <n v="18139.5"/>
        <n v="18150"/>
        <n v="18154.5"/>
        <n v="18183.2"/>
        <n v="18285.599999999999"/>
        <n v="18288"/>
        <n v="18319.2"/>
        <n v="18381.599999999999"/>
        <n v="18391.45"/>
        <n v="18404"/>
        <n v="18430"/>
        <n v="18456.599999999999"/>
        <n v="18464"/>
        <n v="18505.8"/>
        <n v="18517.400000000001"/>
        <n v="18531"/>
        <n v="18534.5"/>
        <n v="18539.25"/>
        <n v="18544"/>
        <n v="18566.55"/>
        <n v="18568.8"/>
        <n v="18576"/>
        <n v="18635"/>
        <n v="18640.5"/>
        <n v="18644.7"/>
        <n v="18683"/>
        <n v="18704"/>
        <n v="18712.75"/>
        <n v="18717"/>
        <n v="18738"/>
        <n v="18742.5"/>
        <n v="18746"/>
        <n v="18758.7"/>
        <n v="18780.3"/>
        <n v="18801"/>
        <n v="18861.5"/>
        <n v="18879"/>
        <n v="18895.5"/>
        <n v="18925.25"/>
        <n v="18956.7"/>
        <n v="19007.599999999999"/>
        <n v="19025.55"/>
        <n v="19065.599999999999"/>
        <n v="19072"/>
        <n v="19094.400000000001"/>
        <n v="19096"/>
        <n v="19190"/>
        <n v="19212.55"/>
        <n v="19278"/>
        <n v="19293.3"/>
        <n v="19296.900000000001"/>
        <n v="19331.55"/>
        <n v="19340.099999999999"/>
        <n v="19349.599999999999"/>
        <n v="19350"/>
        <n v="19352"/>
        <n v="19434"/>
        <n v="19439.5"/>
        <n v="19440"/>
        <n v="19446.5"/>
        <n v="19448.400000000001"/>
        <n v="19454.400000000001"/>
        <n v="19470"/>
        <n v="19484"/>
        <n v="19488.599999999999"/>
        <n v="19494"/>
        <n v="19510"/>
        <n v="19512"/>
        <n v="19517.7"/>
        <n v="19533.849999999999"/>
        <n v="19545.75"/>
        <n v="19550"/>
        <n v="19584.25"/>
        <n v="19599.3"/>
        <n v="19636.5"/>
        <n v="19701"/>
        <n v="19714.5"/>
        <n v="19723.5"/>
        <n v="19728"/>
        <n v="19750.5"/>
        <n v="19752.400000000001"/>
        <n v="19776.150000000001"/>
        <n v="19782.900000000001"/>
        <n v="19793.099999999999"/>
        <n v="19800.75"/>
        <n v="19801.8"/>
        <n v="19808.400000000001"/>
        <n v="19882.349999999999"/>
        <n v="19895.099999999999"/>
        <n v="19953"/>
        <n v="19964.8"/>
        <n v="19972"/>
        <n v="20002.2"/>
        <n v="20041"/>
        <n v="20043"/>
        <n v="20050.650000000001"/>
        <n v="20056.400000000001"/>
        <n v="20071.8"/>
        <n v="20082.599999999999"/>
        <n v="20111.5"/>
        <n v="20128.5"/>
        <n v="20134.8"/>
        <n v="20149.5"/>
        <n v="20168.5"/>
        <n v="20201.400000000001"/>
        <n v="20247.849999999999"/>
        <n v="20254"/>
        <n v="20272"/>
        <n v="20320"/>
        <n v="20323.5"/>
        <n v="20328"/>
        <n v="20335.5"/>
        <n v="20336"/>
        <n v="20417.400000000001"/>
        <n v="20430"/>
        <n v="20435.45"/>
        <n v="20455.25"/>
        <n v="20468.7"/>
        <n v="20510.5"/>
        <n v="20568.45"/>
        <n v="20592.95"/>
        <n v="20598.900000000001"/>
        <n v="20604"/>
        <n v="20608.25"/>
        <n v="20638.8"/>
        <n v="20823.3"/>
        <n v="20848.8"/>
        <n v="20901.5"/>
        <n v="20909.5"/>
        <n v="20955.900000000001"/>
        <n v="20978"/>
        <n v="21000.6"/>
        <n v="21036"/>
        <n v="21116.55"/>
        <n v="21148"/>
        <n v="21150"/>
        <n v="21156.5"/>
        <n v="21160"/>
        <n v="21195"/>
        <n v="21205.8"/>
        <n v="21243.9"/>
        <n v="21254.400000000001"/>
        <n v="21323.7"/>
        <n v="21334.5"/>
        <n v="21335.85"/>
        <n v="21351.25"/>
        <n v="21355.200000000001"/>
        <n v="21356"/>
        <n v="21379.200000000001"/>
        <n v="21448.799999999999"/>
        <n v="21455.75"/>
        <n v="21525"/>
        <n v="21539"/>
        <n v="21564"/>
        <n v="21586.5"/>
        <n v="21636"/>
        <n v="21660"/>
        <n v="21678"/>
        <n v="21681"/>
        <n v="21774"/>
        <n v="21802.5"/>
        <n v="21828"/>
        <n v="21834"/>
        <n v="21850"/>
        <n v="21880.400000000001"/>
        <n v="21928"/>
        <n v="21988.799999999999"/>
        <n v="22047.3"/>
        <n v="22050"/>
        <n v="22091.3"/>
        <n v="22122"/>
        <n v="22125.599999999999"/>
        <n v="22140"/>
        <n v="22154.400000000001"/>
        <n v="22288.7"/>
        <n v="22297.5"/>
        <n v="22324.05"/>
        <n v="22325"/>
        <n v="22356"/>
        <n v="22363.5"/>
        <n v="22363.95"/>
        <n v="22396.25"/>
        <n v="22401"/>
        <n v="22519.75"/>
        <n v="22548.25"/>
        <n v="22562.400000000001"/>
        <n v="22591.8"/>
        <n v="22595"/>
        <n v="22598.1"/>
        <n v="22605.25"/>
        <n v="22608"/>
        <n v="22610"/>
        <n v="22631.4"/>
        <n v="22689"/>
        <n v="22698"/>
        <n v="22730.7"/>
        <n v="22734"/>
        <n v="22740"/>
        <n v="22780"/>
        <n v="22788"/>
        <n v="22800"/>
        <n v="22807.200000000001"/>
        <n v="22811.4"/>
        <n v="22827.599999999999"/>
        <n v="22830"/>
        <n v="22854.799999999999"/>
        <n v="22884"/>
        <n v="22894.2"/>
        <n v="22929.200000000001"/>
        <n v="22952"/>
        <n v="22960"/>
        <n v="23023"/>
        <n v="23049.45"/>
        <n v="23114"/>
        <n v="23193.1"/>
        <n v="23210.400000000001"/>
        <n v="23220"/>
        <n v="23288.3"/>
        <n v="23303.5"/>
        <n v="23410"/>
        <n v="23419.200000000001"/>
        <n v="23460"/>
        <n v="23495.7"/>
        <n v="23505"/>
        <n v="23538.6"/>
        <n v="23586.6"/>
        <n v="23589.45"/>
        <n v="23592"/>
        <n v="23626.5"/>
        <n v="23633.4"/>
        <n v="23757.3"/>
        <n v="23766"/>
        <n v="23803.200000000001"/>
        <n v="23822.1"/>
        <n v="23826"/>
        <n v="23915"/>
        <n v="23932.799999999999"/>
        <n v="23934.3"/>
        <n v="23936"/>
        <n v="23968"/>
        <n v="24090"/>
        <n v="24130"/>
        <n v="24149"/>
        <n v="24157"/>
        <n v="24163.8"/>
        <n v="24175.599999999999"/>
        <n v="24264.9"/>
        <n v="24276"/>
        <n v="24289.200000000001"/>
        <n v="24316.2"/>
        <n v="24354"/>
        <n v="24370.2"/>
        <n v="24371.200000000001"/>
        <n v="24484.25"/>
        <n v="24531.85"/>
        <n v="24550"/>
        <n v="24555.65"/>
        <n v="24585.05"/>
        <n v="24592"/>
        <n v="24602.400000000001"/>
        <n v="24651"/>
        <n v="24840.6"/>
        <n v="24858"/>
        <n v="24888"/>
        <n v="24896.5"/>
        <n v="24915.599999999999"/>
        <n v="24983"/>
        <n v="25034.400000000001"/>
        <n v="25061"/>
        <n v="25095.200000000001"/>
        <n v="25144.7"/>
        <n v="25158"/>
        <n v="25186"/>
        <n v="25245"/>
        <n v="25257.599999999999"/>
        <n v="25299"/>
        <n v="25327"/>
        <n v="25344.9"/>
        <n v="25404.9"/>
        <n v="25450.5"/>
        <n v="25452"/>
        <n v="25466"/>
        <n v="25470.9"/>
        <n v="25644.5"/>
        <n v="25669"/>
        <n v="25680"/>
        <n v="25740"/>
        <n v="25758"/>
        <n v="25760"/>
        <n v="25772.85"/>
        <n v="25795"/>
        <n v="25815.3"/>
        <n v="25908"/>
        <n v="25908.400000000001"/>
        <n v="26004"/>
        <n v="26049"/>
        <n v="26124"/>
        <n v="26128.799999999999"/>
        <n v="26208.9"/>
        <n v="26251.4"/>
        <n v="26271"/>
        <n v="26290"/>
        <n v="26316.85"/>
        <n v="26339.7"/>
        <n v="26356.799999999999"/>
        <n v="26359.65"/>
        <n v="26443.8"/>
        <n v="26455.599999999999"/>
        <n v="26486"/>
        <n v="26496"/>
        <n v="26536"/>
        <n v="26568"/>
        <n v="26622"/>
        <n v="26685.5"/>
        <n v="26691.7"/>
        <n v="26713.8"/>
        <n v="26754"/>
        <n v="26758"/>
        <n v="26764.799999999999"/>
        <n v="26786.7"/>
        <n v="26824"/>
        <n v="26848.799999999999"/>
        <n v="26892.6"/>
        <n v="26894"/>
        <n v="26896.400000000001"/>
        <n v="26899.200000000001"/>
        <n v="26964"/>
        <n v="26972.400000000001"/>
        <n v="26979.05"/>
        <n v="26988"/>
        <n v="27120.6"/>
        <n v="27180"/>
        <n v="27198"/>
        <n v="27227"/>
        <n v="27230"/>
        <n v="27253.599999999999"/>
        <n v="27293.5"/>
        <n v="27360"/>
        <n v="27382.799999999999"/>
        <n v="27405.599999999999"/>
        <n v="27417.95"/>
        <n v="27425.25"/>
        <n v="27495"/>
        <n v="27552"/>
        <n v="27650"/>
        <n v="27657"/>
        <n v="27696.400000000001"/>
        <n v="27711"/>
        <n v="27713.7"/>
        <n v="27720"/>
        <n v="27724.799999999999"/>
        <n v="27846"/>
        <n v="27855.9"/>
        <n v="27936"/>
        <n v="27960"/>
        <n v="27990"/>
        <n v="28044.9"/>
        <n v="28082"/>
        <n v="28088"/>
        <n v="28090.799999999999"/>
        <n v="28126"/>
        <n v="28156.1"/>
        <n v="28326.15"/>
        <n v="28332"/>
        <n v="28340.400000000001"/>
        <n v="28351.8"/>
        <n v="28378.400000000001"/>
        <n v="28442.05"/>
        <n v="28450"/>
        <n v="28532.799999999999"/>
        <n v="28569.599999999999"/>
        <n v="28583.1"/>
        <n v="28785.599999999999"/>
        <n v="28830.6"/>
        <n v="28842"/>
        <n v="28857.5"/>
        <n v="28873.35"/>
        <n v="28879.200000000001"/>
        <n v="28881"/>
        <n v="28927.5"/>
        <n v="28984.5"/>
        <n v="29077.65"/>
        <n v="29184"/>
        <n v="29232"/>
        <n v="29240"/>
        <n v="29306.55"/>
        <n v="29320"/>
        <n v="29345.4"/>
        <n v="29346"/>
        <n v="29363.25"/>
        <n v="29393"/>
        <n v="29400"/>
        <n v="29545"/>
        <n v="29589"/>
        <n v="29672.65"/>
        <n v="29770.400000000001"/>
        <n v="29849"/>
        <n v="29883"/>
        <n v="29990"/>
        <n v="29998.15"/>
        <n v="30011.45"/>
        <n v="30137.8"/>
        <n v="30177"/>
        <n v="30258"/>
        <n v="30275"/>
        <n v="30378.15"/>
        <n v="30441.599999999999"/>
        <n v="30520"/>
        <n v="30523.5"/>
        <n v="30550"/>
        <n v="30559.200000000001"/>
        <n v="30573"/>
        <n v="30600"/>
        <n v="30627.200000000001"/>
        <n v="30637.5"/>
        <n v="30681"/>
        <n v="30690"/>
        <n v="30710"/>
        <n v="30770.5"/>
        <n v="30818"/>
        <n v="30906"/>
        <n v="30908.25"/>
        <n v="30935.8"/>
        <n v="31052"/>
        <n v="31090.5"/>
        <n v="31127"/>
        <n v="31168.799999999999"/>
        <n v="31252.799999999999"/>
        <n v="31254.5"/>
        <n v="31273.200000000001"/>
        <n v="31320.799999999999"/>
        <n v="31355.1"/>
        <n v="31368"/>
        <n v="31424.5"/>
        <n v="31446.9"/>
        <n v="31491"/>
        <n v="31555.200000000001"/>
        <n v="31686.3"/>
        <n v="31752"/>
        <n v="31938.3"/>
        <n v="31966.55"/>
        <n v="31979.85"/>
        <n v="32022"/>
        <n v="32081.5"/>
        <n v="32091"/>
        <n v="32105.25"/>
        <n v="32132.799999999999"/>
        <n v="32246.799999999999"/>
        <n v="32280"/>
        <n v="32284.799999999999"/>
        <n v="32319"/>
        <n v="32325.65"/>
        <n v="32335.200000000001"/>
        <n v="32382.45"/>
        <n v="32402"/>
        <n v="32410"/>
        <n v="32528"/>
        <n v="32544"/>
        <n v="32565.200000000001"/>
        <n v="32606"/>
        <n v="32666.400000000001"/>
        <n v="32691"/>
        <n v="32728"/>
        <n v="32818.5"/>
        <n v="32897.550000000003"/>
        <n v="32970"/>
        <n v="33017.4"/>
        <n v="33028.65"/>
        <n v="33045.75"/>
        <n v="33096"/>
        <n v="33176.85"/>
        <n v="33209.5"/>
        <n v="33240.5"/>
        <n v="33328.5"/>
        <n v="33392"/>
        <n v="33405"/>
        <n v="33439"/>
        <n v="33517.199999999997"/>
        <n v="33530.800000000003"/>
        <n v="33541.65"/>
        <n v="33650"/>
        <n v="33675.599999999999"/>
        <n v="33700.800000000003"/>
        <n v="33706"/>
        <n v="33744"/>
        <n v="33849.449999999997"/>
        <n v="33881.85"/>
        <n v="33896"/>
        <n v="33970"/>
        <n v="34200"/>
        <n v="34250"/>
        <n v="34268.400000000001"/>
        <n v="34420.400000000001"/>
        <n v="34461"/>
        <n v="34484.5"/>
        <n v="34494.5"/>
        <n v="34514.1"/>
        <n v="34528"/>
        <n v="34578.9"/>
        <n v="34616.25"/>
        <n v="34624"/>
        <n v="35030"/>
        <n v="35054"/>
        <n v="35098.199999999997"/>
        <n v="35136"/>
        <n v="35157.599999999999"/>
        <n v="35258.400000000001"/>
        <n v="35421.300000000003"/>
        <n v="35504"/>
        <n v="35524.800000000003"/>
        <n v="35545.199999999997"/>
        <n v="35580.15"/>
        <n v="35587"/>
        <n v="35636.400000000001"/>
        <n v="35696.25"/>
        <n v="35717.85"/>
        <n v="35721"/>
        <n v="35824.949999999997"/>
        <n v="35860"/>
        <n v="35947.35"/>
        <n v="36208"/>
        <n v="36294.75"/>
        <n v="36531"/>
        <n v="36644.400000000001"/>
        <n v="36690"/>
        <n v="36869.5"/>
        <n v="37064.25"/>
        <n v="37179"/>
        <n v="37301.4"/>
        <n v="37338.800000000003"/>
        <n v="37360"/>
        <n v="37405.800000000003"/>
        <n v="37566.800000000003"/>
        <n v="37602.9"/>
        <n v="37760"/>
        <n v="37768"/>
        <n v="37791"/>
        <n v="37845"/>
        <n v="37944.9"/>
        <n v="37992.400000000001"/>
        <n v="38047.5"/>
        <n v="38167.199999999997"/>
        <n v="38264"/>
        <n v="38336"/>
        <n v="38403"/>
        <n v="38551.949999999997"/>
        <n v="38680"/>
        <n v="38709"/>
        <n v="38720"/>
        <n v="38745"/>
        <n v="38748.6"/>
        <n v="38925"/>
        <n v="38930"/>
        <n v="39190"/>
        <n v="39204"/>
        <n v="39285"/>
        <n v="39487.5"/>
        <n v="39528"/>
        <n v="39570"/>
        <n v="39632"/>
        <n v="39665.699999999997"/>
        <n v="39885.75"/>
        <n v="39966.5"/>
        <n v="40018"/>
        <n v="40158"/>
        <n v="40167.9"/>
        <n v="40180"/>
        <n v="40194.5"/>
        <n v="40475.699999999997"/>
        <n v="40826.25"/>
        <n v="41130"/>
        <n v="41142.6"/>
        <n v="41334.5"/>
        <n v="41355"/>
        <n v="41441.85"/>
        <n v="41582"/>
        <n v="41624.5"/>
        <n v="41625"/>
        <n v="41638.5"/>
        <n v="41770"/>
        <n v="41778"/>
        <n v="41820"/>
        <n v="42003"/>
        <n v="42130"/>
        <n v="42290"/>
        <n v="42835.5"/>
        <n v="43020"/>
        <n v="43200"/>
        <n v="43450"/>
        <n v="43548"/>
        <n v="43595.5"/>
        <n v="43605"/>
        <n v="43614"/>
        <n v="43660"/>
        <n v="43700"/>
        <n v="44091"/>
        <n v="44180"/>
        <n v="44320"/>
        <n v="44532"/>
        <n v="44694"/>
        <n v="45860"/>
        <n v="46510"/>
        <n v="46597.5"/>
        <n v="46844.5"/>
        <n v="47148.5"/>
        <n v="47205.5"/>
        <n v="47230"/>
        <n v="48170"/>
        <n v="48350"/>
        <n v="48670"/>
        <n v="49040"/>
      </sharedItems>
    </cacheField>
    <cacheField name="Cost Price" numFmtId="0">
      <sharedItems containsSemiMixedTypes="0" containsString="0" containsNumber="1" minValue="416.7" maxValue="3954.29"/>
    </cacheField>
    <cacheField name="Profit" numFmtId="0">
      <sharedItems containsSemiMixedTypes="0" containsString="0" containsNumber="1" minValue="110.1" maxValue="22050.32"/>
    </cacheField>
    <cacheField name="Profit Margin (%)" numFmtId="10">
      <sharedItems containsSemiMixedTypes="0" containsString="0" containsNumber="1" minValue="5.9039032435404065E-2" maxValue="0.49993651574803144"/>
    </cacheField>
    <cacheField name="Month" numFmtId="10">
      <sharedItems count="12">
        <s v="Jan"/>
        <s v="Jul"/>
        <s v="May"/>
        <s v="Feb"/>
        <s v="Nov"/>
        <s v="Mar"/>
        <s v="Aug"/>
        <s v="Apr"/>
        <s v="Sep"/>
        <s v="Dec"/>
        <s v="Jun"/>
        <s v="Oct"/>
      </sharedItems>
    </cacheField>
    <cacheField name="Year" numFmtId="0">
      <sharedItems containsSemiMixedTypes="0" containsString="0" containsNumber="1" containsInteger="1" minValue="2023" maxValue="2023" count="1">
        <n v="2023"/>
      </sharedItems>
    </cacheField>
    <cacheField name="Week Number" numFmtId="0">
      <sharedItems containsSemiMixedTypes="0" containsString="0" containsNumber="1" containsInteger="1" minValue="1" maxValue="53"/>
    </cacheField>
    <cacheField name="Customer Name" numFmtId="0">
      <sharedItems count="493">
        <s v="Customer 399"/>
        <s v="Customer 256"/>
        <s v="Customer 30"/>
        <s v="Customer 207"/>
        <s v="Customer 34"/>
        <s v="Customer 102"/>
        <s v="Customer 476"/>
        <s v="Customer 468"/>
        <s v="Customer 424"/>
        <s v="Customer 165"/>
        <s v="Customer 418"/>
        <s v="Customer 142"/>
        <s v="Customer 201"/>
        <s v="Customer 389"/>
        <s v="Customer 3"/>
        <s v="Customer 415"/>
        <s v="Customer 379"/>
        <s v="Customer 239"/>
        <s v="Customer 311"/>
        <s v="Customer 466"/>
        <s v="Customer 88"/>
        <s v="Customer 362"/>
        <s v="Customer 303"/>
        <s v="Customer 454"/>
        <s v="Customer 337"/>
        <s v="Customer 453"/>
        <s v="Customer 146"/>
        <s v="Customer 290"/>
        <s v="Customer 360"/>
        <s v="Customer 93"/>
        <s v="Customer 56"/>
        <s v="Customer 386"/>
        <s v="Customer 387"/>
        <s v="Customer 393"/>
        <s v="Customer 381"/>
        <s v="Customer 18"/>
        <s v="Customer 123"/>
        <s v="Customer 433"/>
        <s v="Customer 62"/>
        <s v="Customer 300"/>
        <s v="Customer 124"/>
        <s v="Customer 209"/>
        <s v="Customer 370"/>
        <s v="Customer 139"/>
        <s v="Customer 234"/>
        <s v="Customer 238"/>
        <s v="Customer 49"/>
        <s v="Customer 491"/>
        <s v="Customer 347"/>
        <s v="Customer 135"/>
        <s v="Customer 422"/>
        <s v="Customer 159"/>
        <s v="Customer 488"/>
        <s v="Customer 355"/>
        <s v="Customer 364"/>
        <s v="Customer 437"/>
        <s v="Customer 497"/>
        <s v="Customer 270"/>
        <s v="Customer 189"/>
        <s v="Customer 14"/>
        <s v="Customer 16"/>
        <s v="Customer 400"/>
        <s v="Customer 444"/>
        <s v="Customer 349"/>
        <s v="Customer 357"/>
        <s v="Customer 255"/>
        <s v="Customer 226"/>
        <s v="Customer 127"/>
        <s v="Customer 292"/>
        <s v="Customer 452"/>
        <s v="Customer 98"/>
        <s v="Customer 342"/>
        <s v="Customer 86"/>
        <s v="Customer 28"/>
        <s v="Customer 32"/>
        <s v="Customer 315"/>
        <s v="Customer 267"/>
        <s v="Customer 431"/>
        <s v="Customer 231"/>
        <s v="Customer 22"/>
        <s v="Customer 414"/>
        <s v="Customer 328"/>
        <s v="Customer 382"/>
        <s v="Customer 350"/>
        <s v="Customer 361"/>
        <s v="Customer 188"/>
        <s v="Customer 147"/>
        <s v="Customer 406"/>
        <s v="Customer 225"/>
        <s v="Customer 316"/>
        <s v="Customer 244"/>
        <s v="Customer 374"/>
        <s v="Customer 493"/>
        <s v="Customer 356"/>
        <s v="Customer 4"/>
        <s v="Customer 92"/>
        <s v="Customer 232"/>
        <s v="Customer 432"/>
        <s v="Customer 440"/>
        <s v="Customer 423"/>
        <s v="Customer 228"/>
        <s v="Customer 215"/>
        <s v="Customer 80"/>
        <s v="Customer 338"/>
        <s v="Customer 396"/>
        <s v="Customer 138"/>
        <s v="Customer 12"/>
        <s v="Customer 66"/>
        <s v="Customer 450"/>
        <s v="Customer 45"/>
        <s v="Customer 10"/>
        <s v="Customer 438"/>
        <s v="Customer 326"/>
        <s v="Customer 403"/>
        <s v="Customer 500"/>
        <s v="Customer 240"/>
        <s v="Customer 85"/>
        <s v="Customer 199"/>
        <s v="Customer 494"/>
        <s v="Customer 485"/>
        <s v="Customer 162"/>
        <s v="Customer 218"/>
        <s v="Customer 183"/>
        <s v="Customer 304"/>
        <s v="Customer 195"/>
        <s v="Customer 368"/>
        <s v="Customer 451"/>
        <s v="Customer 2"/>
        <s v="Customer 421"/>
        <s v="Customer 310"/>
        <s v="Customer 409"/>
        <s v="Customer 272"/>
        <s v="Customer 213"/>
        <s v="Customer 9"/>
        <s v="Customer 15"/>
        <s v="Customer 448"/>
        <s v="Customer 39"/>
        <s v="Customer 441"/>
        <s v="Customer 193"/>
        <s v="Customer 297"/>
        <s v="Customer 301"/>
        <s v="Customer 53"/>
        <s v="Customer 23"/>
        <s v="Customer 258"/>
        <s v="Customer 279"/>
        <s v="Customer 184"/>
        <s v="Customer 61"/>
        <s v="Customer 266"/>
        <s v="Customer 457"/>
        <s v="Customer 25"/>
        <s v="Customer 132"/>
        <s v="Customer 120"/>
        <s v="Customer 84"/>
        <s v="Customer 1"/>
        <s v="Customer 268"/>
        <s v="Customer 40"/>
        <s v="Customer 484"/>
        <s v="Customer 192"/>
        <s v="Customer 475"/>
        <s v="Customer 216"/>
        <s v="Customer 320"/>
        <s v="Customer 115"/>
        <s v="Customer 121"/>
        <s v="Customer 172"/>
        <s v="Customer 111"/>
        <s v="Customer 125"/>
        <s v="Customer 470"/>
        <s v="Customer 90"/>
        <s v="Customer 8"/>
        <s v="Customer 217"/>
        <s v="Customer 498"/>
        <s v="Customer 391"/>
        <s v="Customer 249"/>
        <s v="Customer 6"/>
        <s v="Customer 385"/>
        <s v="Customer 376"/>
        <s v="Customer 103"/>
        <s v="Customer 314"/>
        <s v="Customer 155"/>
        <s v="Customer 331"/>
        <s v="Customer 91"/>
        <s v="Customer 487"/>
        <s v="Customer 373"/>
        <s v="Customer 65"/>
        <s v="Customer 173"/>
        <s v="Customer 7"/>
        <s v="Customer 463"/>
        <s v="Customer 419"/>
        <s v="Customer 46"/>
        <s v="Customer 329"/>
        <s v="Customer 401"/>
        <s v="Customer 296"/>
        <s v="Customer 392"/>
        <s v="Customer 122"/>
        <s v="Customer 171"/>
        <s v="Customer 312"/>
        <s v="Customer 31"/>
        <s v="Customer 253"/>
        <s v="Customer 109"/>
        <s v="Customer 352"/>
        <s v="Customer 277"/>
        <s v="Customer 271"/>
        <s v="Customer 280"/>
        <s v="Customer 250"/>
        <s v="Customer 166"/>
        <s v="Customer 20"/>
        <s v="Customer 36"/>
        <s v="Customer 82"/>
        <s v="Customer 461"/>
        <s v="Customer 190"/>
        <s v="Customer 48"/>
        <s v="Customer 136"/>
        <s v="Customer 219"/>
        <s v="Customer 63"/>
        <s v="Customer 248"/>
        <s v="Customer 148"/>
        <s v="Customer 143"/>
        <s v="Customer 492"/>
        <s v="Customer 163"/>
        <s v="Customer 50"/>
        <s v="Customer 339"/>
        <s v="Customer 375"/>
        <s v="Customer 317"/>
        <s v="Customer 486"/>
        <s v="Customer 283"/>
        <s v="Customer 455"/>
        <s v="Customer 196"/>
        <s v="Customer 108"/>
        <s v="Customer 43"/>
        <s v="Customer 426"/>
        <s v="Customer 366"/>
        <s v="Customer 257"/>
        <s v="Customer 24"/>
        <s v="Customer 33"/>
        <s v="Customer 333"/>
        <s v="Customer 295"/>
        <s v="Customer 307"/>
        <s v="Customer 101"/>
        <s v="Customer 69"/>
        <s v="Customer 284"/>
        <s v="Customer 220"/>
        <s v="Customer 436"/>
        <s v="Customer 224"/>
        <s v="Customer 345"/>
        <s v="Customer 95"/>
        <s v="Customer 169"/>
        <s v="Customer 353"/>
        <s v="Customer 298"/>
        <s v="Customer 178"/>
        <s v="Customer 371"/>
        <s v="Customer 81"/>
        <s v="Customer 343"/>
        <s v="Customer 252"/>
        <s v="Customer 247"/>
        <s v="Customer 425"/>
        <s v="Customer 275"/>
        <s v="Customer 156"/>
        <s v="Customer 230"/>
        <s v="Customer 420"/>
        <s v="Customer 402"/>
        <s v="Customer 145"/>
        <s v="Customer 335"/>
        <s v="Customer 285"/>
        <s v="Customer 99"/>
        <s v="Customer 202"/>
        <s v="Customer 77"/>
        <s v="Customer 55"/>
        <s v="Customer 372"/>
        <s v="Customer 324"/>
        <s v="Customer 214"/>
        <s v="Customer 336"/>
        <s v="Customer 76"/>
        <s v="Customer 197"/>
        <s v="Customer 428"/>
        <s v="Customer 42"/>
        <s v="Customer 246"/>
        <s v="Customer 499"/>
        <s v="Customer 269"/>
        <s v="Customer 411"/>
        <s v="Customer 282"/>
        <s v="Customer 237"/>
        <s v="Customer 469"/>
        <s v="Customer 383"/>
        <s v="Customer 245"/>
        <s v="Customer 340"/>
        <s v="Customer 52"/>
        <s v="Customer 83"/>
        <s v="Customer 128"/>
        <s v="Customer 134"/>
        <s v="Customer 264"/>
        <s v="Customer 464"/>
        <s v="Customer 97"/>
        <s v="Customer 11"/>
        <s v="Customer 5"/>
        <s v="Customer 377"/>
        <s v="Customer 412"/>
        <s v="Customer 37"/>
        <s v="Customer 106"/>
        <s v="Customer 164"/>
        <s v="Customer 110"/>
        <s v="Customer 302"/>
        <s v="Customer 480"/>
        <s v="Customer 133"/>
        <s v="Customer 104"/>
        <s v="Customer 191"/>
        <s v="Customer 140"/>
        <s v="Customer 17"/>
        <s v="Customer 427"/>
        <s v="Customer 434"/>
        <s v="Customer 380"/>
        <s v="Customer 200"/>
        <s v="Customer 459"/>
        <s v="Customer 416"/>
        <s v="Customer 281"/>
        <s v="Customer 227"/>
        <s v="Customer 489"/>
        <s v="Customer 367"/>
        <s v="Customer 458"/>
        <s v="Customer 276"/>
        <s v="Customer 26"/>
        <s v="Customer 413"/>
        <s v="Customer 327"/>
        <s v="Customer 390"/>
        <s v="Customer 482"/>
        <s v="Customer 168"/>
        <s v="Customer 286"/>
        <s v="Customer 490"/>
        <s v="Customer 407"/>
        <s v="Customer 354"/>
        <s v="Customer 358"/>
        <s v="Customer 96"/>
        <s v="Customer 291"/>
        <s v="Customer 41"/>
        <s v="Customer 221"/>
        <s v="Customer 194"/>
        <s v="Customer 394"/>
        <s v="Customer 235"/>
        <s v="Customer 241"/>
        <s v="Customer 130"/>
        <s v="Customer 346"/>
        <s v="Customer 73"/>
        <s v="Customer 330"/>
        <s v="Customer 54"/>
        <s v="Customer 351"/>
        <s v="Customer 265"/>
        <s v="Customer 150"/>
        <s v="Customer 325"/>
        <s v="Customer 259"/>
        <s v="Customer 59"/>
        <s v="Customer 243"/>
        <s v="Customer 274"/>
        <s v="Customer 322"/>
        <s v="Customer 334"/>
        <s v="Customer 417"/>
        <s v="Customer 126"/>
        <s v="Customer 205"/>
        <s v="Customer 64"/>
        <s v="Customer 137"/>
        <s v="Customer 495"/>
        <s v="Customer 477"/>
        <s v="Customer 117"/>
        <s v="Customer 170"/>
        <s v="Customer 181"/>
        <s v="Customer 388"/>
        <s v="Customer 75"/>
        <s v="Customer 471"/>
        <s v="Customer 479"/>
        <s v="Customer 405"/>
        <s v="Customer 384"/>
        <s v="Customer 306"/>
        <s v="Customer 236"/>
        <s v="Customer 203"/>
        <s v="Customer 204"/>
        <s v="Customer 60"/>
        <s v="Customer 251"/>
        <s v="Customer 293"/>
        <s v="Customer 299"/>
        <s v="Customer 79"/>
        <s v="Customer 68"/>
        <s v="Customer 44"/>
        <s v="Customer 473"/>
        <s v="Customer 154"/>
        <s v="Customer 113"/>
        <s v="Customer 442"/>
        <s v="Customer 186"/>
        <s v="Customer 223"/>
        <s v="Customer 263"/>
        <s v="Customer 308"/>
        <s v="Customer 100"/>
        <s v="Customer 365"/>
        <s v="Customer 496"/>
        <s v="Customer 212"/>
        <s v="Customer 278"/>
        <s v="Customer 70"/>
        <s v="Customer 94"/>
        <s v="Customer 478"/>
        <s v="Customer 332"/>
        <s v="Customer 185"/>
        <s v="Customer 161"/>
        <s v="Customer 404"/>
        <s v="Customer 262"/>
        <s v="Customer 359"/>
        <s v="Customer 447"/>
        <s v="Customer 395"/>
        <s v="Customer 398"/>
        <s v="Customer 449"/>
        <s v="Customer 72"/>
        <s v="Customer 397"/>
        <s v="Customer 208"/>
        <s v="Customer 294"/>
        <s v="Customer 363"/>
        <s v="Customer 89"/>
        <s v="Customer 131"/>
        <s v="Customer 119"/>
        <s v="Customer 467"/>
        <s v="Customer 206"/>
        <s v="Customer 460"/>
        <s v="Customer 177"/>
        <s v="Customer 313"/>
        <s v="Customer 180"/>
        <s v="Customer 198"/>
        <s v="Customer 151"/>
        <s v="Customer 435"/>
        <s v="Customer 78"/>
        <s v="Customer 118"/>
        <s v="Customer 211"/>
        <s v="Customer 408"/>
        <s v="Customer 288"/>
        <s v="Customer 187"/>
        <s v="Customer 341"/>
        <s v="Customer 116"/>
        <s v="Customer 319"/>
        <s v="Customer 27"/>
        <s v="Customer 157"/>
        <s v="Customer 443"/>
        <s v="Customer 446"/>
        <s v="Customer 309"/>
        <s v="Customer 305"/>
        <s v="Customer 179"/>
        <s v="Customer 429"/>
        <s v="Customer 182"/>
        <s v="Customer 481"/>
        <s v="Customer 260"/>
        <s v="Customer 160"/>
        <s v="Customer 19"/>
        <s v="Customer 167"/>
        <s v="Customer 472"/>
        <s v="Customer 465"/>
        <s v="Customer 289"/>
        <s v="Customer 254"/>
        <s v="Customer 87"/>
        <s v="Customer 114"/>
        <s v="Customer 287"/>
        <s v="Customer 321"/>
        <s v="Customer 21"/>
        <s v="Customer 229"/>
        <s v="Customer 176"/>
        <s v="Customer 57"/>
        <s v="Customer 233"/>
        <s v="Customer 51"/>
        <s v="Customer 483"/>
        <s v="Customer 29"/>
        <s v="Customer 74"/>
        <s v="Customer 58"/>
        <s v="Customer 107"/>
        <s v="Customer 174"/>
        <s v="Customer 210"/>
        <s v="Customer 67"/>
        <s v="Customer 348"/>
        <s v="Customer 38"/>
        <s v="Customer 369"/>
        <s v="Customer 152"/>
        <s v="Customer 445"/>
        <s v="Customer 430"/>
        <s v="Customer 323"/>
        <s v="Customer 71"/>
        <s v="Customer 261"/>
        <s v="Customer 129"/>
        <s v="Customer 474"/>
        <s v="Customer 439"/>
        <s v="Customer 242"/>
        <s v="Customer 462"/>
        <s v="Customer 35"/>
        <s v="Customer 410"/>
        <s v="Customer 158"/>
        <s v="Customer 344"/>
        <s v="Customer 47"/>
        <s v="Customer 378"/>
        <s v="Customer 144"/>
        <s v="Customer 153"/>
        <s v="Customer 456"/>
        <s v="Customer 222"/>
        <s v="Customer 13"/>
      </sharedItems>
    </cacheField>
    <cacheField name="Customer Segment" numFmtId="0">
      <sharedItems/>
    </cacheField>
    <cacheField name="Branch" numFmtId="0">
      <sharedItems count="4">
        <s v="Surulere"/>
        <s v="Ikeja"/>
        <s v="Ogba"/>
        <s v="Yaba"/>
      </sharedItems>
    </cacheField>
  </cacheFields>
  <extLst>
    <ext xmlns:x14="http://schemas.microsoft.com/office/spreadsheetml/2009/9/main" uri="{725AE2AE-9491-48be-B2B4-4EB974FC3084}">
      <x14:pivotCacheDefinition pivotCacheId="169027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3-01-02T00:00:00"/>
    <x v="0"/>
    <x v="0"/>
    <n v="858"/>
    <n v="1"/>
    <n v="15"/>
    <x v="0"/>
    <n v="446.06"/>
    <n v="283.24"/>
    <n v="0.3883724119018237"/>
    <x v="0"/>
    <x v="0"/>
    <n v="1"/>
    <x v="0"/>
    <s v="Retail"/>
    <x v="0"/>
  </r>
  <r>
    <x v="1"/>
    <d v="2023-07-08T00:00:00"/>
    <x v="1"/>
    <x v="1"/>
    <n v="870"/>
    <n v="1"/>
    <n v="15"/>
    <x v="1"/>
    <n v="496.01"/>
    <n v="243.49"/>
    <n v="0.32926301555104803"/>
    <x v="1"/>
    <x v="0"/>
    <n v="27"/>
    <x v="1"/>
    <s v="Wholesale"/>
    <x v="1"/>
  </r>
  <r>
    <x v="2"/>
    <d v="2023-01-13T00:00:00"/>
    <x v="2"/>
    <x v="2"/>
    <n v="887"/>
    <n v="1"/>
    <n v="15"/>
    <x v="2"/>
    <n v="513.80999999999995"/>
    <n v="240.14"/>
    <n v="0.31850918495921476"/>
    <x v="0"/>
    <x v="0"/>
    <n v="2"/>
    <x v="2"/>
    <s v="Retail"/>
    <x v="2"/>
  </r>
  <r>
    <x v="3"/>
    <d v="2023-05-13T00:00:00"/>
    <x v="3"/>
    <x v="3"/>
    <n v="804"/>
    <n v="1"/>
    <n v="5"/>
    <x v="3"/>
    <n v="496.87"/>
    <n v="266.93"/>
    <n v="0.34947630269704116"/>
    <x v="2"/>
    <x v="0"/>
    <n v="19"/>
    <x v="3"/>
    <s v="Wholesale"/>
    <x v="2"/>
  </r>
  <r>
    <x v="4"/>
    <d v="2023-02-08T00:00:00"/>
    <x v="0"/>
    <x v="0"/>
    <n v="1009"/>
    <n v="1"/>
    <n v="15"/>
    <x v="4"/>
    <n v="506.54"/>
    <n v="351.11"/>
    <n v="0.40938611321634705"/>
    <x v="3"/>
    <x v="0"/>
    <n v="6"/>
    <x v="4"/>
    <s v="Wholesale"/>
    <x v="1"/>
  </r>
  <r>
    <x v="5"/>
    <d v="2023-11-15T00:00:00"/>
    <x v="3"/>
    <x v="3"/>
    <n v="1014"/>
    <n v="1"/>
    <n v="15"/>
    <x v="5"/>
    <n v="679.24"/>
    <n v="182.66"/>
    <n v="0.21192713771899294"/>
    <x v="4"/>
    <x v="0"/>
    <n v="46"/>
    <x v="5"/>
    <s v="Wholesale"/>
    <x v="2"/>
  </r>
  <r>
    <x v="6"/>
    <d v="2023-03-28T00:00:00"/>
    <x v="4"/>
    <x v="3"/>
    <n v="1019"/>
    <n v="1"/>
    <n v="15"/>
    <x v="6"/>
    <n v="630.94000000000005"/>
    <n v="235.21"/>
    <n v="0.27155804421866886"/>
    <x v="5"/>
    <x v="0"/>
    <n v="13"/>
    <x v="6"/>
    <s v="Wholesale"/>
    <x v="0"/>
  </r>
  <r>
    <x v="7"/>
    <d v="2023-07-03T00:00:00"/>
    <x v="5"/>
    <x v="4"/>
    <n v="913"/>
    <n v="1"/>
    <n v="5"/>
    <x v="7"/>
    <n v="662.86"/>
    <n v="204.49"/>
    <n v="0.23576410906785036"/>
    <x v="1"/>
    <x v="0"/>
    <n v="27"/>
    <x v="7"/>
    <s v="Retail"/>
    <x v="1"/>
  </r>
  <r>
    <x v="8"/>
    <d v="2023-08-14T00:00:00"/>
    <x v="1"/>
    <x v="1"/>
    <n v="960"/>
    <n v="1"/>
    <n v="5"/>
    <x v="8"/>
    <n v="682.49"/>
    <n v="229.51"/>
    <n v="0.25165570175438595"/>
    <x v="6"/>
    <x v="0"/>
    <n v="33"/>
    <x v="8"/>
    <s v="Retail"/>
    <x v="3"/>
  </r>
  <r>
    <x v="9"/>
    <d v="2023-08-02T00:00:00"/>
    <x v="2"/>
    <x v="2"/>
    <n v="976"/>
    <n v="1"/>
    <n v="5"/>
    <x v="9"/>
    <n v="582.35"/>
    <n v="344.85"/>
    <n v="0.3719262295081967"/>
    <x v="6"/>
    <x v="0"/>
    <n v="31"/>
    <x v="9"/>
    <s v="Retail"/>
    <x v="3"/>
  </r>
  <r>
    <x v="10"/>
    <d v="2023-02-07T00:00:00"/>
    <x v="6"/>
    <x v="0"/>
    <n v="956"/>
    <n v="1"/>
    <n v="0"/>
    <x v="10"/>
    <n v="675.87"/>
    <n v="280.13"/>
    <n v="0.29302301255230123"/>
    <x v="3"/>
    <x v="0"/>
    <n v="6"/>
    <x v="10"/>
    <s v="Retail"/>
    <x v="1"/>
  </r>
  <r>
    <x v="11"/>
    <d v="2023-03-25T00:00:00"/>
    <x v="0"/>
    <x v="0"/>
    <n v="1039"/>
    <n v="1"/>
    <n v="5"/>
    <x v="11"/>
    <n v="533.27"/>
    <n v="453.78"/>
    <n v="0.45973354946557926"/>
    <x v="5"/>
    <x v="0"/>
    <n v="12"/>
    <x v="11"/>
    <s v="Retail"/>
    <x v="1"/>
  </r>
  <r>
    <x v="12"/>
    <d v="2023-03-08T00:00:00"/>
    <x v="7"/>
    <x v="1"/>
    <n v="1126"/>
    <n v="1"/>
    <n v="10"/>
    <x v="12"/>
    <n v="588.24"/>
    <n v="425.16"/>
    <n v="0.41953818827708705"/>
    <x v="5"/>
    <x v="0"/>
    <n v="10"/>
    <x v="12"/>
    <s v="Wholesale"/>
    <x v="3"/>
  </r>
  <r>
    <x v="13"/>
    <d v="2023-11-05T00:00:00"/>
    <x v="7"/>
    <x v="1"/>
    <n v="1015"/>
    <n v="1"/>
    <n v="0"/>
    <x v="13"/>
    <n v="637.69000000000005"/>
    <n v="377.31"/>
    <n v="0.37173399014778324"/>
    <x v="4"/>
    <x v="0"/>
    <n v="45"/>
    <x v="13"/>
    <s v="Retail"/>
    <x v="2"/>
  </r>
  <r>
    <x v="14"/>
    <d v="2023-04-08T00:00:00"/>
    <x v="5"/>
    <x v="4"/>
    <n v="1037"/>
    <n v="1"/>
    <n v="0"/>
    <x v="14"/>
    <n v="607.36"/>
    <n v="429.64"/>
    <n v="0.41431051108968175"/>
    <x v="7"/>
    <x v="0"/>
    <n v="14"/>
    <x v="14"/>
    <s v="Retail"/>
    <x v="2"/>
  </r>
  <r>
    <x v="15"/>
    <d v="2023-11-19T00:00:00"/>
    <x v="1"/>
    <x v="1"/>
    <n v="1042"/>
    <n v="1"/>
    <n v="0"/>
    <x v="15"/>
    <n v="570.54"/>
    <n v="471.46"/>
    <n v="0.4524568138195777"/>
    <x v="4"/>
    <x v="0"/>
    <n v="47"/>
    <x v="15"/>
    <s v="Retail"/>
    <x v="2"/>
  </r>
  <r>
    <x v="16"/>
    <d v="2023-11-29T00:00:00"/>
    <x v="1"/>
    <x v="1"/>
    <n v="1208"/>
    <n v="1"/>
    <n v="10"/>
    <x v="16"/>
    <n v="863.96"/>
    <n v="223.24"/>
    <n v="0.20533480500367918"/>
    <x v="4"/>
    <x v="0"/>
    <n v="48"/>
    <x v="16"/>
    <s v="Retail"/>
    <x v="1"/>
  </r>
  <r>
    <x v="17"/>
    <d v="2023-01-09T00:00:00"/>
    <x v="8"/>
    <x v="2"/>
    <n v="1091"/>
    <n v="1"/>
    <n v="0"/>
    <x v="17"/>
    <n v="696.46"/>
    <n v="394.54"/>
    <n v="0.36163153070577453"/>
    <x v="0"/>
    <x v="0"/>
    <n v="2"/>
    <x v="17"/>
    <s v="Wholesale"/>
    <x v="0"/>
  </r>
  <r>
    <x v="18"/>
    <d v="2023-01-21T00:00:00"/>
    <x v="7"/>
    <x v="1"/>
    <n v="1225"/>
    <n v="1"/>
    <n v="10"/>
    <x v="18"/>
    <n v="709.37"/>
    <n v="393.13"/>
    <n v="0.35658049886621312"/>
    <x v="0"/>
    <x v="0"/>
    <n v="3"/>
    <x v="18"/>
    <s v="Wholesale"/>
    <x v="1"/>
  </r>
  <r>
    <x v="19"/>
    <d v="2023-04-12T00:00:00"/>
    <x v="8"/>
    <x v="2"/>
    <n v="1175"/>
    <n v="1"/>
    <n v="5"/>
    <x v="19"/>
    <n v="799.07"/>
    <n v="317.18"/>
    <n v="0.28414781634938413"/>
    <x v="7"/>
    <x v="0"/>
    <n v="15"/>
    <x v="19"/>
    <s v="Wholesale"/>
    <x v="2"/>
  </r>
  <r>
    <x v="20"/>
    <d v="2023-05-11T00:00:00"/>
    <x v="7"/>
    <x v="1"/>
    <n v="1315"/>
    <n v="1"/>
    <n v="15"/>
    <x v="20"/>
    <n v="896.38"/>
    <n v="221.37"/>
    <n v="0.19804965332140462"/>
    <x v="2"/>
    <x v="0"/>
    <n v="19"/>
    <x v="20"/>
    <s v="Retail"/>
    <x v="1"/>
  </r>
  <r>
    <x v="21"/>
    <d v="2023-01-04T00:00:00"/>
    <x v="7"/>
    <x v="1"/>
    <n v="1334"/>
    <n v="1"/>
    <n v="15"/>
    <x v="21"/>
    <n v="927.54"/>
    <n v="206.36"/>
    <n v="0.1819913572625452"/>
    <x v="0"/>
    <x v="0"/>
    <n v="1"/>
    <x v="19"/>
    <s v="Retail"/>
    <x v="1"/>
  </r>
  <r>
    <x v="22"/>
    <d v="2023-05-21T00:00:00"/>
    <x v="9"/>
    <x v="5"/>
    <n v="1334"/>
    <n v="1"/>
    <n v="15"/>
    <x v="21"/>
    <n v="840.78"/>
    <n v="293.12"/>
    <n v="0.25850604109709852"/>
    <x v="2"/>
    <x v="0"/>
    <n v="21"/>
    <x v="21"/>
    <s v="Retail"/>
    <x v="1"/>
  </r>
  <r>
    <x v="23"/>
    <d v="2023-09-19T00:00:00"/>
    <x v="2"/>
    <x v="2"/>
    <n v="1362"/>
    <n v="1"/>
    <n v="15"/>
    <x v="22"/>
    <n v="788.72"/>
    <n v="368.98"/>
    <n v="0.31871814805217241"/>
    <x v="8"/>
    <x v="0"/>
    <n v="38"/>
    <x v="22"/>
    <s v="Retail"/>
    <x v="0"/>
  </r>
  <r>
    <x v="24"/>
    <d v="2023-01-15T00:00:00"/>
    <x v="1"/>
    <x v="1"/>
    <n v="1160"/>
    <n v="1"/>
    <n v="0"/>
    <x v="23"/>
    <n v="590.13"/>
    <n v="569.87"/>
    <n v="0.49126724137931033"/>
    <x v="0"/>
    <x v="0"/>
    <n v="3"/>
    <x v="23"/>
    <s v="Retail"/>
    <x v="0"/>
  </r>
  <r>
    <x v="25"/>
    <d v="2023-01-31T00:00:00"/>
    <x v="2"/>
    <x v="2"/>
    <n v="1387"/>
    <n v="1"/>
    <n v="15"/>
    <x v="24"/>
    <n v="832.39"/>
    <n v="346.56"/>
    <n v="0.29395648670427071"/>
    <x v="0"/>
    <x v="0"/>
    <n v="5"/>
    <x v="24"/>
    <s v="Retail"/>
    <x v="1"/>
  </r>
  <r>
    <x v="26"/>
    <d v="2023-08-11T00:00:00"/>
    <x v="5"/>
    <x v="4"/>
    <n v="1347"/>
    <n v="1"/>
    <n v="10"/>
    <x v="25"/>
    <n v="722.81"/>
    <n v="489.49"/>
    <n v="0.40376969397013945"/>
    <x v="6"/>
    <x v="0"/>
    <n v="32"/>
    <x v="25"/>
    <s v="Retail"/>
    <x v="0"/>
  </r>
  <r>
    <x v="27"/>
    <d v="2023-02-18T00:00:00"/>
    <x v="8"/>
    <x v="2"/>
    <n v="1280"/>
    <n v="1"/>
    <n v="5"/>
    <x v="26"/>
    <n v="991.57"/>
    <n v="224.43"/>
    <n v="0.1845641447368421"/>
    <x v="3"/>
    <x v="0"/>
    <n v="7"/>
    <x v="26"/>
    <s v="Retail"/>
    <x v="3"/>
  </r>
  <r>
    <x v="28"/>
    <d v="2023-03-22T00:00:00"/>
    <x v="1"/>
    <x v="1"/>
    <n v="1447"/>
    <n v="1"/>
    <n v="15"/>
    <x v="27"/>
    <n v="1006.61"/>
    <n v="223.34"/>
    <n v="0.18158461726086425"/>
    <x v="5"/>
    <x v="0"/>
    <n v="12"/>
    <x v="27"/>
    <s v="Retail"/>
    <x v="1"/>
  </r>
  <r>
    <x v="29"/>
    <d v="2023-04-17T00:00:00"/>
    <x v="5"/>
    <x v="4"/>
    <n v="1236"/>
    <n v="1"/>
    <n v="0"/>
    <x v="28"/>
    <n v="797.08"/>
    <n v="438.92"/>
    <n v="0.35511326860841425"/>
    <x v="7"/>
    <x v="0"/>
    <n v="16"/>
    <x v="28"/>
    <s v="Retail"/>
    <x v="0"/>
  </r>
  <r>
    <x v="30"/>
    <d v="2023-08-17T00:00:00"/>
    <x v="6"/>
    <x v="0"/>
    <n v="1406"/>
    <n v="1"/>
    <n v="10"/>
    <x v="29"/>
    <n v="918.37"/>
    <n v="347.03"/>
    <n v="0.27424529792950841"/>
    <x v="6"/>
    <x v="0"/>
    <n v="33"/>
    <x v="29"/>
    <s v="Wholesale"/>
    <x v="1"/>
  </r>
  <r>
    <x v="31"/>
    <d v="2023-12-24T00:00:00"/>
    <x v="7"/>
    <x v="1"/>
    <n v="1503"/>
    <n v="1"/>
    <n v="15"/>
    <x v="30"/>
    <n v="1145.92"/>
    <n v="131.63"/>
    <n v="0.10303314938749951"/>
    <x v="9"/>
    <x v="0"/>
    <n v="52"/>
    <x v="30"/>
    <s v="Retail"/>
    <x v="1"/>
  </r>
  <r>
    <x v="32"/>
    <d v="2023-12-14T00:00:00"/>
    <x v="6"/>
    <x v="0"/>
    <n v="1519"/>
    <n v="1"/>
    <n v="15"/>
    <x v="31"/>
    <n v="947.47"/>
    <n v="343.68"/>
    <n v="0.26618131123417105"/>
    <x v="9"/>
    <x v="0"/>
    <n v="50"/>
    <x v="31"/>
    <s v="Wholesale"/>
    <x v="3"/>
  </r>
  <r>
    <x v="33"/>
    <d v="2023-06-02T00:00:00"/>
    <x v="4"/>
    <x v="3"/>
    <n v="1527"/>
    <n v="1"/>
    <n v="15"/>
    <x v="32"/>
    <n v="990.39"/>
    <n v="307.56"/>
    <n v="0.23695828036519126"/>
    <x v="10"/>
    <x v="0"/>
    <n v="22"/>
    <x v="32"/>
    <s v="Retail"/>
    <x v="3"/>
  </r>
  <r>
    <x v="34"/>
    <d v="2023-04-28T00:00:00"/>
    <x v="9"/>
    <x v="5"/>
    <n v="1308"/>
    <n v="1"/>
    <n v="0"/>
    <x v="33"/>
    <n v="693.15"/>
    <n v="614.85"/>
    <n v="0.47006880733944956"/>
    <x v="7"/>
    <x v="0"/>
    <n v="17"/>
    <x v="33"/>
    <s v="Wholesale"/>
    <x v="0"/>
  </r>
  <r>
    <x v="35"/>
    <d v="2023-11-17T00:00:00"/>
    <x v="8"/>
    <x v="2"/>
    <n v="1422"/>
    <n v="1"/>
    <n v="5"/>
    <x v="34"/>
    <n v="982.04"/>
    <n v="368.86"/>
    <n v="0.27304759789769784"/>
    <x v="4"/>
    <x v="0"/>
    <n v="46"/>
    <x v="34"/>
    <s v="Wholesale"/>
    <x v="1"/>
  </r>
  <r>
    <x v="36"/>
    <d v="2023-05-10T00:00:00"/>
    <x v="4"/>
    <x v="3"/>
    <n v="1630"/>
    <n v="1"/>
    <n v="15"/>
    <x v="35"/>
    <n v="953.82"/>
    <n v="431.68"/>
    <n v="0.31156983038614217"/>
    <x v="2"/>
    <x v="0"/>
    <n v="19"/>
    <x v="35"/>
    <s v="Retail"/>
    <x v="2"/>
  </r>
  <r>
    <x v="37"/>
    <d v="2023-12-13T00:00:00"/>
    <x v="9"/>
    <x v="5"/>
    <n v="1387"/>
    <n v="1"/>
    <n v="0"/>
    <x v="36"/>
    <n v="805.81"/>
    <n v="581.19000000000005"/>
    <n v="0.4190266762797405"/>
    <x v="9"/>
    <x v="0"/>
    <n v="50"/>
    <x v="36"/>
    <s v="Wholesale"/>
    <x v="1"/>
  </r>
  <r>
    <x v="38"/>
    <d v="2023-07-30T00:00:00"/>
    <x v="3"/>
    <x v="3"/>
    <n v="1462"/>
    <n v="1"/>
    <n v="5"/>
    <x v="37"/>
    <n v="886.71"/>
    <n v="502.19"/>
    <n v="0.36157390740874068"/>
    <x v="1"/>
    <x v="0"/>
    <n v="31"/>
    <x v="37"/>
    <s v="Wholesale"/>
    <x v="2"/>
  </r>
  <r>
    <x v="39"/>
    <d v="2023-06-23T00:00:00"/>
    <x v="4"/>
    <x v="3"/>
    <n v="1590"/>
    <n v="1"/>
    <n v="10"/>
    <x v="38"/>
    <n v="1154.3599999999999"/>
    <n v="276.64"/>
    <n v="0.19331935709294198"/>
    <x v="10"/>
    <x v="0"/>
    <n v="25"/>
    <x v="19"/>
    <s v="Wholesale"/>
    <x v="3"/>
  </r>
  <r>
    <x v="40"/>
    <d v="2023-01-02T00:00:00"/>
    <x v="0"/>
    <x v="0"/>
    <n v="1721"/>
    <n v="1"/>
    <n v="15"/>
    <x v="39"/>
    <n v="1163.31"/>
    <n v="299.54000000000002"/>
    <n v="0.20476467170249857"/>
    <x v="0"/>
    <x v="0"/>
    <n v="1"/>
    <x v="38"/>
    <s v="Wholesale"/>
    <x v="3"/>
  </r>
  <r>
    <x v="41"/>
    <d v="2023-11-10T00:00:00"/>
    <x v="6"/>
    <x v="0"/>
    <n v="1629"/>
    <n v="1"/>
    <n v="10"/>
    <x v="40"/>
    <n v="862.96"/>
    <n v="603.14"/>
    <n v="0.41139076461360075"/>
    <x v="4"/>
    <x v="0"/>
    <n v="45"/>
    <x v="39"/>
    <s v="Retail"/>
    <x v="2"/>
  </r>
  <r>
    <x v="42"/>
    <d v="2023-09-24T00:00:00"/>
    <x v="9"/>
    <x v="5"/>
    <n v="829"/>
    <n v="2"/>
    <n v="10"/>
    <x v="41"/>
    <n v="416.7"/>
    <n v="658.81"/>
    <n v="0.44150247956038058"/>
    <x v="8"/>
    <x v="0"/>
    <n v="39"/>
    <x v="40"/>
    <s v="Retail"/>
    <x v="1"/>
  </r>
  <r>
    <x v="43"/>
    <d v="2023-12-23T00:00:00"/>
    <x v="5"/>
    <x v="4"/>
    <n v="1493"/>
    <n v="1"/>
    <n v="0"/>
    <x v="42"/>
    <n v="934.06"/>
    <n v="558.94000000000005"/>
    <n v="0.37437374413931684"/>
    <x v="9"/>
    <x v="0"/>
    <n v="51"/>
    <x v="41"/>
    <s v="Wholesale"/>
    <x v="2"/>
  </r>
  <r>
    <x v="44"/>
    <d v="2023-01-16T00:00:00"/>
    <x v="3"/>
    <x v="3"/>
    <n v="1592"/>
    <n v="1"/>
    <n v="5"/>
    <x v="43"/>
    <n v="1263.79"/>
    <n v="248.61"/>
    <n v="0.16438111610685005"/>
    <x v="0"/>
    <x v="0"/>
    <n v="3"/>
    <x v="42"/>
    <s v="Retail"/>
    <x v="2"/>
  </r>
  <r>
    <x v="45"/>
    <d v="2023-02-24T00:00:00"/>
    <x v="9"/>
    <x v="5"/>
    <n v="1681"/>
    <n v="1"/>
    <n v="10"/>
    <x v="44"/>
    <n v="1250.48"/>
    <n v="262.42"/>
    <n v="0.17345495406173575"/>
    <x v="3"/>
    <x v="0"/>
    <n v="8"/>
    <x v="43"/>
    <s v="Retail"/>
    <x v="2"/>
  </r>
  <r>
    <x v="46"/>
    <d v="2023-08-30T00:00:00"/>
    <x v="4"/>
    <x v="3"/>
    <n v="1691"/>
    <n v="1"/>
    <n v="10"/>
    <x v="45"/>
    <n v="1153.8499999999999"/>
    <n v="368.05"/>
    <n v="0.24183586306590446"/>
    <x v="6"/>
    <x v="0"/>
    <n v="35"/>
    <x v="44"/>
    <s v="Retail"/>
    <x v="2"/>
  </r>
  <r>
    <x v="47"/>
    <d v="2023-09-11T00:00:00"/>
    <x v="3"/>
    <x v="3"/>
    <n v="855"/>
    <n v="2"/>
    <n v="10"/>
    <x v="46"/>
    <n v="536.78"/>
    <n v="465.44"/>
    <n v="0.30243014944769331"/>
    <x v="8"/>
    <x v="0"/>
    <n v="37"/>
    <x v="45"/>
    <s v="Wholesale"/>
    <x v="2"/>
  </r>
  <r>
    <x v="48"/>
    <d v="2023-09-11T00:00:00"/>
    <x v="4"/>
    <x v="3"/>
    <n v="1542"/>
    <n v="1"/>
    <n v="0"/>
    <x v="47"/>
    <n v="794.44"/>
    <n v="747.56"/>
    <n v="0.48479896238651099"/>
    <x v="8"/>
    <x v="0"/>
    <n v="37"/>
    <x v="46"/>
    <s v="Retail"/>
    <x v="0"/>
  </r>
  <r>
    <x v="49"/>
    <d v="2023-09-08T00:00:00"/>
    <x v="4"/>
    <x v="3"/>
    <n v="1560"/>
    <n v="1"/>
    <n v="0"/>
    <x v="48"/>
    <n v="1125.45"/>
    <n v="434.55"/>
    <n v="0.27855769230769234"/>
    <x v="8"/>
    <x v="0"/>
    <n v="36"/>
    <x v="47"/>
    <s v="Wholesale"/>
    <x v="3"/>
  </r>
  <r>
    <x v="50"/>
    <d v="2023-05-20T00:00:00"/>
    <x v="7"/>
    <x v="1"/>
    <n v="1561"/>
    <n v="1"/>
    <n v="0"/>
    <x v="49"/>
    <n v="892.57"/>
    <n v="668.43"/>
    <n v="0.42820627802690581"/>
    <x v="2"/>
    <x v="0"/>
    <n v="20"/>
    <x v="48"/>
    <s v="Retail"/>
    <x v="2"/>
  </r>
  <r>
    <x v="51"/>
    <d v="2023-05-04T00:00:00"/>
    <x v="2"/>
    <x v="2"/>
    <n v="1746"/>
    <n v="1"/>
    <n v="10"/>
    <x v="50"/>
    <n v="1255.4000000000001"/>
    <n v="316"/>
    <n v="0.20109456535573372"/>
    <x v="2"/>
    <x v="0"/>
    <n v="18"/>
    <x v="49"/>
    <s v="Retail"/>
    <x v="3"/>
  </r>
  <r>
    <x v="52"/>
    <d v="2023-06-24T00:00:00"/>
    <x v="0"/>
    <x v="0"/>
    <n v="1747"/>
    <n v="1"/>
    <n v="10"/>
    <x v="51"/>
    <n v="1208.5"/>
    <n v="363.8"/>
    <n v="0.23138077974941171"/>
    <x v="10"/>
    <x v="0"/>
    <n v="25"/>
    <x v="50"/>
    <s v="Wholesale"/>
    <x v="3"/>
  </r>
  <r>
    <x v="53"/>
    <d v="2023-03-14T00:00:00"/>
    <x v="7"/>
    <x v="1"/>
    <n v="1574"/>
    <n v="1"/>
    <n v="0"/>
    <x v="52"/>
    <n v="1215.69"/>
    <n v="358.31"/>
    <n v="0.22764294790343076"/>
    <x v="5"/>
    <x v="0"/>
    <n v="11"/>
    <x v="51"/>
    <s v="Retail"/>
    <x v="2"/>
  </r>
  <r>
    <x v="54"/>
    <d v="2023-06-30T00:00:00"/>
    <x v="2"/>
    <x v="2"/>
    <n v="1670"/>
    <n v="1"/>
    <n v="5"/>
    <x v="53"/>
    <n v="1211.8499999999999"/>
    <n v="374.65"/>
    <n v="0.23614875512133626"/>
    <x v="10"/>
    <x v="0"/>
    <n v="26"/>
    <x v="52"/>
    <s v="Wholesale"/>
    <x v="3"/>
  </r>
  <r>
    <x v="55"/>
    <d v="2023-01-22T00:00:00"/>
    <x v="8"/>
    <x v="2"/>
    <n v="1879"/>
    <n v="1"/>
    <n v="15"/>
    <x v="54"/>
    <n v="1487.05"/>
    <n v="110.1"/>
    <n v="6.8935290987070713E-2"/>
    <x v="0"/>
    <x v="0"/>
    <n v="4"/>
    <x v="53"/>
    <s v="Retail"/>
    <x v="0"/>
  </r>
  <r>
    <x v="56"/>
    <d v="2023-04-24T00:00:00"/>
    <x v="6"/>
    <x v="0"/>
    <n v="1614"/>
    <n v="1"/>
    <n v="0"/>
    <x v="55"/>
    <n v="829.42"/>
    <n v="784.58"/>
    <n v="0.48610904584882281"/>
    <x v="7"/>
    <x v="0"/>
    <n v="17"/>
    <x v="54"/>
    <s v="Retail"/>
    <x v="2"/>
  </r>
  <r>
    <x v="57"/>
    <d v="2023-10-31T00:00:00"/>
    <x v="4"/>
    <x v="3"/>
    <n v="1619"/>
    <n v="1"/>
    <n v="0"/>
    <x v="56"/>
    <n v="1130.73"/>
    <n v="488.27"/>
    <n v="0.30158739962940084"/>
    <x v="11"/>
    <x v="0"/>
    <n v="44"/>
    <x v="5"/>
    <s v="Wholesale"/>
    <x v="1"/>
  </r>
  <r>
    <x v="58"/>
    <d v="2023-05-23T00:00:00"/>
    <x v="1"/>
    <x v="1"/>
    <n v="813"/>
    <n v="2"/>
    <n v="0"/>
    <x v="57"/>
    <n v="438.36"/>
    <n v="749.28"/>
    <n v="0.46081180811808115"/>
    <x v="2"/>
    <x v="0"/>
    <n v="21"/>
    <x v="55"/>
    <s v="Wholesale"/>
    <x v="1"/>
  </r>
  <r>
    <x v="59"/>
    <d v="2023-10-31T00:00:00"/>
    <x v="7"/>
    <x v="1"/>
    <n v="1812"/>
    <n v="1"/>
    <n v="10"/>
    <x v="58"/>
    <n v="1069.17"/>
    <n v="561.63"/>
    <n v="0.34438925680647536"/>
    <x v="11"/>
    <x v="0"/>
    <n v="44"/>
    <x v="56"/>
    <s v="Retail"/>
    <x v="0"/>
  </r>
  <r>
    <x v="60"/>
    <d v="2023-04-16T00:00:00"/>
    <x v="5"/>
    <x v="4"/>
    <n v="1946"/>
    <n v="1"/>
    <n v="15"/>
    <x v="59"/>
    <n v="1419.39"/>
    <n v="234.71"/>
    <n v="0.14189589504866695"/>
    <x v="7"/>
    <x v="0"/>
    <n v="16"/>
    <x v="57"/>
    <s v="Retail"/>
    <x v="1"/>
  </r>
  <r>
    <x v="61"/>
    <d v="2023-08-12T00:00:00"/>
    <x v="7"/>
    <x v="1"/>
    <n v="1753"/>
    <n v="1"/>
    <n v="5"/>
    <x v="60"/>
    <n v="1240.43"/>
    <n v="424.92"/>
    <n v="0.25515357132134386"/>
    <x v="6"/>
    <x v="0"/>
    <n v="32"/>
    <x v="58"/>
    <s v="Wholesale"/>
    <x v="3"/>
  </r>
  <r>
    <x v="62"/>
    <d v="2023-07-27T00:00:00"/>
    <x v="9"/>
    <x v="5"/>
    <n v="987"/>
    <n v="2"/>
    <n v="15"/>
    <x v="61"/>
    <n v="766.6"/>
    <n v="144.69"/>
    <n v="8.6232790988735916E-2"/>
    <x v="1"/>
    <x v="0"/>
    <n v="30"/>
    <x v="59"/>
    <s v="Retail"/>
    <x v="1"/>
  </r>
  <r>
    <x v="63"/>
    <d v="2023-09-05T00:00:00"/>
    <x v="2"/>
    <x v="2"/>
    <n v="1684"/>
    <n v="1"/>
    <n v="0"/>
    <x v="62"/>
    <n v="1053.8699999999999"/>
    <n v="630.13"/>
    <n v="0.37418646080760093"/>
    <x v="8"/>
    <x v="0"/>
    <n v="36"/>
    <x v="60"/>
    <s v="Retail"/>
    <x v="2"/>
  </r>
  <r>
    <x v="64"/>
    <d v="2023-01-13T00:00:00"/>
    <x v="2"/>
    <x v="2"/>
    <n v="1695"/>
    <n v="1"/>
    <n v="0"/>
    <x v="63"/>
    <n v="1137.01"/>
    <n v="557.99"/>
    <n v="0.32919764011799413"/>
    <x v="0"/>
    <x v="0"/>
    <n v="2"/>
    <x v="61"/>
    <s v="Retail"/>
    <x v="1"/>
  </r>
  <r>
    <x v="65"/>
    <d v="2023-11-02T00:00:00"/>
    <x v="0"/>
    <x v="0"/>
    <n v="1884"/>
    <n v="1"/>
    <n v="10"/>
    <x v="64"/>
    <n v="1393.92"/>
    <n v="301.68"/>
    <n v="0.17791932059447985"/>
    <x v="4"/>
    <x v="0"/>
    <n v="44"/>
    <x v="62"/>
    <s v="Retail"/>
    <x v="0"/>
  </r>
  <r>
    <x v="66"/>
    <d v="2023-09-26T00:00:00"/>
    <x v="8"/>
    <x v="2"/>
    <n v="852"/>
    <n v="2"/>
    <n v="0"/>
    <x v="65"/>
    <n v="598.44000000000005"/>
    <n v="507.12"/>
    <n v="0.2976056338028169"/>
    <x v="8"/>
    <x v="0"/>
    <n v="39"/>
    <x v="63"/>
    <s v="Retail"/>
    <x v="0"/>
  </r>
  <r>
    <x v="67"/>
    <d v="2023-05-23T00:00:00"/>
    <x v="8"/>
    <x v="2"/>
    <n v="1899"/>
    <n v="1"/>
    <n v="10"/>
    <x v="66"/>
    <n v="1499.51"/>
    <n v="209.59"/>
    <n v="0.12263179451173133"/>
    <x v="2"/>
    <x v="0"/>
    <n v="21"/>
    <x v="64"/>
    <s v="Wholesale"/>
    <x v="2"/>
  </r>
  <r>
    <x v="68"/>
    <d v="2023-01-19T00:00:00"/>
    <x v="3"/>
    <x v="3"/>
    <n v="1907"/>
    <n v="1"/>
    <n v="10"/>
    <x v="67"/>
    <n v="1054.51"/>
    <n v="661.79"/>
    <n v="0.3855910971275418"/>
    <x v="0"/>
    <x v="0"/>
    <n v="3"/>
    <x v="65"/>
    <s v="Retail"/>
    <x v="1"/>
  </r>
  <r>
    <x v="69"/>
    <d v="2023-01-06T00:00:00"/>
    <x v="8"/>
    <x v="2"/>
    <n v="1910"/>
    <n v="1"/>
    <n v="10"/>
    <x v="68"/>
    <n v="1241.81"/>
    <n v="477.19"/>
    <n v="0.27759744037230949"/>
    <x v="0"/>
    <x v="0"/>
    <n v="1"/>
    <x v="66"/>
    <s v="Wholesale"/>
    <x v="2"/>
  </r>
  <r>
    <x v="70"/>
    <d v="2023-01-31T00:00:00"/>
    <x v="2"/>
    <x v="2"/>
    <n v="2037"/>
    <n v="1"/>
    <n v="15"/>
    <x v="69"/>
    <n v="1077.0899999999999"/>
    <n v="654.36"/>
    <n v="0.37792601576713158"/>
    <x v="0"/>
    <x v="0"/>
    <n v="5"/>
    <x v="67"/>
    <s v="Wholesale"/>
    <x v="1"/>
  </r>
  <r>
    <x v="71"/>
    <d v="2023-01-30T00:00:00"/>
    <x v="4"/>
    <x v="3"/>
    <n v="2041"/>
    <n v="1"/>
    <n v="15"/>
    <x v="70"/>
    <n v="1511.79"/>
    <n v="223.06"/>
    <n v="0.12857595757558291"/>
    <x v="0"/>
    <x v="0"/>
    <n v="5"/>
    <x v="21"/>
    <s v="Wholesale"/>
    <x v="0"/>
  </r>
  <r>
    <x v="72"/>
    <d v="2023-11-02T00:00:00"/>
    <x v="3"/>
    <x v="3"/>
    <n v="1928"/>
    <n v="1"/>
    <n v="10"/>
    <x v="71"/>
    <n v="1385.93"/>
    <n v="349.27"/>
    <n v="0.20128515444905484"/>
    <x v="4"/>
    <x v="0"/>
    <n v="44"/>
    <x v="68"/>
    <s v="Wholesale"/>
    <x v="3"/>
  </r>
  <r>
    <x v="73"/>
    <d v="2023-04-24T00:00:00"/>
    <x v="2"/>
    <x v="2"/>
    <n v="1856"/>
    <n v="1"/>
    <n v="5"/>
    <x v="72"/>
    <n v="1434.9"/>
    <n v="328.3"/>
    <n v="0.18619555353901995"/>
    <x v="7"/>
    <x v="0"/>
    <n v="17"/>
    <x v="69"/>
    <s v="Wholesale"/>
    <x v="3"/>
  </r>
  <r>
    <x v="74"/>
    <d v="2023-06-16T00:00:00"/>
    <x v="2"/>
    <x v="2"/>
    <n v="2090"/>
    <n v="1"/>
    <n v="15"/>
    <x v="73"/>
    <n v="1100.29"/>
    <n v="676.21"/>
    <n v="0.38064171122994656"/>
    <x v="10"/>
    <x v="0"/>
    <n v="24"/>
    <x v="70"/>
    <s v="Retail"/>
    <x v="1"/>
  </r>
  <r>
    <x v="75"/>
    <d v="2023-11-11T00:00:00"/>
    <x v="0"/>
    <x v="0"/>
    <n v="1982"/>
    <n v="1"/>
    <n v="10"/>
    <x v="74"/>
    <n v="1030.69"/>
    <n v="753.11"/>
    <n v="0.42219419217401055"/>
    <x v="4"/>
    <x v="0"/>
    <n v="45"/>
    <x v="71"/>
    <s v="Retail"/>
    <x v="3"/>
  </r>
  <r>
    <x v="76"/>
    <d v="2023-07-25T00:00:00"/>
    <x v="0"/>
    <x v="0"/>
    <n v="1785"/>
    <n v="1"/>
    <n v="0"/>
    <x v="75"/>
    <n v="974.42"/>
    <n v="810.58"/>
    <n v="0.45410644257703081"/>
    <x v="1"/>
    <x v="0"/>
    <n v="30"/>
    <x v="72"/>
    <s v="Retail"/>
    <x v="0"/>
  </r>
  <r>
    <x v="77"/>
    <d v="2023-12-30T00:00:00"/>
    <x v="4"/>
    <x v="3"/>
    <n v="2010"/>
    <n v="1"/>
    <n v="10"/>
    <x v="76"/>
    <n v="1564.27"/>
    <n v="244.73"/>
    <n v="0.13528468767274737"/>
    <x v="9"/>
    <x v="0"/>
    <n v="52"/>
    <x v="73"/>
    <s v="Retail"/>
    <x v="3"/>
  </r>
  <r>
    <x v="78"/>
    <d v="2023-11-20T00:00:00"/>
    <x v="9"/>
    <x v="5"/>
    <n v="1810"/>
    <n v="1"/>
    <n v="0"/>
    <x v="77"/>
    <n v="988.99"/>
    <n v="821.01"/>
    <n v="0.45359668508287293"/>
    <x v="4"/>
    <x v="0"/>
    <n v="47"/>
    <x v="74"/>
    <s v="Wholesale"/>
    <x v="0"/>
  </r>
  <r>
    <x v="79"/>
    <d v="2023-12-29T00:00:00"/>
    <x v="1"/>
    <x v="1"/>
    <n v="1838"/>
    <n v="1"/>
    <n v="0"/>
    <x v="78"/>
    <n v="1234.24"/>
    <n v="603.76"/>
    <n v="0.32848748639825898"/>
    <x v="9"/>
    <x v="0"/>
    <n v="52"/>
    <x v="75"/>
    <s v="Wholesale"/>
    <x v="3"/>
  </r>
  <r>
    <x v="80"/>
    <d v="2023-02-01T00:00:00"/>
    <x v="1"/>
    <x v="1"/>
    <n v="2056"/>
    <n v="1"/>
    <n v="10"/>
    <x v="79"/>
    <n v="1145.8499999999999"/>
    <n v="704.55"/>
    <n v="0.38075551232166016"/>
    <x v="3"/>
    <x v="0"/>
    <n v="5"/>
    <x v="76"/>
    <s v="Wholesale"/>
    <x v="0"/>
  </r>
  <r>
    <x v="81"/>
    <d v="2023-01-30T00:00:00"/>
    <x v="1"/>
    <x v="1"/>
    <n v="1033"/>
    <n v="2"/>
    <n v="10"/>
    <x v="80"/>
    <n v="777.54"/>
    <n v="304.33"/>
    <n v="0.16367107669140582"/>
    <x v="0"/>
    <x v="0"/>
    <n v="5"/>
    <x v="77"/>
    <s v="Retail"/>
    <x v="0"/>
  </r>
  <r>
    <x v="82"/>
    <d v="2023-11-22T00:00:00"/>
    <x v="3"/>
    <x v="3"/>
    <n v="982"/>
    <n v="2"/>
    <n v="5"/>
    <x v="81"/>
    <n v="529.9"/>
    <n v="806.01"/>
    <n v="0.43199163897523851"/>
    <x v="4"/>
    <x v="0"/>
    <n v="47"/>
    <x v="78"/>
    <s v="Retail"/>
    <x v="1"/>
  </r>
  <r>
    <x v="83"/>
    <d v="2023-02-26T00:00:00"/>
    <x v="9"/>
    <x v="5"/>
    <n v="1895"/>
    <n v="1"/>
    <n v="0"/>
    <x v="82"/>
    <n v="1277.03"/>
    <n v="617.97"/>
    <n v="0.32610554089709765"/>
    <x v="3"/>
    <x v="0"/>
    <n v="9"/>
    <x v="79"/>
    <s v="Wholesale"/>
    <x v="1"/>
  </r>
  <r>
    <x v="84"/>
    <d v="2023-06-08T00:00:00"/>
    <x v="5"/>
    <x v="4"/>
    <n v="1896"/>
    <n v="1"/>
    <n v="0"/>
    <x v="83"/>
    <n v="1128.31"/>
    <n v="767.69"/>
    <n v="0.40489978902953588"/>
    <x v="10"/>
    <x v="0"/>
    <n v="23"/>
    <x v="80"/>
    <s v="Retail"/>
    <x v="3"/>
  </r>
  <r>
    <x v="85"/>
    <d v="2023-06-25T00:00:00"/>
    <x v="7"/>
    <x v="1"/>
    <n v="2257"/>
    <n v="1"/>
    <n v="15"/>
    <x v="84"/>
    <n v="1425.58"/>
    <n v="492.87"/>
    <n v="0.25691052672730591"/>
    <x v="10"/>
    <x v="0"/>
    <n v="26"/>
    <x v="60"/>
    <s v="Retail"/>
    <x v="1"/>
  </r>
  <r>
    <x v="86"/>
    <d v="2023-06-09T00:00:00"/>
    <x v="7"/>
    <x v="1"/>
    <n v="1074"/>
    <n v="2"/>
    <n v="10"/>
    <x v="85"/>
    <n v="595.54999999999995"/>
    <n v="742.1"/>
    <n v="0.38387130146906684"/>
    <x v="10"/>
    <x v="0"/>
    <n v="23"/>
    <x v="81"/>
    <s v="Retail"/>
    <x v="2"/>
  </r>
  <r>
    <x v="87"/>
    <d v="2023-07-28T00:00:00"/>
    <x v="5"/>
    <x v="4"/>
    <n v="2283"/>
    <n v="1"/>
    <n v="15"/>
    <x v="86"/>
    <n v="1374.16"/>
    <n v="566.39"/>
    <n v="0.29187086135373991"/>
    <x v="1"/>
    <x v="0"/>
    <n v="30"/>
    <x v="40"/>
    <s v="Wholesale"/>
    <x v="3"/>
  </r>
  <r>
    <x v="88"/>
    <d v="2023-01-20T00:00:00"/>
    <x v="0"/>
    <x v="0"/>
    <n v="1026"/>
    <n v="2"/>
    <n v="5"/>
    <x v="87"/>
    <n v="517.33000000000004"/>
    <n v="914.74"/>
    <n v="0.46924181799528059"/>
    <x v="0"/>
    <x v="0"/>
    <n v="3"/>
    <x v="82"/>
    <s v="Retail"/>
    <x v="2"/>
  </r>
  <r>
    <x v="89"/>
    <d v="2023-02-24T00:00:00"/>
    <x v="2"/>
    <x v="2"/>
    <n v="977"/>
    <n v="2"/>
    <n v="0"/>
    <x v="88"/>
    <n v="548.87"/>
    <n v="856.25"/>
    <n v="0.43820368474923233"/>
    <x v="3"/>
    <x v="0"/>
    <n v="8"/>
    <x v="21"/>
    <s v="Wholesale"/>
    <x v="1"/>
  </r>
  <r>
    <x v="90"/>
    <d v="2023-04-05T00:00:00"/>
    <x v="7"/>
    <x v="1"/>
    <n v="1161"/>
    <n v="2"/>
    <n v="15"/>
    <x v="89"/>
    <n v="822.82"/>
    <n v="328.07"/>
    <n v="0.1662208035669048"/>
    <x v="7"/>
    <x v="0"/>
    <n v="14"/>
    <x v="83"/>
    <s v="Retail"/>
    <x v="3"/>
  </r>
  <r>
    <x v="91"/>
    <d v="2023-01-01T00:00:00"/>
    <x v="1"/>
    <x v="1"/>
    <n v="2087"/>
    <n v="1"/>
    <n v="5"/>
    <x v="90"/>
    <n v="1633.81"/>
    <n v="348.84"/>
    <n v="0.17594633445136557"/>
    <x v="0"/>
    <x v="0"/>
    <n v="1"/>
    <x v="84"/>
    <s v="Retail"/>
    <x v="3"/>
  </r>
  <r>
    <x v="92"/>
    <d v="2023-06-09T00:00:00"/>
    <x v="8"/>
    <x v="2"/>
    <n v="2207"/>
    <n v="1"/>
    <n v="10"/>
    <x v="91"/>
    <n v="1621.72"/>
    <n v="364.58"/>
    <n v="0.18354729899813724"/>
    <x v="10"/>
    <x v="0"/>
    <n v="23"/>
    <x v="71"/>
    <s v="Retail"/>
    <x v="3"/>
  </r>
  <r>
    <x v="93"/>
    <d v="2023-08-04T00:00:00"/>
    <x v="1"/>
    <x v="1"/>
    <n v="2099"/>
    <n v="1"/>
    <n v="5"/>
    <x v="92"/>
    <n v="1659.63"/>
    <n v="334.42"/>
    <n v="0.16770893407888468"/>
    <x v="6"/>
    <x v="0"/>
    <n v="31"/>
    <x v="85"/>
    <s v="Wholesale"/>
    <x v="3"/>
  </r>
  <r>
    <x v="94"/>
    <d v="2023-08-16T00:00:00"/>
    <x v="0"/>
    <x v="0"/>
    <n v="1002"/>
    <n v="2"/>
    <n v="0"/>
    <x v="93"/>
    <n v="745.19"/>
    <n v="513.61"/>
    <n v="0.25629241516966067"/>
    <x v="6"/>
    <x v="0"/>
    <n v="33"/>
    <x v="61"/>
    <s v="Retail"/>
    <x v="3"/>
  </r>
  <r>
    <x v="95"/>
    <d v="2023-02-21T00:00:00"/>
    <x v="9"/>
    <x v="5"/>
    <n v="2110"/>
    <n v="1"/>
    <n v="5"/>
    <x v="94"/>
    <n v="1105.24"/>
    <n v="899.26"/>
    <n v="0.44862060364180595"/>
    <x v="3"/>
    <x v="0"/>
    <n v="8"/>
    <x v="86"/>
    <s v="Retail"/>
    <x v="2"/>
  </r>
  <r>
    <x v="96"/>
    <d v="2023-01-01T00:00:00"/>
    <x v="8"/>
    <x v="2"/>
    <n v="1005"/>
    <n v="2"/>
    <n v="0"/>
    <x v="95"/>
    <n v="585.17999999999995"/>
    <n v="839.64"/>
    <n v="0.41773134328358208"/>
    <x v="0"/>
    <x v="0"/>
    <n v="1"/>
    <x v="87"/>
    <s v="Wholesale"/>
    <x v="1"/>
  </r>
  <r>
    <x v="97"/>
    <d v="2023-09-15T00:00:00"/>
    <x v="9"/>
    <x v="5"/>
    <n v="2133"/>
    <n v="1"/>
    <n v="5"/>
    <x v="96"/>
    <n v="1242.42"/>
    <n v="783.93"/>
    <n v="0.38686801391664816"/>
    <x v="8"/>
    <x v="0"/>
    <n v="37"/>
    <x v="88"/>
    <s v="Retail"/>
    <x v="0"/>
  </r>
  <r>
    <x v="98"/>
    <d v="2023-04-04T00:00:00"/>
    <x v="5"/>
    <x v="4"/>
    <n v="1193"/>
    <n v="2"/>
    <n v="15"/>
    <x v="97"/>
    <n v="828.58"/>
    <n v="370.94"/>
    <n v="0.18290025146689021"/>
    <x v="7"/>
    <x v="0"/>
    <n v="14"/>
    <x v="89"/>
    <s v="Wholesale"/>
    <x v="2"/>
  </r>
  <r>
    <x v="99"/>
    <d v="2023-01-05T00:00:00"/>
    <x v="8"/>
    <x v="2"/>
    <n v="1128"/>
    <n v="2"/>
    <n v="10"/>
    <x v="98"/>
    <n v="711.83"/>
    <n v="606.74"/>
    <n v="0.29882781717888102"/>
    <x v="0"/>
    <x v="0"/>
    <n v="1"/>
    <x v="90"/>
    <s v="Wholesale"/>
    <x v="0"/>
  </r>
  <r>
    <x v="100"/>
    <d v="2023-08-19T00:00:00"/>
    <x v="7"/>
    <x v="1"/>
    <n v="2256"/>
    <n v="1"/>
    <n v="10"/>
    <x v="98"/>
    <n v="1547.84"/>
    <n v="482.56"/>
    <n v="0.23766745468873127"/>
    <x v="6"/>
    <x v="0"/>
    <n v="33"/>
    <x v="91"/>
    <s v="Retail"/>
    <x v="0"/>
  </r>
  <r>
    <x v="101"/>
    <d v="2023-11-27T00:00:00"/>
    <x v="5"/>
    <x v="4"/>
    <n v="1069"/>
    <n v="2"/>
    <n v="5"/>
    <x v="99"/>
    <n v="690.91"/>
    <n v="649.28"/>
    <n v="0.3196691447983851"/>
    <x v="4"/>
    <x v="0"/>
    <n v="48"/>
    <x v="92"/>
    <s v="Retail"/>
    <x v="1"/>
  </r>
  <r>
    <x v="102"/>
    <d v="2023-04-19T00:00:00"/>
    <x v="2"/>
    <x v="2"/>
    <n v="1072"/>
    <n v="2"/>
    <n v="5"/>
    <x v="100"/>
    <n v="654.36"/>
    <n v="728.08"/>
    <n v="0.35746268656716423"/>
    <x v="7"/>
    <x v="0"/>
    <n v="16"/>
    <x v="93"/>
    <s v="Retail"/>
    <x v="2"/>
  </r>
  <r>
    <x v="103"/>
    <d v="2023-06-06T00:00:00"/>
    <x v="6"/>
    <x v="0"/>
    <n v="2071"/>
    <n v="1"/>
    <n v="0"/>
    <x v="101"/>
    <n v="1143"/>
    <n v="928"/>
    <n v="0.44809270883631097"/>
    <x v="10"/>
    <x v="0"/>
    <n v="23"/>
    <x v="94"/>
    <s v="Retail"/>
    <x v="1"/>
  </r>
  <r>
    <x v="104"/>
    <d v="2023-09-25T00:00:00"/>
    <x v="2"/>
    <x v="2"/>
    <n v="2085"/>
    <n v="1"/>
    <n v="0"/>
    <x v="102"/>
    <n v="1045.25"/>
    <n v="1039.75"/>
    <n v="0.4986810551558753"/>
    <x v="8"/>
    <x v="0"/>
    <n v="39"/>
    <x v="95"/>
    <s v="Wholesale"/>
    <x v="0"/>
  </r>
  <r>
    <x v="105"/>
    <d v="2023-06-04T00:00:00"/>
    <x v="7"/>
    <x v="1"/>
    <n v="1111"/>
    <n v="2"/>
    <n v="5"/>
    <x v="103"/>
    <n v="840.19"/>
    <n v="430.52"/>
    <n v="0.20395092140793025"/>
    <x v="10"/>
    <x v="0"/>
    <n v="23"/>
    <x v="96"/>
    <s v="Wholesale"/>
    <x v="2"/>
  </r>
  <r>
    <x v="106"/>
    <d v="2023-05-20T00:00:00"/>
    <x v="0"/>
    <x v="0"/>
    <n v="1247"/>
    <n v="2"/>
    <n v="15"/>
    <x v="104"/>
    <n v="688.51"/>
    <n v="742.89"/>
    <n v="0.35043634133685547"/>
    <x v="2"/>
    <x v="0"/>
    <n v="20"/>
    <x v="97"/>
    <s v="Wholesale"/>
    <x v="3"/>
  </r>
  <r>
    <x v="107"/>
    <d v="2023-11-02T00:00:00"/>
    <x v="0"/>
    <x v="0"/>
    <n v="2360"/>
    <n v="1"/>
    <n v="10"/>
    <x v="105"/>
    <n v="1500.96"/>
    <n v="623.04"/>
    <n v="0.29333333333333333"/>
    <x v="4"/>
    <x v="0"/>
    <n v="44"/>
    <x v="65"/>
    <s v="Wholesale"/>
    <x v="0"/>
  </r>
  <r>
    <x v="108"/>
    <d v="2023-12-03T00:00:00"/>
    <x v="5"/>
    <x v="4"/>
    <n v="2499"/>
    <n v="1"/>
    <n v="15"/>
    <x v="106"/>
    <n v="1272.47"/>
    <n v="851.68"/>
    <n v="0.40095096862274315"/>
    <x v="9"/>
    <x v="0"/>
    <n v="49"/>
    <x v="98"/>
    <s v="Wholesale"/>
    <x v="1"/>
  </r>
  <r>
    <x v="109"/>
    <d v="2023-03-25T00:00:00"/>
    <x v="6"/>
    <x v="0"/>
    <n v="1185"/>
    <n v="2"/>
    <n v="10"/>
    <x v="107"/>
    <n v="664.58"/>
    <n v="803.85"/>
    <n v="0.37686357243319268"/>
    <x v="5"/>
    <x v="0"/>
    <n v="12"/>
    <x v="7"/>
    <s v="Wholesale"/>
    <x v="2"/>
  </r>
  <r>
    <x v="110"/>
    <d v="2023-04-08T00:00:00"/>
    <x v="4"/>
    <x v="3"/>
    <n v="2255"/>
    <n v="1"/>
    <n v="5"/>
    <x v="108"/>
    <n v="1483.55"/>
    <n v="658.7"/>
    <n v="0.30748045279495861"/>
    <x v="7"/>
    <x v="0"/>
    <n v="14"/>
    <x v="1"/>
    <s v="Wholesale"/>
    <x v="2"/>
  </r>
  <r>
    <x v="111"/>
    <d v="2023-02-26T00:00:00"/>
    <x v="7"/>
    <x v="1"/>
    <n v="2548"/>
    <n v="1"/>
    <n v="15"/>
    <x v="109"/>
    <n v="1707.12"/>
    <n v="458.68"/>
    <n v="0.21178317480838488"/>
    <x v="3"/>
    <x v="0"/>
    <n v="9"/>
    <x v="76"/>
    <s v="Wholesale"/>
    <x v="0"/>
  </r>
  <r>
    <x v="112"/>
    <d v="2023-01-05T00:00:00"/>
    <x v="5"/>
    <x v="4"/>
    <n v="1216"/>
    <n v="2"/>
    <n v="10"/>
    <x v="110"/>
    <n v="677.14"/>
    <n v="834.52"/>
    <n v="0.3812682748538011"/>
    <x v="0"/>
    <x v="0"/>
    <n v="1"/>
    <x v="99"/>
    <s v="Wholesale"/>
    <x v="3"/>
  </r>
  <r>
    <x v="113"/>
    <d v="2023-09-18T00:00:00"/>
    <x v="0"/>
    <x v="0"/>
    <n v="2206"/>
    <n v="1"/>
    <n v="0"/>
    <x v="111"/>
    <n v="1323.88"/>
    <n v="882.12"/>
    <n v="0.39987307343608341"/>
    <x v="8"/>
    <x v="0"/>
    <n v="38"/>
    <x v="100"/>
    <s v="Retail"/>
    <x v="1"/>
  </r>
  <r>
    <x v="114"/>
    <d v="2023-05-16T00:00:00"/>
    <x v="8"/>
    <x v="2"/>
    <n v="2209"/>
    <n v="1"/>
    <n v="0"/>
    <x v="112"/>
    <n v="1118.1300000000001"/>
    <n v="1090.8699999999999"/>
    <n v="0.49382978723404253"/>
    <x v="2"/>
    <x v="0"/>
    <n v="20"/>
    <x v="86"/>
    <s v="Wholesale"/>
    <x v="3"/>
  </r>
  <r>
    <x v="115"/>
    <d v="2023-09-28T00:00:00"/>
    <x v="6"/>
    <x v="0"/>
    <n v="2621"/>
    <n v="1"/>
    <n v="15"/>
    <x v="113"/>
    <n v="1764.46"/>
    <n v="463.39"/>
    <n v="0.20799874318288933"/>
    <x v="8"/>
    <x v="0"/>
    <n v="39"/>
    <x v="23"/>
    <s v="Wholesale"/>
    <x v="3"/>
  </r>
  <r>
    <x v="116"/>
    <d v="2023-08-25T00:00:00"/>
    <x v="2"/>
    <x v="2"/>
    <n v="2631"/>
    <n v="1"/>
    <n v="15"/>
    <x v="114"/>
    <n v="1783.98"/>
    <n v="452.37"/>
    <n v="0.20228050171037629"/>
    <x v="6"/>
    <x v="0"/>
    <n v="34"/>
    <x v="101"/>
    <s v="Retail"/>
    <x v="1"/>
  </r>
  <r>
    <x v="117"/>
    <d v="2023-05-26T00:00:00"/>
    <x v="2"/>
    <x v="2"/>
    <n v="2489"/>
    <n v="1"/>
    <n v="10"/>
    <x v="115"/>
    <n v="1555.55"/>
    <n v="684.55"/>
    <n v="0.30558903620374089"/>
    <x v="2"/>
    <x v="0"/>
    <n v="21"/>
    <x v="102"/>
    <s v="Wholesale"/>
    <x v="3"/>
  </r>
  <r>
    <x v="118"/>
    <d v="2023-01-07T00:00:00"/>
    <x v="1"/>
    <x v="1"/>
    <n v="2489"/>
    <n v="1"/>
    <n v="10"/>
    <x v="115"/>
    <n v="1757.18"/>
    <n v="482.92"/>
    <n v="0.21557966162224904"/>
    <x v="0"/>
    <x v="0"/>
    <n v="1"/>
    <x v="103"/>
    <s v="Wholesale"/>
    <x v="1"/>
  </r>
  <r>
    <x v="119"/>
    <d v="2023-03-21T00:00:00"/>
    <x v="8"/>
    <x v="2"/>
    <n v="1127"/>
    <n v="2"/>
    <n v="0"/>
    <x v="116"/>
    <n v="894.66"/>
    <n v="464.69"/>
    <n v="0.20616237799467613"/>
    <x v="5"/>
    <x v="0"/>
    <n v="12"/>
    <x v="104"/>
    <s v="Retail"/>
    <x v="2"/>
  </r>
  <r>
    <x v="120"/>
    <d v="2023-08-02T00:00:00"/>
    <x v="5"/>
    <x v="4"/>
    <n v="1189"/>
    <n v="2"/>
    <n v="5"/>
    <x v="117"/>
    <n v="793.06"/>
    <n v="672.98"/>
    <n v="0.29789739276703114"/>
    <x v="6"/>
    <x v="0"/>
    <n v="31"/>
    <x v="105"/>
    <s v="Retail"/>
    <x v="3"/>
  </r>
  <r>
    <x v="121"/>
    <d v="2023-12-26T00:00:00"/>
    <x v="2"/>
    <x v="2"/>
    <n v="1337"/>
    <n v="2"/>
    <n v="15"/>
    <x v="118"/>
    <n v="867.64"/>
    <n v="537.62"/>
    <n v="0.23653482335342513"/>
    <x v="9"/>
    <x v="0"/>
    <n v="52"/>
    <x v="106"/>
    <s v="Wholesale"/>
    <x v="0"/>
  </r>
  <r>
    <x v="122"/>
    <d v="2023-03-04T00:00:00"/>
    <x v="7"/>
    <x v="1"/>
    <n v="2529"/>
    <n v="1"/>
    <n v="10"/>
    <x v="119"/>
    <n v="1512.78"/>
    <n v="763.32"/>
    <n v="0.33536312112824573"/>
    <x v="5"/>
    <x v="0"/>
    <n v="9"/>
    <x v="107"/>
    <s v="Wholesale"/>
    <x v="1"/>
  </r>
  <r>
    <x v="123"/>
    <d v="2023-03-01T00:00:00"/>
    <x v="1"/>
    <x v="1"/>
    <n v="2423"/>
    <n v="1"/>
    <n v="5"/>
    <x v="120"/>
    <n v="1551.37"/>
    <n v="750.48"/>
    <n v="0.32603340791102808"/>
    <x v="5"/>
    <x v="0"/>
    <n v="9"/>
    <x v="108"/>
    <s v="Wholesale"/>
    <x v="2"/>
  </r>
  <r>
    <x v="124"/>
    <d v="2023-07-07T00:00:00"/>
    <x v="1"/>
    <x v="1"/>
    <n v="1358"/>
    <n v="2"/>
    <n v="15"/>
    <x v="121"/>
    <n v="740.81"/>
    <n v="826.97"/>
    <n v="0.35821276964394005"/>
    <x v="1"/>
    <x v="0"/>
    <n v="27"/>
    <x v="67"/>
    <s v="Wholesale"/>
    <x v="0"/>
  </r>
  <r>
    <x v="125"/>
    <d v="2023-02-09T00:00:00"/>
    <x v="7"/>
    <x v="1"/>
    <n v="2716"/>
    <n v="1"/>
    <n v="15"/>
    <x v="121"/>
    <n v="2115.9299999999998"/>
    <n v="192.67"/>
    <n v="8.3457506714025811E-2"/>
    <x v="3"/>
    <x v="0"/>
    <n v="6"/>
    <x v="109"/>
    <s v="Wholesale"/>
    <x v="2"/>
  </r>
  <r>
    <x v="126"/>
    <d v="2023-08-23T00:00:00"/>
    <x v="0"/>
    <x v="0"/>
    <n v="858"/>
    <n v="3"/>
    <n v="10"/>
    <x v="122"/>
    <n v="647.83000000000004"/>
    <n v="373.1"/>
    <n v="0.16105499438832774"/>
    <x v="6"/>
    <x v="0"/>
    <n v="34"/>
    <x v="110"/>
    <s v="Retail"/>
    <x v="3"/>
  </r>
  <r>
    <x v="127"/>
    <d v="2023-05-17T00:00:00"/>
    <x v="5"/>
    <x v="4"/>
    <n v="2595"/>
    <n v="1"/>
    <n v="10"/>
    <x v="123"/>
    <n v="1965.82"/>
    <n v="369.68"/>
    <n v="0.15828730464568616"/>
    <x v="2"/>
    <x v="0"/>
    <n v="20"/>
    <x v="111"/>
    <s v="Retail"/>
    <x v="1"/>
  </r>
  <r>
    <x v="128"/>
    <d v="2023-10-29T00:00:00"/>
    <x v="5"/>
    <x v="4"/>
    <n v="2748"/>
    <n v="1"/>
    <n v="15"/>
    <x v="124"/>
    <n v="1564.9"/>
    <n v="770.9"/>
    <n v="0.33003681822073805"/>
    <x v="11"/>
    <x v="0"/>
    <n v="44"/>
    <x v="112"/>
    <s v="Wholesale"/>
    <x v="3"/>
  </r>
  <r>
    <x v="129"/>
    <d v="2023-04-03T00:00:00"/>
    <x v="5"/>
    <x v="4"/>
    <n v="918"/>
    <n v="3"/>
    <n v="15"/>
    <x v="125"/>
    <n v="583.77"/>
    <n v="589.58000000000004"/>
    <n v="0.25186039557435175"/>
    <x v="7"/>
    <x v="0"/>
    <n v="14"/>
    <x v="31"/>
    <s v="Retail"/>
    <x v="2"/>
  </r>
  <r>
    <x v="130"/>
    <d v="2023-04-23T00:00:00"/>
    <x v="6"/>
    <x v="0"/>
    <n v="2467"/>
    <n v="1"/>
    <n v="5"/>
    <x v="126"/>
    <n v="1501"/>
    <n v="842.65"/>
    <n v="0.35954600729631131"/>
    <x v="7"/>
    <x v="0"/>
    <n v="17"/>
    <x v="1"/>
    <s v="Wholesale"/>
    <x v="2"/>
  </r>
  <r>
    <x v="131"/>
    <d v="2023-02-01T00:00:00"/>
    <x v="5"/>
    <x v="4"/>
    <n v="2346"/>
    <n v="1"/>
    <n v="0"/>
    <x v="127"/>
    <n v="1350.45"/>
    <n v="995.55"/>
    <n v="0.42436061381074169"/>
    <x v="3"/>
    <x v="0"/>
    <n v="5"/>
    <x v="113"/>
    <s v="Wholesale"/>
    <x v="2"/>
  </r>
  <r>
    <x v="132"/>
    <d v="2023-04-03T00:00:00"/>
    <x v="1"/>
    <x v="1"/>
    <n v="2782"/>
    <n v="1"/>
    <n v="15"/>
    <x v="128"/>
    <n v="1561.23"/>
    <n v="803.47"/>
    <n v="0.33977671586247732"/>
    <x v="7"/>
    <x v="0"/>
    <n v="14"/>
    <x v="114"/>
    <s v="Wholesale"/>
    <x v="2"/>
  </r>
  <r>
    <x v="133"/>
    <d v="2023-09-17T00:00:00"/>
    <x v="5"/>
    <x v="4"/>
    <n v="2817"/>
    <n v="1"/>
    <n v="15"/>
    <x v="129"/>
    <n v="2146.6799999999998"/>
    <n v="247.77"/>
    <n v="0.1034767900770532"/>
    <x v="8"/>
    <x v="0"/>
    <n v="38"/>
    <x v="115"/>
    <s v="Retail"/>
    <x v="0"/>
  </r>
  <r>
    <x v="134"/>
    <d v="2023-02-01T00:00:00"/>
    <x v="3"/>
    <x v="3"/>
    <n v="1332"/>
    <n v="2"/>
    <n v="10"/>
    <x v="130"/>
    <n v="1029.92"/>
    <n v="337.75"/>
    <n v="0.14087003670337003"/>
    <x v="3"/>
    <x v="0"/>
    <n v="5"/>
    <x v="116"/>
    <s v="Wholesale"/>
    <x v="2"/>
  </r>
  <r>
    <x v="135"/>
    <d v="2023-12-25T00:00:00"/>
    <x v="0"/>
    <x v="0"/>
    <n v="2664"/>
    <n v="1"/>
    <n v="10"/>
    <x v="130"/>
    <n v="1737.36"/>
    <n v="660.24"/>
    <n v="0.27537537537537538"/>
    <x v="9"/>
    <x v="0"/>
    <n v="52"/>
    <x v="117"/>
    <s v="Wholesale"/>
    <x v="2"/>
  </r>
  <r>
    <x v="136"/>
    <d v="2023-08-21T00:00:00"/>
    <x v="2"/>
    <x v="2"/>
    <n v="2533"/>
    <n v="1"/>
    <n v="5"/>
    <x v="131"/>
    <n v="1387.19"/>
    <n v="1019.16"/>
    <n v="0.42352941176470588"/>
    <x v="6"/>
    <x v="0"/>
    <n v="34"/>
    <x v="118"/>
    <s v="Retail"/>
    <x v="2"/>
  </r>
  <r>
    <x v="137"/>
    <d v="2023-01-12T00:00:00"/>
    <x v="4"/>
    <x v="3"/>
    <n v="1427"/>
    <n v="2"/>
    <n v="15"/>
    <x v="132"/>
    <n v="819.93"/>
    <n v="786.05"/>
    <n v="0.32402407353971718"/>
    <x v="0"/>
    <x v="0"/>
    <n v="2"/>
    <x v="3"/>
    <s v="Wholesale"/>
    <x v="0"/>
  </r>
  <r>
    <x v="138"/>
    <d v="2023-01-09T00:00:00"/>
    <x v="5"/>
    <x v="4"/>
    <n v="2559"/>
    <n v="1"/>
    <n v="5"/>
    <x v="133"/>
    <n v="1933.44"/>
    <n v="497.61"/>
    <n v="0.20468933177022272"/>
    <x v="0"/>
    <x v="0"/>
    <n v="2"/>
    <x v="119"/>
    <s v="Retail"/>
    <x v="1"/>
  </r>
  <r>
    <x v="139"/>
    <d v="2023-07-15T00:00:00"/>
    <x v="6"/>
    <x v="0"/>
    <n v="2869"/>
    <n v="1"/>
    <n v="15"/>
    <x v="134"/>
    <n v="1685.12"/>
    <n v="753.53"/>
    <n v="0.30899473069116107"/>
    <x v="1"/>
    <x v="0"/>
    <n v="28"/>
    <x v="120"/>
    <s v="Wholesale"/>
    <x v="0"/>
  </r>
  <r>
    <x v="140"/>
    <d v="2023-02-03T00:00:00"/>
    <x v="0"/>
    <x v="0"/>
    <n v="2714"/>
    <n v="1"/>
    <n v="10"/>
    <x v="135"/>
    <n v="1595.21"/>
    <n v="847.39"/>
    <n v="0.34692131335462212"/>
    <x v="3"/>
    <x v="0"/>
    <n v="5"/>
    <x v="121"/>
    <s v="Retail"/>
    <x v="0"/>
  </r>
  <r>
    <x v="141"/>
    <d v="2023-07-26T00:00:00"/>
    <x v="0"/>
    <x v="0"/>
    <n v="1291"/>
    <n v="2"/>
    <n v="5"/>
    <x v="136"/>
    <n v="945.32"/>
    <n v="562.26"/>
    <n v="0.2292225528965714"/>
    <x v="1"/>
    <x v="0"/>
    <n v="30"/>
    <x v="122"/>
    <s v="Retail"/>
    <x v="3"/>
  </r>
  <r>
    <x v="142"/>
    <d v="2023-11-25T00:00:00"/>
    <x v="0"/>
    <x v="0"/>
    <n v="2737"/>
    <n v="1"/>
    <n v="10"/>
    <x v="137"/>
    <n v="1388.32"/>
    <n v="1074.98"/>
    <n v="0.43639832744692075"/>
    <x v="4"/>
    <x v="0"/>
    <n v="47"/>
    <x v="112"/>
    <s v="Wholesale"/>
    <x v="0"/>
  </r>
  <r>
    <x v="143"/>
    <d v="2023-02-22T00:00:00"/>
    <x v="9"/>
    <x v="5"/>
    <n v="974"/>
    <n v="3"/>
    <n v="15"/>
    <x v="138"/>
    <n v="520.97"/>
    <n v="920.8"/>
    <n v="0.37073720658694692"/>
    <x v="3"/>
    <x v="0"/>
    <n v="8"/>
    <x v="123"/>
    <s v="Wholesale"/>
    <x v="3"/>
  </r>
  <r>
    <x v="144"/>
    <d v="2023-08-07T00:00:00"/>
    <x v="1"/>
    <x v="1"/>
    <n v="2923"/>
    <n v="1"/>
    <n v="15"/>
    <x v="139"/>
    <n v="1611.88"/>
    <n v="872.67"/>
    <n v="0.35123865488720285"/>
    <x v="6"/>
    <x v="0"/>
    <n v="32"/>
    <x v="124"/>
    <s v="Wholesale"/>
    <x v="1"/>
  </r>
  <r>
    <x v="145"/>
    <d v="2023-06-05T00:00:00"/>
    <x v="2"/>
    <x v="2"/>
    <n v="1313"/>
    <n v="2"/>
    <n v="5"/>
    <x v="140"/>
    <n v="833.82"/>
    <n v="827.07"/>
    <n v="0.3315308453922316"/>
    <x v="10"/>
    <x v="0"/>
    <n v="23"/>
    <x v="41"/>
    <s v="Wholesale"/>
    <x v="0"/>
  </r>
  <r>
    <x v="146"/>
    <d v="2023-01-04T00:00:00"/>
    <x v="3"/>
    <x v="3"/>
    <n v="924"/>
    <n v="3"/>
    <n v="10"/>
    <x v="141"/>
    <n v="718.81"/>
    <n v="338.36"/>
    <n v="0.13562610229276895"/>
    <x v="0"/>
    <x v="0"/>
    <n v="1"/>
    <x v="125"/>
    <s v="Wholesale"/>
    <x v="0"/>
  </r>
  <r>
    <x v="147"/>
    <d v="2023-08-18T00:00:00"/>
    <x v="2"/>
    <x v="2"/>
    <n v="2640"/>
    <n v="1"/>
    <n v="5"/>
    <x v="142"/>
    <n v="1781.64"/>
    <n v="726.36"/>
    <n v="0.28961722488038277"/>
    <x v="6"/>
    <x v="0"/>
    <n v="33"/>
    <x v="126"/>
    <s v="Retail"/>
    <x v="0"/>
  </r>
  <r>
    <x v="148"/>
    <d v="2023-04-15T00:00:00"/>
    <x v="3"/>
    <x v="3"/>
    <n v="2799"/>
    <n v="1"/>
    <n v="10"/>
    <x v="143"/>
    <n v="1836.61"/>
    <n v="682.49"/>
    <n v="0.27092612440951136"/>
    <x v="7"/>
    <x v="0"/>
    <n v="15"/>
    <x v="37"/>
    <s v="Retail"/>
    <x v="0"/>
  </r>
  <r>
    <x v="149"/>
    <d v="2023-10-29T00:00:00"/>
    <x v="1"/>
    <x v="1"/>
    <n v="1486"/>
    <n v="2"/>
    <n v="15"/>
    <x v="144"/>
    <n v="762.97"/>
    <n v="1000.26"/>
    <n v="0.39595439790990422"/>
    <x v="11"/>
    <x v="0"/>
    <n v="44"/>
    <x v="109"/>
    <s v="Wholesale"/>
    <x v="3"/>
  </r>
  <r>
    <x v="150"/>
    <d v="2023-10-01T00:00:00"/>
    <x v="8"/>
    <x v="2"/>
    <n v="1488"/>
    <n v="2"/>
    <n v="15"/>
    <x v="145"/>
    <n v="845.89"/>
    <n v="837.82"/>
    <n v="0.33120651486401015"/>
    <x v="11"/>
    <x v="0"/>
    <n v="40"/>
    <x v="127"/>
    <s v="Wholesale"/>
    <x v="0"/>
  </r>
  <r>
    <x v="151"/>
    <d v="2023-05-22T00:00:00"/>
    <x v="9"/>
    <x v="5"/>
    <n v="1268"/>
    <n v="2"/>
    <n v="0"/>
    <x v="146"/>
    <n v="644.47"/>
    <n v="1247.06"/>
    <n v="0.49174290220820188"/>
    <x v="2"/>
    <x v="0"/>
    <n v="21"/>
    <x v="128"/>
    <s v="Retail"/>
    <x v="0"/>
  </r>
  <r>
    <x v="152"/>
    <d v="2023-03-23T00:00:00"/>
    <x v="7"/>
    <x v="1"/>
    <n v="2988"/>
    <n v="1"/>
    <n v="15"/>
    <x v="147"/>
    <n v="1837.43"/>
    <n v="702.37"/>
    <n v="0.27654539727537597"/>
    <x v="5"/>
    <x v="0"/>
    <n v="12"/>
    <x v="129"/>
    <s v="Retail"/>
    <x v="1"/>
  </r>
  <r>
    <x v="153"/>
    <d v="2023-03-26T00:00:00"/>
    <x v="1"/>
    <x v="1"/>
    <n v="941"/>
    <n v="3"/>
    <n v="10"/>
    <x v="148"/>
    <n v="513.66999999999996"/>
    <n v="999.69"/>
    <n v="0.39347030345967654"/>
    <x v="5"/>
    <x v="0"/>
    <n v="13"/>
    <x v="130"/>
    <s v="Retail"/>
    <x v="3"/>
  </r>
  <r>
    <x v="154"/>
    <d v="2023-01-26T00:00:00"/>
    <x v="7"/>
    <x v="1"/>
    <n v="1416"/>
    <n v="2"/>
    <n v="10"/>
    <x v="149"/>
    <n v="853.41"/>
    <n v="841.97"/>
    <n v="0.3303397677338355"/>
    <x v="0"/>
    <x v="0"/>
    <n v="4"/>
    <x v="131"/>
    <s v="Wholesale"/>
    <x v="0"/>
  </r>
  <r>
    <x v="155"/>
    <d v="2023-04-12T00:00:00"/>
    <x v="1"/>
    <x v="1"/>
    <n v="3030"/>
    <n v="1"/>
    <n v="15"/>
    <x v="150"/>
    <n v="2077.86"/>
    <n v="497.64"/>
    <n v="0.19322073383808969"/>
    <x v="7"/>
    <x v="0"/>
    <n v="15"/>
    <x v="132"/>
    <s v="Retail"/>
    <x v="0"/>
  </r>
  <r>
    <x v="156"/>
    <d v="2023-06-28T00:00:00"/>
    <x v="8"/>
    <x v="2"/>
    <n v="1438"/>
    <n v="2"/>
    <n v="10"/>
    <x v="151"/>
    <n v="906.31"/>
    <n v="775.77"/>
    <n v="0.29971024571163651"/>
    <x v="10"/>
    <x v="0"/>
    <n v="26"/>
    <x v="133"/>
    <s v="Retail"/>
    <x v="2"/>
  </r>
  <r>
    <x v="157"/>
    <d v="2023-02-13T00:00:00"/>
    <x v="1"/>
    <x v="1"/>
    <n v="3082"/>
    <n v="1"/>
    <n v="15"/>
    <x v="152"/>
    <n v="1625.31"/>
    <n v="994.39"/>
    <n v="0.37958163148452118"/>
    <x v="3"/>
    <x v="0"/>
    <n v="7"/>
    <x v="134"/>
    <s v="Wholesale"/>
    <x v="3"/>
  </r>
  <r>
    <x v="158"/>
    <d v="2023-08-24T00:00:00"/>
    <x v="3"/>
    <x v="3"/>
    <n v="1550"/>
    <n v="2"/>
    <n v="15"/>
    <x v="153"/>
    <n v="860.05"/>
    <n v="914.89"/>
    <n v="0.34720683111954459"/>
    <x v="6"/>
    <x v="0"/>
    <n v="34"/>
    <x v="135"/>
    <s v="Retail"/>
    <x v="1"/>
  </r>
  <r>
    <x v="159"/>
    <d v="2023-06-07T00:00:00"/>
    <x v="2"/>
    <x v="2"/>
    <n v="2928"/>
    <n v="1"/>
    <n v="10"/>
    <x v="154"/>
    <n v="2290.56"/>
    <n v="344.64"/>
    <n v="0.13078324225865209"/>
    <x v="10"/>
    <x v="0"/>
    <n v="23"/>
    <x v="136"/>
    <s v="Wholesale"/>
    <x v="1"/>
  </r>
  <r>
    <x v="160"/>
    <d v="2023-11-05T00:00:00"/>
    <x v="9"/>
    <x v="5"/>
    <n v="2640"/>
    <n v="1"/>
    <n v="0"/>
    <x v="155"/>
    <n v="1807.11"/>
    <n v="832.89"/>
    <n v="0.31548863636363633"/>
    <x v="4"/>
    <x v="0"/>
    <n v="45"/>
    <x v="137"/>
    <s v="Retail"/>
    <x v="0"/>
  </r>
  <r>
    <x v="161"/>
    <d v="2023-02-18T00:00:00"/>
    <x v="8"/>
    <x v="2"/>
    <n v="1476"/>
    <n v="2"/>
    <n v="10"/>
    <x v="156"/>
    <n v="1118.58"/>
    <n v="419.64"/>
    <n v="0.15794941282746158"/>
    <x v="3"/>
    <x v="0"/>
    <n v="7"/>
    <x v="107"/>
    <s v="Retail"/>
    <x v="3"/>
  </r>
  <r>
    <x v="162"/>
    <d v="2023-11-04T00:00:00"/>
    <x v="4"/>
    <x v="3"/>
    <n v="3130"/>
    <n v="1"/>
    <n v="15"/>
    <x v="157"/>
    <n v="2167.1"/>
    <n v="493.4"/>
    <n v="0.1854538620560045"/>
    <x v="4"/>
    <x v="0"/>
    <n v="44"/>
    <x v="138"/>
    <s v="Wholesale"/>
    <x v="1"/>
  </r>
  <r>
    <x v="163"/>
    <d v="2023-05-04T00:00:00"/>
    <x v="7"/>
    <x v="1"/>
    <n v="1479"/>
    <n v="2"/>
    <n v="10"/>
    <x v="158"/>
    <n v="1089.51"/>
    <n v="483.18"/>
    <n v="0.18149650664863648"/>
    <x v="2"/>
    <x v="0"/>
    <n v="18"/>
    <x v="139"/>
    <s v="Retail"/>
    <x v="1"/>
  </r>
  <r>
    <x v="164"/>
    <d v="2023-03-19T00:00:00"/>
    <x v="8"/>
    <x v="2"/>
    <n v="1054"/>
    <n v="3"/>
    <n v="15"/>
    <x v="159"/>
    <n v="760.32"/>
    <n v="406.75"/>
    <n v="0.15133757487814861"/>
    <x v="5"/>
    <x v="0"/>
    <n v="12"/>
    <x v="140"/>
    <s v="Retail"/>
    <x v="1"/>
  </r>
  <r>
    <x v="165"/>
    <d v="2023-11-09T00:00:00"/>
    <x v="0"/>
    <x v="0"/>
    <n v="2831"/>
    <n v="1"/>
    <n v="5"/>
    <x v="160"/>
    <n v="1508.55"/>
    <n v="1180.9000000000001"/>
    <n v="0.43908605848779497"/>
    <x v="4"/>
    <x v="0"/>
    <n v="45"/>
    <x v="141"/>
    <s v="Retail"/>
    <x v="1"/>
  </r>
  <r>
    <x v="166"/>
    <d v="2023-11-25T00:00:00"/>
    <x v="4"/>
    <x v="3"/>
    <n v="2690"/>
    <n v="1"/>
    <n v="0"/>
    <x v="161"/>
    <n v="1836.89"/>
    <n v="853.11"/>
    <n v="0.31714126394052045"/>
    <x v="4"/>
    <x v="0"/>
    <n v="47"/>
    <x v="142"/>
    <s v="Wholesale"/>
    <x v="2"/>
  </r>
  <r>
    <x v="167"/>
    <d v="2023-06-01T00:00:00"/>
    <x v="4"/>
    <x v="3"/>
    <n v="3168"/>
    <n v="1"/>
    <n v="15"/>
    <x v="162"/>
    <n v="2127.38"/>
    <n v="565.41999999999996"/>
    <n v="0.20997474747474745"/>
    <x v="10"/>
    <x v="0"/>
    <n v="22"/>
    <x v="137"/>
    <s v="Retail"/>
    <x v="2"/>
  </r>
  <r>
    <x v="168"/>
    <d v="2023-03-07T00:00:00"/>
    <x v="7"/>
    <x v="1"/>
    <n v="2702"/>
    <n v="1"/>
    <n v="0"/>
    <x v="163"/>
    <n v="1822.84"/>
    <n v="879.16"/>
    <n v="0.32537379718726867"/>
    <x v="5"/>
    <x v="0"/>
    <n v="10"/>
    <x v="46"/>
    <s v="Retail"/>
    <x v="1"/>
  </r>
  <r>
    <x v="169"/>
    <d v="2023-10-30T00:00:00"/>
    <x v="6"/>
    <x v="0"/>
    <n v="3004"/>
    <n v="1"/>
    <n v="10"/>
    <x v="164"/>
    <n v="2243.69"/>
    <n v="459.91"/>
    <n v="0.17011022340582929"/>
    <x v="11"/>
    <x v="0"/>
    <n v="44"/>
    <x v="65"/>
    <s v="Wholesale"/>
    <x v="2"/>
  </r>
  <r>
    <x v="170"/>
    <d v="2023-02-25T00:00:00"/>
    <x v="4"/>
    <x v="3"/>
    <n v="2713"/>
    <n v="1"/>
    <n v="0"/>
    <x v="165"/>
    <n v="1833.59"/>
    <n v="879.41"/>
    <n v="0.3241467010689274"/>
    <x v="3"/>
    <x v="0"/>
    <n v="8"/>
    <x v="143"/>
    <s v="Wholesale"/>
    <x v="3"/>
  </r>
  <r>
    <x v="171"/>
    <d v="2023-01-14T00:00:00"/>
    <x v="0"/>
    <x v="0"/>
    <n v="2715"/>
    <n v="1"/>
    <n v="0"/>
    <x v="166"/>
    <n v="1765.6"/>
    <n v="949.4"/>
    <n v="0.34968692449355432"/>
    <x v="0"/>
    <x v="0"/>
    <n v="2"/>
    <x v="37"/>
    <s v="Retail"/>
    <x v="2"/>
  </r>
  <r>
    <x v="172"/>
    <d v="2023-04-06T00:00:00"/>
    <x v="8"/>
    <x v="2"/>
    <n v="2738"/>
    <n v="1"/>
    <n v="0"/>
    <x v="167"/>
    <n v="2135.73"/>
    <n v="602.27"/>
    <n v="0.21996712929145362"/>
    <x v="7"/>
    <x v="0"/>
    <n v="14"/>
    <x v="144"/>
    <s v="Retail"/>
    <x v="2"/>
  </r>
  <r>
    <x v="173"/>
    <d v="2023-11-20T00:00:00"/>
    <x v="0"/>
    <x v="0"/>
    <n v="1370"/>
    <n v="2"/>
    <n v="0"/>
    <x v="168"/>
    <n v="878.34"/>
    <n v="983.32"/>
    <n v="0.35887591240875916"/>
    <x v="4"/>
    <x v="0"/>
    <n v="47"/>
    <x v="145"/>
    <s v="Wholesale"/>
    <x v="2"/>
  </r>
  <r>
    <x v="174"/>
    <d v="2023-11-28T00:00:00"/>
    <x v="5"/>
    <x v="4"/>
    <n v="1086"/>
    <n v="3"/>
    <n v="15"/>
    <x v="169"/>
    <n v="758.9"/>
    <n v="492.59"/>
    <n v="0.1778752753403387"/>
    <x v="4"/>
    <x v="0"/>
    <n v="48"/>
    <x v="146"/>
    <s v="Retail"/>
    <x v="3"/>
  </r>
  <r>
    <x v="175"/>
    <d v="2023-02-27T00:00:00"/>
    <x v="7"/>
    <x v="1"/>
    <n v="925"/>
    <n v="3"/>
    <n v="0"/>
    <x v="170"/>
    <n v="619.41999999999996"/>
    <n v="916.73"/>
    <n v="0.33035315315315317"/>
    <x v="3"/>
    <x v="0"/>
    <n v="9"/>
    <x v="147"/>
    <s v="Wholesale"/>
    <x v="1"/>
  </r>
  <r>
    <x v="176"/>
    <d v="2023-04-06T00:00:00"/>
    <x v="6"/>
    <x v="0"/>
    <n v="3090"/>
    <n v="1"/>
    <n v="10"/>
    <x v="171"/>
    <n v="1673.21"/>
    <n v="1107.79"/>
    <n v="0.3983423229054297"/>
    <x v="7"/>
    <x v="0"/>
    <n v="14"/>
    <x v="116"/>
    <s v="Wholesale"/>
    <x v="2"/>
  </r>
  <r>
    <x v="177"/>
    <d v="2023-04-15T00:00:00"/>
    <x v="1"/>
    <x v="1"/>
    <n v="3302"/>
    <n v="1"/>
    <n v="15"/>
    <x v="172"/>
    <n v="2442.0700000000002"/>
    <n v="364.63"/>
    <n v="0.12991413403641289"/>
    <x v="7"/>
    <x v="0"/>
    <n v="15"/>
    <x v="148"/>
    <s v="Wholesale"/>
    <x v="0"/>
  </r>
  <r>
    <x v="178"/>
    <d v="2023-06-07T00:00:00"/>
    <x v="7"/>
    <x v="1"/>
    <n v="2971"/>
    <n v="1"/>
    <n v="5"/>
    <x v="173"/>
    <n v="2355.35"/>
    <n v="467.1"/>
    <n v="0.16549451717479496"/>
    <x v="10"/>
    <x v="0"/>
    <n v="23"/>
    <x v="149"/>
    <s v="Retail"/>
    <x v="3"/>
  </r>
  <r>
    <x v="179"/>
    <d v="2023-11-15T00:00:00"/>
    <x v="3"/>
    <x v="3"/>
    <n v="941"/>
    <n v="3"/>
    <n v="0"/>
    <x v="174"/>
    <n v="657.61"/>
    <n v="850.18"/>
    <n v="0.30116188452001413"/>
    <x v="4"/>
    <x v="0"/>
    <n v="46"/>
    <x v="150"/>
    <s v="Retail"/>
    <x v="1"/>
  </r>
  <r>
    <x v="180"/>
    <d v="2023-12-30T00:00:00"/>
    <x v="0"/>
    <x v="0"/>
    <n v="2972"/>
    <n v="1"/>
    <n v="5"/>
    <x v="175"/>
    <n v="1882.64"/>
    <n v="940.76"/>
    <n v="0.33320110505064815"/>
    <x v="9"/>
    <x v="0"/>
    <n v="52"/>
    <x v="151"/>
    <s v="Wholesale"/>
    <x v="2"/>
  </r>
  <r>
    <x v="181"/>
    <d v="2023-06-30T00:00:00"/>
    <x v="5"/>
    <x v="4"/>
    <n v="1492"/>
    <n v="2"/>
    <n v="5"/>
    <x v="176"/>
    <n v="749.04"/>
    <n v="1336.73"/>
    <n v="0.47154296599407364"/>
    <x v="10"/>
    <x v="0"/>
    <n v="26"/>
    <x v="152"/>
    <s v="Wholesale"/>
    <x v="2"/>
  </r>
  <r>
    <x v="182"/>
    <d v="2023-03-16T00:00:00"/>
    <x v="4"/>
    <x v="3"/>
    <n v="3362"/>
    <n v="1"/>
    <n v="15"/>
    <x v="177"/>
    <n v="2422.35"/>
    <n v="435.35"/>
    <n v="0.15234279315533472"/>
    <x v="5"/>
    <x v="0"/>
    <n v="11"/>
    <x v="153"/>
    <s v="Retail"/>
    <x v="3"/>
  </r>
  <r>
    <x v="183"/>
    <d v="2023-01-18T00:00:00"/>
    <x v="3"/>
    <x v="3"/>
    <n v="3059"/>
    <n v="1"/>
    <n v="5"/>
    <x v="178"/>
    <n v="1941.15"/>
    <n v="964.9"/>
    <n v="0.33203145162677861"/>
    <x v="0"/>
    <x v="0"/>
    <n v="3"/>
    <x v="154"/>
    <s v="Retail"/>
    <x v="1"/>
  </r>
  <r>
    <x v="184"/>
    <d v="2023-04-21T00:00:00"/>
    <x v="6"/>
    <x v="0"/>
    <n v="3453"/>
    <n v="1"/>
    <n v="15"/>
    <x v="179"/>
    <n v="2030.72"/>
    <n v="904.33"/>
    <n v="0.30811400146505169"/>
    <x v="7"/>
    <x v="0"/>
    <n v="16"/>
    <x v="155"/>
    <s v="Wholesale"/>
    <x v="0"/>
  </r>
  <r>
    <x v="185"/>
    <d v="2023-04-24T00:00:00"/>
    <x v="8"/>
    <x v="2"/>
    <n v="866"/>
    <n v="4"/>
    <n v="15"/>
    <x v="180"/>
    <n v="619.16"/>
    <n v="467.75"/>
    <n v="0.158860888466241"/>
    <x v="7"/>
    <x v="0"/>
    <n v="17"/>
    <x v="2"/>
    <s v="Retail"/>
    <x v="1"/>
  </r>
  <r>
    <x v="186"/>
    <d v="2023-05-30T00:00:00"/>
    <x v="0"/>
    <x v="0"/>
    <n v="3118"/>
    <n v="1"/>
    <n v="5"/>
    <x v="181"/>
    <n v="2231.77"/>
    <n v="730.33"/>
    <n v="0.24655818507140206"/>
    <x v="2"/>
    <x v="0"/>
    <n v="22"/>
    <x v="156"/>
    <s v="Retail"/>
    <x v="1"/>
  </r>
  <r>
    <x v="187"/>
    <d v="2023-01-02T00:00:00"/>
    <x v="4"/>
    <x v="3"/>
    <n v="2964"/>
    <n v="1"/>
    <n v="0"/>
    <x v="182"/>
    <n v="1787.32"/>
    <n v="1176.68"/>
    <n v="0.39699055330634281"/>
    <x v="0"/>
    <x v="0"/>
    <n v="1"/>
    <x v="157"/>
    <s v="Retail"/>
    <x v="2"/>
  </r>
  <r>
    <x v="188"/>
    <d v="2023-12-28T00:00:00"/>
    <x v="7"/>
    <x v="1"/>
    <n v="1747"/>
    <n v="2"/>
    <n v="15"/>
    <x v="183"/>
    <n v="1386.78"/>
    <n v="196.34"/>
    <n v="6.6109970032661031E-2"/>
    <x v="9"/>
    <x v="0"/>
    <n v="52"/>
    <x v="158"/>
    <s v="Retail"/>
    <x v="3"/>
  </r>
  <r>
    <x v="189"/>
    <d v="2023-08-15T00:00:00"/>
    <x v="9"/>
    <x v="5"/>
    <n v="828"/>
    <n v="4"/>
    <n v="10"/>
    <x v="184"/>
    <n v="514.04999999999995"/>
    <n v="924.61"/>
    <n v="0.3101885399892646"/>
    <x v="6"/>
    <x v="0"/>
    <n v="33"/>
    <x v="159"/>
    <s v="Retail"/>
    <x v="3"/>
  </r>
  <r>
    <x v="190"/>
    <d v="2023-07-05T00:00:00"/>
    <x v="9"/>
    <x v="5"/>
    <n v="1570"/>
    <n v="2"/>
    <n v="5"/>
    <x v="185"/>
    <n v="926.45"/>
    <n v="1130.0899999999999"/>
    <n v="0.37884344619510557"/>
    <x v="1"/>
    <x v="0"/>
    <n v="27"/>
    <x v="68"/>
    <s v="Retail"/>
    <x v="0"/>
  </r>
  <r>
    <x v="191"/>
    <d v="2023-06-05T00:00:00"/>
    <x v="6"/>
    <x v="0"/>
    <n v="3513"/>
    <n v="1"/>
    <n v="15"/>
    <x v="186"/>
    <n v="2639.46"/>
    <n v="346.59"/>
    <n v="0.11606972421761189"/>
    <x v="10"/>
    <x v="0"/>
    <n v="23"/>
    <x v="160"/>
    <s v="Wholesale"/>
    <x v="1"/>
  </r>
  <r>
    <x v="192"/>
    <d v="2023-07-22T00:00:00"/>
    <x v="2"/>
    <x v="2"/>
    <n v="3145"/>
    <n v="1"/>
    <n v="5"/>
    <x v="187"/>
    <n v="2410.0100000000002"/>
    <n v="577.74"/>
    <n v="0.19336959250271943"/>
    <x v="1"/>
    <x v="0"/>
    <n v="29"/>
    <x v="136"/>
    <s v="Retail"/>
    <x v="0"/>
  </r>
  <r>
    <x v="193"/>
    <d v="2023-08-31T00:00:00"/>
    <x v="5"/>
    <x v="4"/>
    <n v="3184"/>
    <n v="1"/>
    <n v="5"/>
    <x v="188"/>
    <n v="2391.6799999999998"/>
    <n v="633.12"/>
    <n v="0.20930970642687119"/>
    <x v="6"/>
    <x v="0"/>
    <n v="35"/>
    <x v="161"/>
    <s v="Wholesale"/>
    <x v="3"/>
  </r>
  <r>
    <x v="194"/>
    <d v="2023-06-12T00:00:00"/>
    <x v="3"/>
    <x v="3"/>
    <n v="3561"/>
    <n v="1"/>
    <n v="15"/>
    <x v="189"/>
    <n v="2806.15"/>
    <n v="220.7"/>
    <n v="7.2914085600541814E-2"/>
    <x v="10"/>
    <x v="0"/>
    <n v="24"/>
    <x v="162"/>
    <s v="Wholesale"/>
    <x v="3"/>
  </r>
  <r>
    <x v="195"/>
    <d v="2023-05-22T00:00:00"/>
    <x v="0"/>
    <x v="0"/>
    <n v="1804"/>
    <n v="2"/>
    <n v="15"/>
    <x v="190"/>
    <n v="1422.84"/>
    <n v="221.13"/>
    <n v="7.2104473718533971E-2"/>
    <x v="2"/>
    <x v="0"/>
    <n v="21"/>
    <x v="163"/>
    <s v="Retail"/>
    <x v="0"/>
  </r>
  <r>
    <x v="196"/>
    <d v="2023-07-04T00:00:00"/>
    <x v="8"/>
    <x v="2"/>
    <n v="3236"/>
    <n v="1"/>
    <n v="5"/>
    <x v="191"/>
    <n v="1819.8"/>
    <n v="1254.4000000000001"/>
    <n v="0.40804111638800344"/>
    <x v="1"/>
    <x v="0"/>
    <n v="27"/>
    <x v="164"/>
    <s v="Wholesale"/>
    <x v="3"/>
  </r>
  <r>
    <x v="197"/>
    <d v="2023-02-08T00:00:00"/>
    <x v="5"/>
    <x v="4"/>
    <n v="3244"/>
    <n v="1"/>
    <n v="5"/>
    <x v="192"/>
    <n v="2338.17"/>
    <n v="743.63"/>
    <n v="0.24129729378934386"/>
    <x v="3"/>
    <x v="0"/>
    <n v="6"/>
    <x v="165"/>
    <s v="Wholesale"/>
    <x v="3"/>
  </r>
  <r>
    <x v="198"/>
    <d v="2023-05-05T00:00:00"/>
    <x v="9"/>
    <x v="5"/>
    <n v="3249"/>
    <n v="1"/>
    <n v="5"/>
    <x v="193"/>
    <n v="2165.87"/>
    <n v="920.68"/>
    <n v="0.29828773225769867"/>
    <x v="2"/>
    <x v="0"/>
    <n v="18"/>
    <x v="48"/>
    <s v="Retail"/>
    <x v="2"/>
  </r>
  <r>
    <x v="199"/>
    <d v="2023-09-28T00:00:00"/>
    <x v="6"/>
    <x v="0"/>
    <n v="3101"/>
    <n v="1"/>
    <n v="0"/>
    <x v="194"/>
    <n v="1758.16"/>
    <n v="1342.84"/>
    <n v="0.43303450499838758"/>
    <x v="8"/>
    <x v="0"/>
    <n v="39"/>
    <x v="166"/>
    <s v="Retail"/>
    <x v="0"/>
  </r>
  <r>
    <x v="200"/>
    <d v="2023-12-31T00:00:00"/>
    <x v="7"/>
    <x v="1"/>
    <n v="3453"/>
    <n v="1"/>
    <n v="10"/>
    <x v="195"/>
    <n v="2703"/>
    <n v="404.7"/>
    <n v="0.13022492518582876"/>
    <x v="9"/>
    <x v="0"/>
    <n v="53"/>
    <x v="167"/>
    <s v="Wholesale"/>
    <x v="0"/>
  </r>
  <r>
    <x v="201"/>
    <d v="2023-05-16T00:00:00"/>
    <x v="7"/>
    <x v="1"/>
    <n v="819"/>
    <n v="4"/>
    <n v="5"/>
    <x v="196"/>
    <n v="514.07000000000005"/>
    <n v="1055.94"/>
    <n v="0.33929053402737619"/>
    <x v="2"/>
    <x v="0"/>
    <n v="20"/>
    <x v="63"/>
    <s v="Retail"/>
    <x v="0"/>
  </r>
  <r>
    <x v="202"/>
    <d v="2023-12-14T00:00:00"/>
    <x v="6"/>
    <x v="0"/>
    <n v="3519"/>
    <n v="1"/>
    <n v="10"/>
    <x v="197"/>
    <n v="2221.08"/>
    <n v="946.02"/>
    <n v="0.29870228284550537"/>
    <x v="9"/>
    <x v="0"/>
    <n v="50"/>
    <x v="75"/>
    <s v="Retail"/>
    <x v="0"/>
  </r>
  <r>
    <x v="203"/>
    <d v="2023-10-01T00:00:00"/>
    <x v="3"/>
    <x v="3"/>
    <n v="3728"/>
    <n v="1"/>
    <n v="15"/>
    <x v="198"/>
    <n v="2293.41"/>
    <n v="875.39"/>
    <n v="0.27625284019187074"/>
    <x v="11"/>
    <x v="0"/>
    <n v="40"/>
    <x v="57"/>
    <s v="Retail"/>
    <x v="3"/>
  </r>
  <r>
    <x v="204"/>
    <d v="2023-05-06T00:00:00"/>
    <x v="5"/>
    <x v="4"/>
    <n v="1865"/>
    <n v="2"/>
    <n v="15"/>
    <x v="199"/>
    <n v="1126.43"/>
    <n v="917.64"/>
    <n v="0.28943068916574671"/>
    <x v="2"/>
    <x v="0"/>
    <n v="18"/>
    <x v="168"/>
    <s v="Retail"/>
    <x v="3"/>
  </r>
  <r>
    <x v="205"/>
    <d v="2023-06-30T00:00:00"/>
    <x v="4"/>
    <x v="3"/>
    <n v="1766"/>
    <n v="2"/>
    <n v="10"/>
    <x v="200"/>
    <n v="1327.8"/>
    <n v="523.20000000000005"/>
    <n v="0.16459041147602871"/>
    <x v="10"/>
    <x v="0"/>
    <n v="26"/>
    <x v="169"/>
    <s v="Wholesale"/>
    <x v="3"/>
  </r>
  <r>
    <x v="206"/>
    <d v="2023-02-16T00:00:00"/>
    <x v="4"/>
    <x v="3"/>
    <n v="936"/>
    <n v="4"/>
    <n v="15"/>
    <x v="201"/>
    <n v="669.62"/>
    <n v="503.93"/>
    <n v="0.15834904474610356"/>
    <x v="3"/>
    <x v="0"/>
    <n v="7"/>
    <x v="170"/>
    <s v="Wholesale"/>
    <x v="2"/>
  </r>
  <r>
    <x v="207"/>
    <d v="2023-11-03T00:00:00"/>
    <x v="9"/>
    <x v="5"/>
    <n v="3747"/>
    <n v="1"/>
    <n v="15"/>
    <x v="202"/>
    <n v="2973.47"/>
    <n v="211.48"/>
    <n v="6.6399786495863353E-2"/>
    <x v="4"/>
    <x v="0"/>
    <n v="44"/>
    <x v="171"/>
    <s v="Retail"/>
    <x v="0"/>
  </r>
  <r>
    <x v="208"/>
    <d v="2023-10-09T00:00:00"/>
    <x v="0"/>
    <x v="0"/>
    <n v="1879"/>
    <n v="2"/>
    <n v="15"/>
    <x v="203"/>
    <n v="1135.47"/>
    <n v="923.36"/>
    <n v="0.28906489684750963"/>
    <x v="11"/>
    <x v="0"/>
    <n v="41"/>
    <x v="172"/>
    <s v="Wholesale"/>
    <x v="1"/>
  </r>
  <r>
    <x v="209"/>
    <d v="2023-07-18T00:00:00"/>
    <x v="9"/>
    <x v="5"/>
    <n v="3587"/>
    <n v="1"/>
    <n v="10"/>
    <x v="204"/>
    <n v="2742.38"/>
    <n v="485.92"/>
    <n v="0.15051884892977727"/>
    <x v="1"/>
    <x v="0"/>
    <n v="29"/>
    <x v="147"/>
    <s v="Retail"/>
    <x v="2"/>
  </r>
  <r>
    <x v="210"/>
    <d v="2023-07-19T00:00:00"/>
    <x v="3"/>
    <x v="3"/>
    <n v="3231"/>
    <n v="1"/>
    <n v="0"/>
    <x v="205"/>
    <n v="2142.4"/>
    <n v="1088.5999999999999"/>
    <n v="0.33692355307954192"/>
    <x v="1"/>
    <x v="0"/>
    <n v="29"/>
    <x v="173"/>
    <s v="Retail"/>
    <x v="1"/>
  </r>
  <r>
    <x v="211"/>
    <d v="2023-12-31T00:00:00"/>
    <x v="9"/>
    <x v="5"/>
    <n v="1703"/>
    <n v="2"/>
    <n v="5"/>
    <x v="206"/>
    <n v="1125.0899999999999"/>
    <n v="985.51"/>
    <n v="0.30457397162901384"/>
    <x v="9"/>
    <x v="0"/>
    <n v="53"/>
    <x v="174"/>
    <s v="Wholesale"/>
    <x v="1"/>
  </r>
  <r>
    <x v="212"/>
    <d v="2023-03-18T00:00:00"/>
    <x v="1"/>
    <x v="1"/>
    <n v="1704"/>
    <n v="2"/>
    <n v="5"/>
    <x v="207"/>
    <n v="1354.99"/>
    <n v="527.62"/>
    <n v="0.16296639486039041"/>
    <x v="5"/>
    <x v="0"/>
    <n v="11"/>
    <x v="175"/>
    <s v="Retail"/>
    <x v="3"/>
  </r>
  <r>
    <x v="213"/>
    <d v="2023-02-17T00:00:00"/>
    <x v="8"/>
    <x v="2"/>
    <n v="853"/>
    <n v="4"/>
    <n v="5"/>
    <x v="208"/>
    <n v="569.20000000000005"/>
    <n v="964.59"/>
    <n v="0.29758437712099711"/>
    <x v="3"/>
    <x v="0"/>
    <n v="7"/>
    <x v="164"/>
    <s v="Retail"/>
    <x v="1"/>
  </r>
  <r>
    <x v="214"/>
    <d v="2023-08-05T00:00:00"/>
    <x v="4"/>
    <x v="3"/>
    <n v="811"/>
    <n v="4"/>
    <n v="0"/>
    <x v="209"/>
    <n v="538.85"/>
    <n v="1088.5899999999999"/>
    <n v="0.33557028360049318"/>
    <x v="6"/>
    <x v="0"/>
    <n v="31"/>
    <x v="176"/>
    <s v="Wholesale"/>
    <x v="3"/>
  </r>
  <r>
    <x v="215"/>
    <d v="2023-07-28T00:00:00"/>
    <x v="0"/>
    <x v="0"/>
    <n v="3819"/>
    <n v="1"/>
    <n v="15"/>
    <x v="210"/>
    <n v="2417.52"/>
    <n v="828.63"/>
    <n v="0.25526546832401459"/>
    <x v="1"/>
    <x v="0"/>
    <n v="30"/>
    <x v="138"/>
    <s v="Wholesale"/>
    <x v="1"/>
  </r>
  <r>
    <x v="216"/>
    <d v="2023-10-31T00:00:00"/>
    <x v="6"/>
    <x v="0"/>
    <n v="814"/>
    <n v="4"/>
    <n v="0"/>
    <x v="211"/>
    <n v="649.76"/>
    <n v="656.95"/>
    <n v="0.20176597051597053"/>
    <x v="11"/>
    <x v="0"/>
    <n v="44"/>
    <x v="177"/>
    <s v="Wholesale"/>
    <x v="2"/>
  </r>
  <r>
    <x v="217"/>
    <d v="2023-06-14T00:00:00"/>
    <x v="6"/>
    <x v="0"/>
    <n v="1088"/>
    <n v="3"/>
    <n v="0"/>
    <x v="212"/>
    <n v="803.01"/>
    <n v="854.98"/>
    <n v="0.26194240196078433"/>
    <x v="10"/>
    <x v="0"/>
    <n v="24"/>
    <x v="12"/>
    <s v="Wholesale"/>
    <x v="3"/>
  </r>
  <r>
    <x v="218"/>
    <d v="2023-09-03T00:00:00"/>
    <x v="7"/>
    <x v="1"/>
    <n v="3284"/>
    <n v="1"/>
    <n v="0"/>
    <x v="213"/>
    <n v="2087.02"/>
    <n v="1196.98"/>
    <n v="0.36448842874543241"/>
    <x v="8"/>
    <x v="0"/>
    <n v="36"/>
    <x v="174"/>
    <s v="Retail"/>
    <x v="2"/>
  </r>
  <r>
    <x v="219"/>
    <d v="2023-07-03T00:00:00"/>
    <x v="9"/>
    <x v="5"/>
    <n v="3865"/>
    <n v="1"/>
    <n v="15"/>
    <x v="214"/>
    <n v="3024.24"/>
    <n v="261.01"/>
    <n v="7.9449052583517227E-2"/>
    <x v="1"/>
    <x v="0"/>
    <n v="27"/>
    <x v="70"/>
    <s v="Wholesale"/>
    <x v="2"/>
  </r>
  <r>
    <x v="220"/>
    <d v="2023-04-05T00:00:00"/>
    <x v="0"/>
    <x v="0"/>
    <n v="1945"/>
    <n v="2"/>
    <n v="15"/>
    <x v="215"/>
    <n v="1203.92"/>
    <n v="898.66"/>
    <n v="0.27178587630424922"/>
    <x v="7"/>
    <x v="0"/>
    <n v="14"/>
    <x v="178"/>
    <s v="Wholesale"/>
    <x v="3"/>
  </r>
  <r>
    <x v="221"/>
    <d v="2023-08-16T00:00:00"/>
    <x v="0"/>
    <x v="0"/>
    <n v="3485"/>
    <n v="1"/>
    <n v="5"/>
    <x v="216"/>
    <n v="1936.69"/>
    <n v="1374.06"/>
    <n v="0.41502982707845654"/>
    <x v="6"/>
    <x v="0"/>
    <n v="33"/>
    <x v="92"/>
    <s v="Retail"/>
    <x v="2"/>
  </r>
  <r>
    <x v="222"/>
    <d v="2023-06-06T00:00:00"/>
    <x v="1"/>
    <x v="1"/>
    <n v="1843"/>
    <n v="2"/>
    <n v="10"/>
    <x v="217"/>
    <n v="1251.98"/>
    <n v="813.45"/>
    <n v="0.24520708988967263"/>
    <x v="10"/>
    <x v="0"/>
    <n v="23"/>
    <x v="4"/>
    <s v="Wholesale"/>
    <x v="1"/>
  </r>
  <r>
    <x v="223"/>
    <d v="2023-08-15T00:00:00"/>
    <x v="8"/>
    <x v="2"/>
    <n v="978"/>
    <n v="4"/>
    <n v="15"/>
    <x v="218"/>
    <n v="622.07000000000005"/>
    <n v="836.92"/>
    <n v="0.25169012390232165"/>
    <x v="6"/>
    <x v="0"/>
    <n v="33"/>
    <x v="179"/>
    <s v="Wholesale"/>
    <x v="3"/>
  </r>
  <r>
    <x v="224"/>
    <d v="2023-09-25T00:00:00"/>
    <x v="0"/>
    <x v="0"/>
    <n v="3506"/>
    <n v="1"/>
    <n v="5"/>
    <x v="219"/>
    <n v="2387.67"/>
    <n v="943.03"/>
    <n v="0.28313267481310234"/>
    <x v="8"/>
    <x v="0"/>
    <n v="39"/>
    <x v="180"/>
    <s v="Wholesale"/>
    <x v="1"/>
  </r>
  <r>
    <x v="225"/>
    <d v="2023-11-22T00:00:00"/>
    <x v="9"/>
    <x v="5"/>
    <n v="3927"/>
    <n v="1"/>
    <n v="15"/>
    <x v="220"/>
    <n v="2936.92"/>
    <n v="401.03"/>
    <n v="0.12014260249554368"/>
    <x v="4"/>
    <x v="0"/>
    <n v="47"/>
    <x v="100"/>
    <s v="Wholesale"/>
    <x v="3"/>
  </r>
  <r>
    <x v="226"/>
    <d v="2023-09-29T00:00:00"/>
    <x v="2"/>
    <x v="2"/>
    <n v="3537"/>
    <n v="1"/>
    <n v="5"/>
    <x v="221"/>
    <n v="2139.61"/>
    <n v="1220.54"/>
    <n v="0.36323973632129514"/>
    <x v="8"/>
    <x v="0"/>
    <n v="39"/>
    <x v="156"/>
    <s v="Retail"/>
    <x v="0"/>
  </r>
  <r>
    <x v="227"/>
    <d v="2023-04-12T00:00:00"/>
    <x v="0"/>
    <x v="0"/>
    <n v="1682"/>
    <n v="2"/>
    <n v="0"/>
    <x v="222"/>
    <n v="982.56"/>
    <n v="1398.88"/>
    <n v="0.4158382877526754"/>
    <x v="7"/>
    <x v="0"/>
    <n v="15"/>
    <x v="181"/>
    <s v="Wholesale"/>
    <x v="1"/>
  </r>
  <r>
    <x v="228"/>
    <d v="2023-05-05T00:00:00"/>
    <x v="5"/>
    <x v="4"/>
    <n v="3542"/>
    <n v="1"/>
    <n v="5"/>
    <x v="223"/>
    <n v="2528.5100000000002"/>
    <n v="836.39"/>
    <n v="0.24856310737317602"/>
    <x v="2"/>
    <x v="0"/>
    <n v="18"/>
    <x v="182"/>
    <s v="Wholesale"/>
    <x v="1"/>
  </r>
  <r>
    <x v="229"/>
    <d v="2023-06-17T00:00:00"/>
    <x v="8"/>
    <x v="2"/>
    <n v="3395"/>
    <n v="1"/>
    <n v="0"/>
    <x v="224"/>
    <n v="2517"/>
    <n v="878"/>
    <n v="0.25861561119293081"/>
    <x v="10"/>
    <x v="0"/>
    <n v="24"/>
    <x v="183"/>
    <s v="Retail"/>
    <x v="3"/>
  </r>
  <r>
    <x v="230"/>
    <d v="2023-09-06T00:00:00"/>
    <x v="1"/>
    <x v="1"/>
    <n v="2003"/>
    <n v="2"/>
    <n v="15"/>
    <x v="225"/>
    <n v="1284.33"/>
    <n v="836.45"/>
    <n v="0.24564623652756162"/>
    <x v="8"/>
    <x v="0"/>
    <n v="36"/>
    <x v="184"/>
    <s v="Wholesale"/>
    <x v="0"/>
  </r>
  <r>
    <x v="231"/>
    <d v="2023-10-19T00:00:00"/>
    <x v="0"/>
    <x v="0"/>
    <n v="3419"/>
    <n v="1"/>
    <n v="0"/>
    <x v="226"/>
    <n v="1762.78"/>
    <n v="1656.22"/>
    <n v="0.48441649605147707"/>
    <x v="11"/>
    <x v="0"/>
    <n v="42"/>
    <x v="18"/>
    <s v="Retail"/>
    <x v="3"/>
  </r>
  <r>
    <x v="232"/>
    <d v="2023-12-11T00:00:00"/>
    <x v="4"/>
    <x v="3"/>
    <n v="3601"/>
    <n v="1"/>
    <n v="5"/>
    <x v="227"/>
    <n v="2013.23"/>
    <n v="1407.72"/>
    <n v="0.41149972960727288"/>
    <x v="9"/>
    <x v="0"/>
    <n v="50"/>
    <x v="185"/>
    <s v="Retail"/>
    <x v="2"/>
  </r>
  <r>
    <x v="233"/>
    <d v="2023-12-01T00:00:00"/>
    <x v="7"/>
    <x v="1"/>
    <n v="3808"/>
    <n v="1"/>
    <n v="10"/>
    <x v="228"/>
    <n v="2627.23"/>
    <n v="799.97"/>
    <n v="0.23341795051353878"/>
    <x v="9"/>
    <x v="0"/>
    <n v="48"/>
    <x v="181"/>
    <s v="Retail"/>
    <x v="1"/>
  </r>
  <r>
    <x v="234"/>
    <d v="2023-01-09T00:00:00"/>
    <x v="2"/>
    <x v="2"/>
    <n v="3817"/>
    <n v="1"/>
    <n v="10"/>
    <x v="229"/>
    <n v="2427.8000000000002"/>
    <n v="1007.5"/>
    <n v="0.29327860739964484"/>
    <x v="0"/>
    <x v="0"/>
    <n v="2"/>
    <x v="186"/>
    <s v="Retail"/>
    <x v="1"/>
  </r>
  <r>
    <x v="235"/>
    <d v="2023-10-14T00:00:00"/>
    <x v="1"/>
    <x v="1"/>
    <n v="3625"/>
    <n v="1"/>
    <n v="5"/>
    <x v="230"/>
    <n v="2727.74"/>
    <n v="716.01"/>
    <n v="0.20791578947368422"/>
    <x v="11"/>
    <x v="0"/>
    <n v="41"/>
    <x v="187"/>
    <s v="Retail"/>
    <x v="2"/>
  </r>
  <r>
    <x v="236"/>
    <d v="2023-01-05T00:00:00"/>
    <x v="4"/>
    <x v="3"/>
    <n v="3849"/>
    <n v="1"/>
    <n v="10"/>
    <x v="231"/>
    <n v="2527.48"/>
    <n v="936.62"/>
    <n v="0.27037903062844609"/>
    <x v="0"/>
    <x v="0"/>
    <n v="1"/>
    <x v="188"/>
    <s v="Wholesale"/>
    <x v="2"/>
  </r>
  <r>
    <x v="237"/>
    <d v="2023-06-14T00:00:00"/>
    <x v="9"/>
    <x v="5"/>
    <n v="920"/>
    <n v="4"/>
    <n v="5"/>
    <x v="232"/>
    <n v="665.41"/>
    <n v="834.36"/>
    <n v="0.2386613272311213"/>
    <x v="10"/>
    <x v="0"/>
    <n v="24"/>
    <x v="94"/>
    <s v="Wholesale"/>
    <x v="2"/>
  </r>
  <r>
    <x v="238"/>
    <d v="2023-11-03T00:00:00"/>
    <x v="7"/>
    <x v="1"/>
    <n v="973"/>
    <n v="4"/>
    <n v="10"/>
    <x v="233"/>
    <n v="608.79999999999995"/>
    <n v="1067.58"/>
    <n v="0.30477903391572453"/>
    <x v="4"/>
    <x v="0"/>
    <n v="44"/>
    <x v="162"/>
    <s v="Retail"/>
    <x v="2"/>
  </r>
  <r>
    <x v="239"/>
    <d v="2023-11-07T00:00:00"/>
    <x v="4"/>
    <x v="3"/>
    <n v="3509"/>
    <n v="1"/>
    <n v="0"/>
    <x v="234"/>
    <n v="2588.0300000000002"/>
    <n v="920.97"/>
    <n v="0.26245939013964092"/>
    <x v="4"/>
    <x v="0"/>
    <n v="45"/>
    <x v="189"/>
    <s v="Wholesale"/>
    <x v="2"/>
  </r>
  <r>
    <x v="240"/>
    <d v="2023-11-08T00:00:00"/>
    <x v="8"/>
    <x v="2"/>
    <n v="1034"/>
    <n v="4"/>
    <n v="15"/>
    <x v="235"/>
    <n v="537.70000000000005"/>
    <n v="1364.79"/>
    <n v="0.38820969393560134"/>
    <x v="4"/>
    <x v="0"/>
    <n v="45"/>
    <x v="79"/>
    <s v="Retail"/>
    <x v="1"/>
  </r>
  <r>
    <x v="241"/>
    <d v="2023-11-09T00:00:00"/>
    <x v="7"/>
    <x v="1"/>
    <n v="1851"/>
    <n v="2"/>
    <n v="5"/>
    <x v="236"/>
    <n v="1086.81"/>
    <n v="1343.28"/>
    <n v="0.38195001279535951"/>
    <x v="4"/>
    <x v="0"/>
    <n v="45"/>
    <x v="190"/>
    <s v="Wholesale"/>
    <x v="1"/>
  </r>
  <r>
    <x v="242"/>
    <d v="2023-01-04T00:00:00"/>
    <x v="0"/>
    <x v="0"/>
    <n v="979"/>
    <n v="4"/>
    <n v="10"/>
    <x v="237"/>
    <n v="630.83000000000004"/>
    <n v="1001.09"/>
    <n v="0.28404551129270228"/>
    <x v="0"/>
    <x v="0"/>
    <n v="1"/>
    <x v="191"/>
    <s v="Wholesale"/>
    <x v="0"/>
  </r>
  <r>
    <x v="243"/>
    <d v="2023-01-13T00:00:00"/>
    <x v="9"/>
    <x v="5"/>
    <n v="3526"/>
    <n v="1"/>
    <n v="0"/>
    <x v="238"/>
    <n v="2452.02"/>
    <n v="1073.98"/>
    <n v="0.30458876914350541"/>
    <x v="0"/>
    <x v="0"/>
    <n v="2"/>
    <x v="131"/>
    <s v="Retail"/>
    <x v="3"/>
  </r>
  <r>
    <x v="244"/>
    <d v="2023-07-11T00:00:00"/>
    <x v="6"/>
    <x v="0"/>
    <n v="1969"/>
    <n v="2"/>
    <n v="10"/>
    <x v="239"/>
    <n v="994.78"/>
    <n v="1554.63"/>
    <n v="0.43864059590316579"/>
    <x v="1"/>
    <x v="0"/>
    <n v="28"/>
    <x v="192"/>
    <s v="Retail"/>
    <x v="0"/>
  </r>
  <r>
    <x v="245"/>
    <d v="2023-01-01T00:00:00"/>
    <x v="1"/>
    <x v="1"/>
    <n v="4184"/>
    <n v="1"/>
    <n v="15"/>
    <x v="240"/>
    <n v="3163.76"/>
    <n v="392.64"/>
    <n v="0.11040377910246316"/>
    <x v="0"/>
    <x v="0"/>
    <n v="1"/>
    <x v="45"/>
    <s v="Retail"/>
    <x v="1"/>
  </r>
  <r>
    <x v="246"/>
    <d v="2023-11-01T00:00:00"/>
    <x v="0"/>
    <x v="0"/>
    <n v="1977"/>
    <n v="2"/>
    <n v="10"/>
    <x v="241"/>
    <n v="1190.79"/>
    <n v="1177.01"/>
    <n v="0.33075085707862645"/>
    <x v="4"/>
    <x v="0"/>
    <n v="44"/>
    <x v="182"/>
    <s v="Wholesale"/>
    <x v="3"/>
  </r>
  <r>
    <x v="247"/>
    <d v="2023-06-09T00:00:00"/>
    <x v="2"/>
    <x v="2"/>
    <n v="2095"/>
    <n v="2"/>
    <n v="15"/>
    <x v="242"/>
    <n v="1350.99"/>
    <n v="859.53"/>
    <n v="0.24133932331882632"/>
    <x v="10"/>
    <x v="0"/>
    <n v="23"/>
    <x v="193"/>
    <s v="Wholesale"/>
    <x v="2"/>
  </r>
  <r>
    <x v="248"/>
    <d v="2023-07-14T00:00:00"/>
    <x v="8"/>
    <x v="2"/>
    <n v="3959"/>
    <n v="1"/>
    <n v="10"/>
    <x v="243"/>
    <n v="2919.31"/>
    <n v="643.79"/>
    <n v="0.18068255171058908"/>
    <x v="1"/>
    <x v="0"/>
    <n v="28"/>
    <x v="194"/>
    <s v="Wholesale"/>
    <x v="3"/>
  </r>
  <r>
    <x v="249"/>
    <d v="2023-10-28T00:00:00"/>
    <x v="4"/>
    <x v="3"/>
    <n v="3976"/>
    <n v="1"/>
    <n v="10"/>
    <x v="244"/>
    <n v="2877.08"/>
    <n v="701.32"/>
    <n v="0.19598703331097697"/>
    <x v="11"/>
    <x v="0"/>
    <n v="43"/>
    <x v="195"/>
    <s v="Wholesale"/>
    <x v="1"/>
  </r>
  <r>
    <x v="250"/>
    <d v="2023-11-23T00:00:00"/>
    <x v="8"/>
    <x v="2"/>
    <n v="3778"/>
    <n v="1"/>
    <n v="5"/>
    <x v="245"/>
    <n v="2224.0700000000002"/>
    <n v="1365.03"/>
    <n v="0.38032654425900642"/>
    <x v="4"/>
    <x v="0"/>
    <n v="47"/>
    <x v="196"/>
    <s v="Retail"/>
    <x v="2"/>
  </r>
  <r>
    <x v="251"/>
    <d v="2023-11-19T00:00:00"/>
    <x v="8"/>
    <x v="2"/>
    <n v="3595"/>
    <n v="1"/>
    <n v="0"/>
    <x v="246"/>
    <n v="2010.3"/>
    <n v="1584.7"/>
    <n v="0.4408066759388039"/>
    <x v="4"/>
    <x v="0"/>
    <n v="47"/>
    <x v="197"/>
    <s v="Wholesale"/>
    <x v="1"/>
  </r>
  <r>
    <x v="252"/>
    <d v="2023-05-30T00:00:00"/>
    <x v="7"/>
    <x v="1"/>
    <n v="4006"/>
    <n v="1"/>
    <n v="10"/>
    <x v="247"/>
    <n v="2108.0700000000002"/>
    <n v="1497.33"/>
    <n v="0.41530204692960554"/>
    <x v="2"/>
    <x v="0"/>
    <n v="22"/>
    <x v="12"/>
    <s v="Retail"/>
    <x v="1"/>
  </r>
  <r>
    <x v="253"/>
    <d v="2023-01-18T00:00:00"/>
    <x v="4"/>
    <x v="3"/>
    <n v="1266"/>
    <n v="3"/>
    <n v="5"/>
    <x v="248"/>
    <n v="721.72"/>
    <n v="1442.93"/>
    <n v="0.3999140822039301"/>
    <x v="0"/>
    <x v="0"/>
    <n v="3"/>
    <x v="134"/>
    <s v="Wholesale"/>
    <x v="1"/>
  </r>
  <r>
    <x v="254"/>
    <d v="2023-07-30T00:00:00"/>
    <x v="0"/>
    <x v="0"/>
    <n v="2012"/>
    <n v="2"/>
    <n v="10"/>
    <x v="249"/>
    <n v="1398.29"/>
    <n v="825.01"/>
    <n v="0.22780262867241"/>
    <x v="1"/>
    <x v="0"/>
    <n v="31"/>
    <x v="198"/>
    <s v="Retail"/>
    <x v="3"/>
  </r>
  <r>
    <x v="255"/>
    <d v="2023-07-11T00:00:00"/>
    <x v="8"/>
    <x v="2"/>
    <n v="1209"/>
    <n v="3"/>
    <n v="0"/>
    <x v="250"/>
    <n v="861.7"/>
    <n v="1041.8900000000001"/>
    <n v="0.28725944306589468"/>
    <x v="1"/>
    <x v="0"/>
    <n v="28"/>
    <x v="199"/>
    <s v="Wholesale"/>
    <x v="1"/>
  </r>
  <r>
    <x v="256"/>
    <d v="2023-04-15T00:00:00"/>
    <x v="5"/>
    <x v="4"/>
    <n v="3633"/>
    <n v="1"/>
    <n v="0"/>
    <x v="251"/>
    <n v="2151.1999999999998"/>
    <n v="1481.8"/>
    <n v="0.40787228186072116"/>
    <x v="7"/>
    <x v="0"/>
    <n v="15"/>
    <x v="200"/>
    <s v="Wholesale"/>
    <x v="2"/>
  </r>
  <r>
    <x v="257"/>
    <d v="2023-12-25T00:00:00"/>
    <x v="3"/>
    <x v="3"/>
    <n v="3643"/>
    <n v="1"/>
    <n v="0"/>
    <x v="252"/>
    <n v="2853.98"/>
    <n v="789.02"/>
    <n v="0.21658523195168816"/>
    <x v="9"/>
    <x v="0"/>
    <n v="52"/>
    <x v="162"/>
    <s v="Wholesale"/>
    <x v="3"/>
  </r>
  <r>
    <x v="258"/>
    <d v="2023-12-22T00:00:00"/>
    <x v="3"/>
    <x v="3"/>
    <n v="1012"/>
    <n v="4"/>
    <n v="10"/>
    <x v="253"/>
    <n v="585.83000000000004"/>
    <n v="1299.8599999999999"/>
    <n v="0.35679073342116818"/>
    <x v="9"/>
    <x v="0"/>
    <n v="51"/>
    <x v="201"/>
    <s v="Retail"/>
    <x v="3"/>
  </r>
  <r>
    <x v="259"/>
    <d v="2023-10-19T00:00:00"/>
    <x v="8"/>
    <x v="2"/>
    <n v="1822"/>
    <n v="2"/>
    <n v="0"/>
    <x v="254"/>
    <n v="1179.32"/>
    <n v="1285.3599999999999"/>
    <n v="0.35273326015367723"/>
    <x v="11"/>
    <x v="0"/>
    <n v="42"/>
    <x v="202"/>
    <s v="Retail"/>
    <x v="2"/>
  </r>
  <r>
    <x v="260"/>
    <d v="2023-10-28T00:00:00"/>
    <x v="9"/>
    <x v="5"/>
    <n v="1823"/>
    <n v="2"/>
    <n v="0"/>
    <x v="255"/>
    <n v="1433.1"/>
    <n v="779.8"/>
    <n v="0.21387822270981896"/>
    <x v="11"/>
    <x v="0"/>
    <n v="43"/>
    <x v="203"/>
    <s v="Retail"/>
    <x v="1"/>
  </r>
  <r>
    <x v="261"/>
    <d v="2023-01-07T00:00:00"/>
    <x v="7"/>
    <x v="1"/>
    <n v="1286"/>
    <n v="3"/>
    <n v="5"/>
    <x v="256"/>
    <n v="692.55"/>
    <n v="1587.44"/>
    <n v="0.43312324356770621"/>
    <x v="0"/>
    <x v="0"/>
    <n v="1"/>
    <x v="20"/>
    <s v="Retail"/>
    <x v="0"/>
  </r>
  <r>
    <x v="262"/>
    <d v="2023-11-03T00:00:00"/>
    <x v="7"/>
    <x v="1"/>
    <n v="4080"/>
    <n v="1"/>
    <n v="10"/>
    <x v="257"/>
    <n v="2272.85"/>
    <n v="1399.15"/>
    <n v="0.38103213507625272"/>
    <x v="4"/>
    <x v="0"/>
    <n v="44"/>
    <x v="106"/>
    <s v="Retail"/>
    <x v="0"/>
  </r>
  <r>
    <x v="263"/>
    <d v="2023-05-28T00:00:00"/>
    <x v="7"/>
    <x v="1"/>
    <n v="4094"/>
    <n v="1"/>
    <n v="10"/>
    <x v="258"/>
    <n v="2295.9499999999998"/>
    <n v="1388.65"/>
    <n v="0.37687944417304459"/>
    <x v="2"/>
    <x v="0"/>
    <n v="22"/>
    <x v="204"/>
    <s v="Wholesale"/>
    <x v="3"/>
  </r>
  <r>
    <x v="264"/>
    <d v="2023-01-10T00:00:00"/>
    <x v="0"/>
    <x v="0"/>
    <n v="4105"/>
    <n v="1"/>
    <n v="10"/>
    <x v="259"/>
    <n v="2706.43"/>
    <n v="988.07"/>
    <n v="0.26744349709026932"/>
    <x v="0"/>
    <x v="0"/>
    <n v="2"/>
    <x v="66"/>
    <s v="Retail"/>
    <x v="3"/>
  </r>
  <r>
    <x v="265"/>
    <d v="2023-01-21T00:00:00"/>
    <x v="1"/>
    <x v="1"/>
    <n v="2181"/>
    <n v="2"/>
    <n v="15"/>
    <x v="260"/>
    <n v="1230"/>
    <n v="1247.69"/>
    <n v="0.33651320225476716"/>
    <x v="0"/>
    <x v="0"/>
    <n v="3"/>
    <x v="96"/>
    <s v="Wholesale"/>
    <x v="0"/>
  </r>
  <r>
    <x v="266"/>
    <d v="2023-02-02T00:00:00"/>
    <x v="6"/>
    <x v="0"/>
    <n v="1374"/>
    <n v="3"/>
    <n v="10"/>
    <x v="261"/>
    <n v="984.61"/>
    <n v="755.96"/>
    <n v="0.20377378834438514"/>
    <x v="3"/>
    <x v="0"/>
    <n v="5"/>
    <x v="9"/>
    <s v="Retail"/>
    <x v="2"/>
  </r>
  <r>
    <x v="267"/>
    <d v="2023-06-01T00:00:00"/>
    <x v="7"/>
    <x v="1"/>
    <n v="1957"/>
    <n v="2"/>
    <n v="5"/>
    <x v="262"/>
    <n v="1248.46"/>
    <n v="1221.3800000000001"/>
    <n v="0.32847806793427103"/>
    <x v="10"/>
    <x v="0"/>
    <n v="22"/>
    <x v="185"/>
    <s v="Wholesale"/>
    <x v="2"/>
  </r>
  <r>
    <x v="268"/>
    <d v="2023-10-05T00:00:00"/>
    <x v="7"/>
    <x v="1"/>
    <n v="1385"/>
    <n v="3"/>
    <n v="10"/>
    <x v="263"/>
    <n v="973.43"/>
    <n v="819.21"/>
    <n v="0.21906939430405134"/>
    <x v="11"/>
    <x v="0"/>
    <n v="40"/>
    <x v="12"/>
    <s v="Retail"/>
    <x v="0"/>
  </r>
  <r>
    <x v="269"/>
    <d v="2023-06-12T00:00:00"/>
    <x v="5"/>
    <x v="4"/>
    <n v="1101"/>
    <n v="4"/>
    <n v="15"/>
    <x v="264"/>
    <n v="631.01"/>
    <n v="1219.3499999999999"/>
    <n v="0.3257332905914409"/>
    <x v="10"/>
    <x v="0"/>
    <n v="24"/>
    <x v="205"/>
    <s v="Wholesale"/>
    <x v="1"/>
  </r>
  <r>
    <x v="270"/>
    <d v="2023-07-12T00:00:00"/>
    <x v="4"/>
    <x v="3"/>
    <n v="1250"/>
    <n v="3"/>
    <n v="0"/>
    <x v="265"/>
    <n v="771.04"/>
    <n v="1436.89"/>
    <n v="0.38317066666666671"/>
    <x v="1"/>
    <x v="0"/>
    <n v="28"/>
    <x v="206"/>
    <s v="Wholesale"/>
    <x v="0"/>
  </r>
  <r>
    <x v="271"/>
    <d v="2023-08-29T00:00:00"/>
    <x v="7"/>
    <x v="1"/>
    <n v="1875"/>
    <n v="2"/>
    <n v="0"/>
    <x v="265"/>
    <n v="1267.9000000000001"/>
    <n v="1214.19"/>
    <n v="0.32378400000000002"/>
    <x v="6"/>
    <x v="0"/>
    <n v="35"/>
    <x v="77"/>
    <s v="Wholesale"/>
    <x v="3"/>
  </r>
  <r>
    <x v="272"/>
    <d v="2023-04-04T00:00:00"/>
    <x v="6"/>
    <x v="0"/>
    <n v="4170"/>
    <n v="1"/>
    <n v="10"/>
    <x v="266"/>
    <n v="2964.07"/>
    <n v="788.93"/>
    <n v="0.21021316280309085"/>
    <x v="7"/>
    <x v="0"/>
    <n v="14"/>
    <x v="88"/>
    <s v="Wholesale"/>
    <x v="2"/>
  </r>
  <r>
    <x v="273"/>
    <d v="2023-04-02T00:00:00"/>
    <x v="7"/>
    <x v="1"/>
    <n v="4180"/>
    <n v="1"/>
    <n v="10"/>
    <x v="267"/>
    <n v="2184.2800000000002"/>
    <n v="1577.72"/>
    <n v="0.4193833067517278"/>
    <x v="7"/>
    <x v="0"/>
    <n v="14"/>
    <x v="207"/>
    <s v="Wholesale"/>
    <x v="2"/>
  </r>
  <r>
    <x v="274"/>
    <d v="2023-11-05T00:00:00"/>
    <x v="7"/>
    <x v="1"/>
    <n v="1323"/>
    <n v="3"/>
    <n v="5"/>
    <x v="268"/>
    <n v="676.93"/>
    <n v="1739.76"/>
    <n v="0.46140748697139672"/>
    <x v="4"/>
    <x v="0"/>
    <n v="45"/>
    <x v="208"/>
    <s v="Wholesale"/>
    <x v="1"/>
  </r>
  <r>
    <x v="275"/>
    <d v="2023-07-27T00:00:00"/>
    <x v="3"/>
    <x v="3"/>
    <n v="3782"/>
    <n v="1"/>
    <n v="0"/>
    <x v="269"/>
    <n v="2935.24"/>
    <n v="846.76"/>
    <n v="0.2238921205711264"/>
    <x v="1"/>
    <x v="0"/>
    <n v="30"/>
    <x v="209"/>
    <s v="Wholesale"/>
    <x v="1"/>
  </r>
  <r>
    <x v="276"/>
    <d v="2023-12-06T00:00:00"/>
    <x v="0"/>
    <x v="0"/>
    <n v="4223"/>
    <n v="1"/>
    <n v="10"/>
    <x v="270"/>
    <n v="2447.38"/>
    <n v="1353.32"/>
    <n v="0.3560712500328887"/>
    <x v="9"/>
    <x v="0"/>
    <n v="49"/>
    <x v="210"/>
    <s v="Wholesale"/>
    <x v="0"/>
  </r>
  <r>
    <x v="277"/>
    <d v="2023-06-25T00:00:00"/>
    <x v="1"/>
    <x v="1"/>
    <n v="4003"/>
    <n v="1"/>
    <n v="5"/>
    <x v="271"/>
    <n v="3146.73"/>
    <n v="656.12"/>
    <n v="0.17253375757655443"/>
    <x v="10"/>
    <x v="0"/>
    <n v="26"/>
    <x v="175"/>
    <s v="Retail"/>
    <x v="3"/>
  </r>
  <r>
    <x v="278"/>
    <d v="2023-01-08T00:00:00"/>
    <x v="1"/>
    <x v="1"/>
    <n v="895"/>
    <n v="5"/>
    <n v="15"/>
    <x v="272"/>
    <n v="505.51"/>
    <n v="1276.21"/>
    <n v="0.33551363785737759"/>
    <x v="0"/>
    <x v="0"/>
    <n v="2"/>
    <x v="211"/>
    <s v="Wholesale"/>
    <x v="0"/>
  </r>
  <r>
    <x v="279"/>
    <d v="2023-07-16T00:00:00"/>
    <x v="3"/>
    <x v="3"/>
    <n v="2003"/>
    <n v="2"/>
    <n v="5"/>
    <x v="273"/>
    <n v="1328.84"/>
    <n v="1148.02"/>
    <n v="0.30165803925690415"/>
    <x v="1"/>
    <x v="0"/>
    <n v="29"/>
    <x v="212"/>
    <s v="Retail"/>
    <x v="2"/>
  </r>
  <r>
    <x v="280"/>
    <d v="2023-09-14T00:00:00"/>
    <x v="4"/>
    <x v="3"/>
    <n v="4478"/>
    <n v="1"/>
    <n v="15"/>
    <x v="274"/>
    <n v="2255.39"/>
    <n v="1550.91"/>
    <n v="0.40745868691380083"/>
    <x v="8"/>
    <x v="0"/>
    <n v="37"/>
    <x v="121"/>
    <s v="Retail"/>
    <x v="1"/>
  </r>
  <r>
    <x v="281"/>
    <d v="2023-02-26T00:00:00"/>
    <x v="0"/>
    <x v="0"/>
    <n v="1413"/>
    <n v="3"/>
    <n v="10"/>
    <x v="275"/>
    <n v="719.34"/>
    <n v="1657.08"/>
    <n v="0.43434772351969803"/>
    <x v="3"/>
    <x v="0"/>
    <n v="9"/>
    <x v="213"/>
    <s v="Retail"/>
    <x v="3"/>
  </r>
  <r>
    <x v="282"/>
    <d v="2023-03-01T00:00:00"/>
    <x v="5"/>
    <x v="4"/>
    <n v="2246"/>
    <n v="2"/>
    <n v="15"/>
    <x v="276"/>
    <n v="1422.3"/>
    <n v="973.6"/>
    <n v="0.25498926195589544"/>
    <x v="5"/>
    <x v="0"/>
    <n v="9"/>
    <x v="214"/>
    <s v="Retail"/>
    <x v="0"/>
  </r>
  <r>
    <x v="283"/>
    <d v="2023-02-26T00:00:00"/>
    <x v="8"/>
    <x v="2"/>
    <n v="4243"/>
    <n v="1"/>
    <n v="10"/>
    <x v="277"/>
    <n v="2597.5100000000002"/>
    <n v="1221.19"/>
    <n v="0.31979207583732688"/>
    <x v="3"/>
    <x v="0"/>
    <n v="9"/>
    <x v="215"/>
    <s v="Retail"/>
    <x v="1"/>
  </r>
  <r>
    <x v="284"/>
    <d v="2023-11-25T00:00:00"/>
    <x v="6"/>
    <x v="0"/>
    <n v="4505"/>
    <n v="1"/>
    <n v="15"/>
    <x v="278"/>
    <n v="2377.83"/>
    <n v="1451.42"/>
    <n v="0.37903505908467716"/>
    <x v="4"/>
    <x v="0"/>
    <n v="47"/>
    <x v="19"/>
    <s v="Wholesale"/>
    <x v="0"/>
  </r>
  <r>
    <x v="285"/>
    <d v="2023-04-27T00:00:00"/>
    <x v="2"/>
    <x v="2"/>
    <n v="2016"/>
    <n v="2"/>
    <n v="5"/>
    <x v="279"/>
    <n v="1338.03"/>
    <n v="1154.3399999999999"/>
    <n v="0.30136278195488719"/>
    <x v="7"/>
    <x v="0"/>
    <n v="17"/>
    <x v="216"/>
    <s v="Retail"/>
    <x v="3"/>
  </r>
  <r>
    <x v="286"/>
    <d v="2023-08-31T00:00:00"/>
    <x v="2"/>
    <x v="2"/>
    <n v="2017"/>
    <n v="2"/>
    <n v="5"/>
    <x v="280"/>
    <n v="1559.49"/>
    <n v="713.32"/>
    <n v="0.18613365341961746"/>
    <x v="6"/>
    <x v="0"/>
    <n v="35"/>
    <x v="130"/>
    <s v="Wholesale"/>
    <x v="2"/>
  </r>
  <r>
    <x v="287"/>
    <d v="2023-12-18T00:00:00"/>
    <x v="4"/>
    <x v="3"/>
    <n v="4036"/>
    <n v="1"/>
    <n v="5"/>
    <x v="281"/>
    <n v="2507.04"/>
    <n v="1327.16"/>
    <n v="0.34613739502373381"/>
    <x v="9"/>
    <x v="0"/>
    <n v="51"/>
    <x v="217"/>
    <s v="Retail"/>
    <x v="3"/>
  </r>
  <r>
    <x v="288"/>
    <d v="2023-04-16T00:00:00"/>
    <x v="3"/>
    <x v="3"/>
    <n v="1516"/>
    <n v="3"/>
    <n v="15"/>
    <x v="282"/>
    <n v="941.33"/>
    <n v="1041.82"/>
    <n v="0.26949661130943142"/>
    <x v="7"/>
    <x v="0"/>
    <n v="16"/>
    <x v="218"/>
    <s v="Retail"/>
    <x v="2"/>
  </r>
  <r>
    <x v="289"/>
    <d v="2023-07-06T00:00:00"/>
    <x v="3"/>
    <x v="3"/>
    <n v="968"/>
    <n v="4"/>
    <n v="0"/>
    <x v="283"/>
    <n v="578.63"/>
    <n v="1557.48"/>
    <n v="0.40224173553719011"/>
    <x v="1"/>
    <x v="0"/>
    <n v="27"/>
    <x v="219"/>
    <s v="Wholesale"/>
    <x v="0"/>
  </r>
  <r>
    <x v="290"/>
    <d v="2023-09-29T00:00:00"/>
    <x v="0"/>
    <x v="0"/>
    <n v="2038"/>
    <n v="2"/>
    <n v="5"/>
    <x v="284"/>
    <n v="1612.92"/>
    <n v="646.35"/>
    <n v="0.1669206136046692"/>
    <x v="8"/>
    <x v="0"/>
    <n v="39"/>
    <x v="220"/>
    <s v="Wholesale"/>
    <x v="0"/>
  </r>
  <r>
    <x v="291"/>
    <d v="2023-04-17T00:00:00"/>
    <x v="4"/>
    <x v="3"/>
    <n v="4572"/>
    <n v="1"/>
    <n v="15"/>
    <x v="285"/>
    <n v="2969.83"/>
    <n v="916.37"/>
    <n v="0.23580103957593537"/>
    <x v="7"/>
    <x v="0"/>
    <n v="16"/>
    <x v="221"/>
    <s v="Retail"/>
    <x v="2"/>
  </r>
  <r>
    <x v="292"/>
    <d v="2023-08-15T00:00:00"/>
    <x v="0"/>
    <x v="0"/>
    <n v="4100"/>
    <n v="1"/>
    <n v="5"/>
    <x v="286"/>
    <n v="2133.9899999999998"/>
    <n v="1761.01"/>
    <n v="0.45212066752246471"/>
    <x v="6"/>
    <x v="0"/>
    <n v="33"/>
    <x v="222"/>
    <s v="Retail"/>
    <x v="3"/>
  </r>
  <r>
    <x v="293"/>
    <d v="2023-01-15T00:00:00"/>
    <x v="5"/>
    <x v="4"/>
    <n v="1368"/>
    <n v="3"/>
    <n v="5"/>
    <x v="287"/>
    <n v="1067.44"/>
    <n v="696.48"/>
    <n v="0.17863958140966452"/>
    <x v="0"/>
    <x v="0"/>
    <n v="3"/>
    <x v="41"/>
    <s v="Retail"/>
    <x v="3"/>
  </r>
  <r>
    <x v="294"/>
    <d v="2023-05-20T00:00:00"/>
    <x v="4"/>
    <x v="3"/>
    <n v="823"/>
    <n v="5"/>
    <n v="5"/>
    <x v="288"/>
    <n v="633.42999999999995"/>
    <n v="742.1"/>
    <n v="0.18983180917055703"/>
    <x v="2"/>
    <x v="0"/>
    <n v="20"/>
    <x v="194"/>
    <s v="Wholesale"/>
    <x v="0"/>
  </r>
  <r>
    <x v="295"/>
    <d v="2023-10-08T00:00:00"/>
    <x v="2"/>
    <x v="2"/>
    <n v="3911"/>
    <n v="1"/>
    <n v="0"/>
    <x v="289"/>
    <n v="2190.4"/>
    <n v="1720.6"/>
    <n v="0.43993863462030169"/>
    <x v="11"/>
    <x v="0"/>
    <n v="41"/>
    <x v="223"/>
    <s v="Retail"/>
    <x v="2"/>
  </r>
  <r>
    <x v="296"/>
    <d v="2023-01-17T00:00:00"/>
    <x v="5"/>
    <x v="4"/>
    <n v="3912"/>
    <n v="1"/>
    <n v="0"/>
    <x v="290"/>
    <n v="2069.4"/>
    <n v="1842.6"/>
    <n v="0.47101226993865031"/>
    <x v="0"/>
    <x v="0"/>
    <n v="3"/>
    <x v="224"/>
    <s v="Wholesale"/>
    <x v="0"/>
  </r>
  <r>
    <x v="297"/>
    <d v="2023-04-11T00:00:00"/>
    <x v="3"/>
    <x v="3"/>
    <n v="4126"/>
    <n v="1"/>
    <n v="5"/>
    <x v="291"/>
    <n v="2619.6799999999998"/>
    <n v="1300.02"/>
    <n v="0.33166313748501164"/>
    <x v="7"/>
    <x v="0"/>
    <n v="15"/>
    <x v="225"/>
    <s v="Wholesale"/>
    <x v="1"/>
  </r>
  <r>
    <x v="298"/>
    <d v="2023-08-31T00:00:00"/>
    <x v="2"/>
    <x v="2"/>
    <n v="2187"/>
    <n v="2"/>
    <n v="10"/>
    <x v="292"/>
    <n v="1269.81"/>
    <n v="1396.98"/>
    <n v="0.35486968449931416"/>
    <x v="6"/>
    <x v="0"/>
    <n v="35"/>
    <x v="60"/>
    <s v="Wholesale"/>
    <x v="3"/>
  </r>
  <r>
    <x v="299"/>
    <d v="2023-08-11T00:00:00"/>
    <x v="6"/>
    <x v="0"/>
    <n v="1036"/>
    <n v="4"/>
    <n v="5"/>
    <x v="293"/>
    <n v="802.06"/>
    <n v="728.58"/>
    <n v="0.18506909164803903"/>
    <x v="6"/>
    <x v="0"/>
    <n v="32"/>
    <x v="226"/>
    <s v="Wholesale"/>
    <x v="3"/>
  </r>
  <r>
    <x v="300"/>
    <d v="2023-01-07T00:00:00"/>
    <x v="1"/>
    <x v="1"/>
    <n v="1971"/>
    <n v="2"/>
    <n v="0"/>
    <x v="294"/>
    <n v="1172.51"/>
    <n v="1596.97"/>
    <n v="0.40511669203450024"/>
    <x v="0"/>
    <x v="0"/>
    <n v="1"/>
    <x v="227"/>
    <s v="Retail"/>
    <x v="3"/>
  </r>
  <r>
    <x v="301"/>
    <d v="2023-02-22T00:00:00"/>
    <x v="6"/>
    <x v="0"/>
    <n v="1980"/>
    <n v="2"/>
    <n v="0"/>
    <x v="295"/>
    <n v="1221.23"/>
    <n v="1517.55"/>
    <n v="0.38321969696969693"/>
    <x v="3"/>
    <x v="0"/>
    <n v="8"/>
    <x v="29"/>
    <s v="Wholesale"/>
    <x v="3"/>
  </r>
  <r>
    <x v="302"/>
    <d v="2023-11-21T00:00:00"/>
    <x v="9"/>
    <x v="5"/>
    <n v="1321"/>
    <n v="3"/>
    <n v="0"/>
    <x v="296"/>
    <n v="918.85"/>
    <n v="1206.44"/>
    <n v="0.30442593994448652"/>
    <x v="4"/>
    <x v="0"/>
    <n v="47"/>
    <x v="23"/>
    <s v="Retail"/>
    <x v="3"/>
  </r>
  <r>
    <x v="303"/>
    <d v="2023-09-14T00:00:00"/>
    <x v="4"/>
    <x v="3"/>
    <n v="4180"/>
    <n v="1"/>
    <n v="5"/>
    <x v="297"/>
    <n v="3194.63"/>
    <n v="776.37"/>
    <n v="0.19550994711659531"/>
    <x v="8"/>
    <x v="0"/>
    <n v="37"/>
    <x v="228"/>
    <s v="Retail"/>
    <x v="3"/>
  </r>
  <r>
    <x v="304"/>
    <d v="2023-09-18T00:00:00"/>
    <x v="1"/>
    <x v="1"/>
    <n v="4684"/>
    <n v="1"/>
    <n v="15"/>
    <x v="298"/>
    <n v="2827.76"/>
    <n v="1153.6400000000001"/>
    <n v="0.28975737177877131"/>
    <x v="8"/>
    <x v="0"/>
    <n v="38"/>
    <x v="159"/>
    <s v="Retail"/>
    <x v="0"/>
  </r>
  <r>
    <x v="305"/>
    <d v="2023-11-18T00:00:00"/>
    <x v="1"/>
    <x v="1"/>
    <n v="3982"/>
    <n v="1"/>
    <n v="0"/>
    <x v="299"/>
    <n v="1993.17"/>
    <n v="1988.83"/>
    <n v="0.49945504771471622"/>
    <x v="4"/>
    <x v="0"/>
    <n v="46"/>
    <x v="229"/>
    <s v="Retail"/>
    <x v="2"/>
  </r>
  <r>
    <x v="306"/>
    <d v="2023-08-24T00:00:00"/>
    <x v="5"/>
    <x v="4"/>
    <n v="1426"/>
    <n v="3"/>
    <n v="5"/>
    <x v="300"/>
    <n v="1013.65"/>
    <n v="1023.16"/>
    <n v="0.25175561624960013"/>
    <x v="6"/>
    <x v="0"/>
    <n v="34"/>
    <x v="3"/>
    <s v="Wholesale"/>
    <x v="2"/>
  </r>
  <r>
    <x v="307"/>
    <d v="2023-11-11T00:00:00"/>
    <x v="7"/>
    <x v="1"/>
    <n v="1506"/>
    <n v="3"/>
    <n v="10"/>
    <x v="301"/>
    <n v="784.29"/>
    <n v="1713.34"/>
    <n v="0.4213614677094093"/>
    <x v="4"/>
    <x v="0"/>
    <n v="45"/>
    <x v="230"/>
    <s v="Retail"/>
    <x v="3"/>
  </r>
  <r>
    <x v="308"/>
    <d v="2023-07-09T00:00:00"/>
    <x v="6"/>
    <x v="0"/>
    <n v="4535"/>
    <n v="1"/>
    <n v="10"/>
    <x v="302"/>
    <n v="3617.9"/>
    <n v="463.6"/>
    <n v="0.11358569153497489"/>
    <x v="1"/>
    <x v="0"/>
    <n v="28"/>
    <x v="231"/>
    <s v="Retail"/>
    <x v="3"/>
  </r>
  <r>
    <x v="309"/>
    <d v="2023-09-05T00:00:00"/>
    <x v="8"/>
    <x v="2"/>
    <n v="4086"/>
    <n v="1"/>
    <n v="0"/>
    <x v="303"/>
    <n v="2995.8"/>
    <n v="1090.2"/>
    <n v="0.26681350954478711"/>
    <x v="8"/>
    <x v="0"/>
    <n v="36"/>
    <x v="232"/>
    <s v="Wholesale"/>
    <x v="1"/>
  </r>
  <r>
    <x v="310"/>
    <d v="2023-08-06T00:00:00"/>
    <x v="2"/>
    <x v="2"/>
    <n v="4304"/>
    <n v="1"/>
    <n v="5"/>
    <x v="304"/>
    <n v="2500.5100000000002"/>
    <n v="1588.29"/>
    <n v="0.38844893367247113"/>
    <x v="6"/>
    <x v="0"/>
    <n v="32"/>
    <x v="230"/>
    <s v="Wholesale"/>
    <x v="2"/>
  </r>
  <r>
    <x v="311"/>
    <d v="2023-11-01T00:00:00"/>
    <x v="1"/>
    <x v="1"/>
    <n v="1440"/>
    <n v="3"/>
    <n v="5"/>
    <x v="305"/>
    <n v="1033.7"/>
    <n v="1002.89"/>
    <n v="0.24436890838206626"/>
    <x v="4"/>
    <x v="0"/>
    <n v="44"/>
    <x v="61"/>
    <s v="Retail"/>
    <x v="1"/>
  </r>
  <r>
    <x v="312"/>
    <d v="2023-06-16T00:00:00"/>
    <x v="9"/>
    <x v="5"/>
    <n v="4830"/>
    <n v="1"/>
    <n v="15"/>
    <x v="306"/>
    <n v="2716.52"/>
    <n v="1388.98"/>
    <n v="0.33832176348800391"/>
    <x v="10"/>
    <x v="0"/>
    <n v="24"/>
    <x v="101"/>
    <s v="Retail"/>
    <x v="3"/>
  </r>
  <r>
    <x v="313"/>
    <d v="2023-07-19T00:00:00"/>
    <x v="8"/>
    <x v="2"/>
    <n v="1441"/>
    <n v="3"/>
    <n v="5"/>
    <x v="307"/>
    <n v="872.83"/>
    <n v="1488.37"/>
    <n v="0.36241158065183771"/>
    <x v="1"/>
    <x v="0"/>
    <n v="29"/>
    <x v="233"/>
    <s v="Retail"/>
    <x v="3"/>
  </r>
  <r>
    <x v="314"/>
    <d v="2023-04-18T00:00:00"/>
    <x v="3"/>
    <x v="3"/>
    <n v="1622"/>
    <n v="3"/>
    <n v="15"/>
    <x v="308"/>
    <n v="1044.1500000000001"/>
    <n v="1003.66"/>
    <n v="0.24265854307197599"/>
    <x v="7"/>
    <x v="0"/>
    <n v="16"/>
    <x v="65"/>
    <s v="Wholesale"/>
    <x v="0"/>
  </r>
  <r>
    <x v="315"/>
    <d v="2023-07-29T00:00:00"/>
    <x v="4"/>
    <x v="3"/>
    <n v="4356"/>
    <n v="1"/>
    <n v="5"/>
    <x v="309"/>
    <n v="2646.05"/>
    <n v="1492.15"/>
    <n v="0.36057947900053167"/>
    <x v="1"/>
    <x v="0"/>
    <n v="30"/>
    <x v="3"/>
    <s v="Retail"/>
    <x v="0"/>
  </r>
  <r>
    <x v="316"/>
    <d v="2023-02-26T00:00:00"/>
    <x v="9"/>
    <x v="5"/>
    <n v="1150"/>
    <n v="4"/>
    <n v="10"/>
    <x v="310"/>
    <n v="778.82"/>
    <n v="1024.74"/>
    <n v="0.24752173913043479"/>
    <x v="3"/>
    <x v="0"/>
    <n v="9"/>
    <x v="234"/>
    <s v="Wholesale"/>
    <x v="1"/>
  </r>
  <r>
    <x v="317"/>
    <d v="2023-04-23T00:00:00"/>
    <x v="8"/>
    <x v="2"/>
    <n v="829"/>
    <n v="5"/>
    <n v="0"/>
    <x v="311"/>
    <n v="658.46"/>
    <n v="852.7"/>
    <n v="0.20571773220747891"/>
    <x v="7"/>
    <x v="0"/>
    <n v="17"/>
    <x v="160"/>
    <s v="Wholesale"/>
    <x v="2"/>
  </r>
  <r>
    <x v="318"/>
    <d v="2023-11-11T00:00:00"/>
    <x v="8"/>
    <x v="2"/>
    <n v="1459"/>
    <n v="3"/>
    <n v="5"/>
    <x v="312"/>
    <n v="1078.24"/>
    <n v="923.42"/>
    <n v="0.22207472072917042"/>
    <x v="4"/>
    <x v="0"/>
    <n v="45"/>
    <x v="235"/>
    <s v="Wholesale"/>
    <x v="0"/>
  </r>
  <r>
    <x v="319"/>
    <d v="2023-04-30T00:00:00"/>
    <x v="5"/>
    <x v="4"/>
    <n v="1464"/>
    <n v="3"/>
    <n v="5"/>
    <x v="313"/>
    <n v="816.36"/>
    <n v="1723.33"/>
    <n v="0.41303086952353563"/>
    <x v="7"/>
    <x v="0"/>
    <n v="18"/>
    <x v="61"/>
    <s v="Retail"/>
    <x v="1"/>
  </r>
  <r>
    <x v="320"/>
    <d v="2023-05-03T00:00:00"/>
    <x v="5"/>
    <x v="4"/>
    <n v="4173"/>
    <n v="1"/>
    <n v="0"/>
    <x v="314"/>
    <n v="2250.16"/>
    <n v="1922.84"/>
    <n v="0.46078121255691346"/>
    <x v="2"/>
    <x v="0"/>
    <n v="18"/>
    <x v="236"/>
    <s v="Retail"/>
    <x v="1"/>
  </r>
  <r>
    <x v="321"/>
    <d v="2023-01-13T00:00:00"/>
    <x v="0"/>
    <x v="0"/>
    <n v="4408"/>
    <n v="1"/>
    <n v="5"/>
    <x v="315"/>
    <n v="2718.81"/>
    <n v="1468.79"/>
    <n v="0.35074744483713816"/>
    <x v="0"/>
    <x v="0"/>
    <n v="2"/>
    <x v="237"/>
    <s v="Wholesale"/>
    <x v="0"/>
  </r>
  <r>
    <x v="322"/>
    <d v="2023-10-21T00:00:00"/>
    <x v="6"/>
    <x v="0"/>
    <n v="822"/>
    <n v="6"/>
    <n v="15"/>
    <x v="316"/>
    <n v="605.09"/>
    <n v="561.66999999999996"/>
    <n v="0.13397977195744479"/>
    <x v="11"/>
    <x v="0"/>
    <n v="42"/>
    <x v="191"/>
    <s v="Retail"/>
    <x v="0"/>
  </r>
  <r>
    <x v="323"/>
    <d v="2023-06-12T00:00:00"/>
    <x v="2"/>
    <x v="2"/>
    <n v="4436"/>
    <n v="1"/>
    <n v="5"/>
    <x v="317"/>
    <n v="2524.73"/>
    <n v="1689.47"/>
    <n v="0.40089934032556596"/>
    <x v="10"/>
    <x v="0"/>
    <n v="24"/>
    <x v="238"/>
    <s v="Wholesale"/>
    <x v="0"/>
  </r>
  <r>
    <x v="324"/>
    <d v="2023-07-22T00:00:00"/>
    <x v="5"/>
    <x v="4"/>
    <n v="1565"/>
    <n v="3"/>
    <n v="10"/>
    <x v="318"/>
    <n v="1249.6400000000001"/>
    <n v="476.59"/>
    <n v="0.11278901905099988"/>
    <x v="1"/>
    <x v="0"/>
    <n v="29"/>
    <x v="239"/>
    <s v="Retail"/>
    <x v="2"/>
  </r>
  <r>
    <x v="325"/>
    <d v="2023-08-28T00:00:00"/>
    <x v="6"/>
    <x v="0"/>
    <n v="1112"/>
    <n v="4"/>
    <n v="5"/>
    <x v="319"/>
    <n v="584.15"/>
    <n v="1888.98"/>
    <n v="0.44703237410071939"/>
    <x v="6"/>
    <x v="0"/>
    <n v="35"/>
    <x v="31"/>
    <s v="Retail"/>
    <x v="3"/>
  </r>
  <r>
    <x v="326"/>
    <d v="2023-10-30T00:00:00"/>
    <x v="3"/>
    <x v="3"/>
    <n v="4999"/>
    <n v="1"/>
    <n v="15"/>
    <x v="320"/>
    <n v="3328.79"/>
    <n v="920.36"/>
    <n v="0.21659861384041518"/>
    <x v="11"/>
    <x v="0"/>
    <n v="44"/>
    <x v="223"/>
    <s v="Retail"/>
    <x v="0"/>
  </r>
  <r>
    <x v="327"/>
    <d v="2023-02-20T00:00:00"/>
    <x v="4"/>
    <x v="3"/>
    <n v="2505"/>
    <n v="2"/>
    <n v="15"/>
    <x v="321"/>
    <n v="1866.48"/>
    <n v="525.54"/>
    <n v="0.12340965128566396"/>
    <x v="3"/>
    <x v="0"/>
    <n v="8"/>
    <x v="240"/>
    <s v="Wholesale"/>
    <x v="0"/>
  </r>
  <r>
    <x v="328"/>
    <d v="2023-07-02T00:00:00"/>
    <x v="8"/>
    <x v="2"/>
    <n v="1581"/>
    <n v="3"/>
    <n v="10"/>
    <x v="322"/>
    <n v="1176.45"/>
    <n v="739.36"/>
    <n v="0.17320495701267366"/>
    <x v="1"/>
    <x v="0"/>
    <n v="27"/>
    <x v="11"/>
    <s v="Wholesale"/>
    <x v="1"/>
  </r>
  <r>
    <x v="329"/>
    <d v="2023-12-16T00:00:00"/>
    <x v="8"/>
    <x v="2"/>
    <n v="1425"/>
    <n v="3"/>
    <n v="0"/>
    <x v="323"/>
    <n v="846.49"/>
    <n v="1735.54"/>
    <n v="0.40597426900584793"/>
    <x v="9"/>
    <x v="0"/>
    <n v="50"/>
    <x v="241"/>
    <s v="Retail"/>
    <x v="2"/>
  </r>
  <r>
    <x v="330"/>
    <d v="2023-05-10T00:00:00"/>
    <x v="8"/>
    <x v="2"/>
    <n v="2518"/>
    <n v="2"/>
    <n v="15"/>
    <x v="324"/>
    <n v="1384.96"/>
    <n v="1510.68"/>
    <n v="0.35291314301733401"/>
    <x v="2"/>
    <x v="0"/>
    <n v="19"/>
    <x v="207"/>
    <s v="Wholesale"/>
    <x v="0"/>
  </r>
  <r>
    <x v="331"/>
    <d v="2023-03-19T00:00:00"/>
    <x v="0"/>
    <x v="0"/>
    <n v="2268"/>
    <n v="2"/>
    <n v="5"/>
    <x v="325"/>
    <n v="1327.79"/>
    <n v="1653.62"/>
    <n v="0.38374176181193725"/>
    <x v="5"/>
    <x v="0"/>
    <n v="12"/>
    <x v="242"/>
    <s v="Retail"/>
    <x v="3"/>
  </r>
  <r>
    <x v="332"/>
    <d v="2023-06-27T00:00:00"/>
    <x v="4"/>
    <x v="3"/>
    <n v="1199"/>
    <n v="4"/>
    <n v="10"/>
    <x v="326"/>
    <n v="681.04"/>
    <n v="1592.24"/>
    <n v="0.36888147530349369"/>
    <x v="10"/>
    <x v="0"/>
    <n v="26"/>
    <x v="98"/>
    <s v="Wholesale"/>
    <x v="1"/>
  </r>
  <r>
    <x v="333"/>
    <d v="2023-05-24T00:00:00"/>
    <x v="9"/>
    <x v="5"/>
    <n v="2160"/>
    <n v="2"/>
    <n v="0"/>
    <x v="327"/>
    <n v="1130.21"/>
    <n v="2059.5700000000002"/>
    <n v="0.47675231481481484"/>
    <x v="2"/>
    <x v="0"/>
    <n v="21"/>
    <x v="243"/>
    <s v="Wholesale"/>
    <x v="2"/>
  </r>
  <r>
    <x v="334"/>
    <d v="2023-10-15T00:00:00"/>
    <x v="1"/>
    <x v="1"/>
    <n v="2274"/>
    <n v="2"/>
    <n v="5"/>
    <x v="328"/>
    <n v="1182.97"/>
    <n v="1954.66"/>
    <n v="0.45240475859834278"/>
    <x v="11"/>
    <x v="0"/>
    <n v="42"/>
    <x v="244"/>
    <s v="Wholesale"/>
    <x v="0"/>
  </r>
  <r>
    <x v="335"/>
    <d v="2023-07-22T00:00:00"/>
    <x v="9"/>
    <x v="5"/>
    <n v="2401"/>
    <n v="2"/>
    <n v="10"/>
    <x v="329"/>
    <n v="1272.68"/>
    <n v="1776.44"/>
    <n v="0.41104169558980053"/>
    <x v="1"/>
    <x v="0"/>
    <n v="29"/>
    <x v="245"/>
    <s v="Wholesale"/>
    <x v="3"/>
  </r>
  <r>
    <x v="336"/>
    <d v="2023-05-03T00:00:00"/>
    <x v="6"/>
    <x v="0"/>
    <n v="963"/>
    <n v="5"/>
    <n v="10"/>
    <x v="330"/>
    <n v="733.77"/>
    <n v="664.63"/>
    <n v="0.15337025499019269"/>
    <x v="2"/>
    <x v="0"/>
    <n v="18"/>
    <x v="132"/>
    <s v="Retail"/>
    <x v="1"/>
  </r>
  <r>
    <x v="337"/>
    <d v="2023-11-10T00:00:00"/>
    <x v="4"/>
    <x v="3"/>
    <n v="2553"/>
    <n v="2"/>
    <n v="15"/>
    <x v="331"/>
    <n v="1885.7"/>
    <n v="568.71"/>
    <n v="0.13103615124075482"/>
    <x v="4"/>
    <x v="0"/>
    <n v="45"/>
    <x v="246"/>
    <s v="Wholesale"/>
    <x v="0"/>
  </r>
  <r>
    <x v="338"/>
    <d v="2023-06-23T00:00:00"/>
    <x v="6"/>
    <x v="0"/>
    <n v="1527"/>
    <n v="3"/>
    <n v="5"/>
    <x v="332"/>
    <n v="1145.52"/>
    <n v="915.4"/>
    <n v="0.21034249014809453"/>
    <x v="10"/>
    <x v="0"/>
    <n v="25"/>
    <x v="39"/>
    <s v="Retail"/>
    <x v="2"/>
  </r>
  <r>
    <x v="339"/>
    <d v="2023-01-27T00:00:00"/>
    <x v="1"/>
    <x v="1"/>
    <n v="1529"/>
    <n v="3"/>
    <n v="5"/>
    <x v="333"/>
    <n v="1189.8499999999999"/>
    <n v="788.09"/>
    <n v="0.18085206475967552"/>
    <x v="0"/>
    <x v="0"/>
    <n v="4"/>
    <x v="39"/>
    <s v="Retail"/>
    <x v="2"/>
  </r>
  <r>
    <x v="340"/>
    <d v="2023-08-06T00:00:00"/>
    <x v="3"/>
    <x v="3"/>
    <n v="1530"/>
    <n v="3"/>
    <n v="5"/>
    <x v="334"/>
    <n v="895.07"/>
    <n v="1675.3"/>
    <n v="0.38419905974085539"/>
    <x v="6"/>
    <x v="0"/>
    <n v="32"/>
    <x v="117"/>
    <s v="Wholesale"/>
    <x v="1"/>
  </r>
  <r>
    <x v="341"/>
    <d v="2023-05-16T00:00:00"/>
    <x v="3"/>
    <x v="3"/>
    <n v="2565"/>
    <n v="2"/>
    <n v="15"/>
    <x v="334"/>
    <n v="1528.15"/>
    <n v="1304.19"/>
    <n v="0.29909184726522187"/>
    <x v="2"/>
    <x v="0"/>
    <n v="20"/>
    <x v="233"/>
    <s v="Wholesale"/>
    <x v="0"/>
  </r>
  <r>
    <x v="342"/>
    <d v="2023-02-12T00:00:00"/>
    <x v="0"/>
    <x v="0"/>
    <n v="4847"/>
    <n v="1"/>
    <n v="10"/>
    <x v="335"/>
    <n v="2976.71"/>
    <n v="1385.59"/>
    <n v="0.31762831533823899"/>
    <x v="3"/>
    <x v="0"/>
    <n v="7"/>
    <x v="247"/>
    <s v="Wholesale"/>
    <x v="3"/>
  </r>
  <r>
    <x v="343"/>
    <d v="2023-01-07T00:00:00"/>
    <x v="6"/>
    <x v="0"/>
    <n v="1531"/>
    <n v="3"/>
    <n v="5"/>
    <x v="336"/>
    <n v="792.33"/>
    <n v="1986.35"/>
    <n v="0.45523508313566408"/>
    <x v="0"/>
    <x v="0"/>
    <n v="1"/>
    <x v="248"/>
    <s v="Retail"/>
    <x v="2"/>
  </r>
  <r>
    <x v="344"/>
    <d v="2023-01-06T00:00:00"/>
    <x v="6"/>
    <x v="0"/>
    <n v="919"/>
    <n v="5"/>
    <n v="5"/>
    <x v="337"/>
    <n v="697.72"/>
    <n v="876.67"/>
    <n v="0.20082927667373002"/>
    <x v="0"/>
    <x v="0"/>
    <n v="1"/>
    <x v="249"/>
    <s v="Wholesale"/>
    <x v="3"/>
  </r>
  <r>
    <x v="345"/>
    <d v="2023-12-29T00:00:00"/>
    <x v="1"/>
    <x v="1"/>
    <n v="4861"/>
    <n v="1"/>
    <n v="10"/>
    <x v="338"/>
    <n v="3849.16"/>
    <n v="525.74"/>
    <n v="0.12017188964319185"/>
    <x v="9"/>
    <x v="0"/>
    <n v="52"/>
    <x v="250"/>
    <s v="Retail"/>
    <x v="1"/>
  </r>
  <r>
    <x v="346"/>
    <d v="2023-01-09T00:00:00"/>
    <x v="6"/>
    <x v="0"/>
    <n v="2434"/>
    <n v="2"/>
    <n v="10"/>
    <x v="339"/>
    <n v="1227.6400000000001"/>
    <n v="1925.93"/>
    <n v="0.43958961015246967"/>
    <x v="0"/>
    <x v="0"/>
    <n v="2"/>
    <x v="251"/>
    <s v="Wholesale"/>
    <x v="2"/>
  </r>
  <r>
    <x v="347"/>
    <d v="2023-11-14T00:00:00"/>
    <x v="6"/>
    <x v="0"/>
    <n v="2311"/>
    <n v="2"/>
    <n v="5"/>
    <x v="340"/>
    <n v="1583.46"/>
    <n v="1223.98"/>
    <n v="0.27875378623972308"/>
    <x v="4"/>
    <x v="0"/>
    <n v="46"/>
    <x v="252"/>
    <s v="Wholesale"/>
    <x v="3"/>
  </r>
  <r>
    <x v="348"/>
    <d v="2023-08-04T00:00:00"/>
    <x v="3"/>
    <x v="3"/>
    <n v="1098"/>
    <n v="4"/>
    <n v="0"/>
    <x v="341"/>
    <n v="733.66"/>
    <n v="1457.34"/>
    <n v="0.33181693989071037"/>
    <x v="6"/>
    <x v="0"/>
    <n v="31"/>
    <x v="253"/>
    <s v="Retail"/>
    <x v="2"/>
  </r>
  <r>
    <x v="349"/>
    <d v="2023-01-20T00:00:00"/>
    <x v="5"/>
    <x v="4"/>
    <n v="1222"/>
    <n v="4"/>
    <n v="10"/>
    <x v="342"/>
    <n v="746.43"/>
    <n v="1413.49"/>
    <n v="0.32130614657210405"/>
    <x v="0"/>
    <x v="0"/>
    <n v="3"/>
    <x v="254"/>
    <s v="Retail"/>
    <x v="1"/>
  </r>
  <r>
    <x v="350"/>
    <d v="2023-04-02T00:00:00"/>
    <x v="6"/>
    <x v="0"/>
    <n v="4411"/>
    <n v="1"/>
    <n v="0"/>
    <x v="343"/>
    <n v="2955.08"/>
    <n v="1455.92"/>
    <n v="0.3300657447290864"/>
    <x v="7"/>
    <x v="0"/>
    <n v="14"/>
    <x v="255"/>
    <s v="Wholesale"/>
    <x v="3"/>
  </r>
  <r>
    <x v="351"/>
    <d v="2023-06-26T00:00:00"/>
    <x v="2"/>
    <x v="2"/>
    <n v="1551"/>
    <n v="3"/>
    <n v="5"/>
    <x v="344"/>
    <n v="850.49"/>
    <n v="1868.89"/>
    <n v="0.42279231282590746"/>
    <x v="10"/>
    <x v="0"/>
    <n v="26"/>
    <x v="256"/>
    <s v="Retail"/>
    <x v="2"/>
  </r>
  <r>
    <x v="352"/>
    <d v="2023-03-27T00:00:00"/>
    <x v="4"/>
    <x v="3"/>
    <n v="2330"/>
    <n v="2"/>
    <n v="5"/>
    <x v="345"/>
    <n v="1397.22"/>
    <n v="1632.55"/>
    <n v="0.36877117686921163"/>
    <x v="5"/>
    <x v="0"/>
    <n v="13"/>
    <x v="86"/>
    <s v="Retail"/>
    <x v="0"/>
  </r>
  <r>
    <x v="353"/>
    <d v="2023-03-11T00:00:00"/>
    <x v="0"/>
    <x v="0"/>
    <n v="1043"/>
    <n v="5"/>
    <n v="15"/>
    <x v="346"/>
    <n v="598.77"/>
    <n v="1438.88"/>
    <n v="0.32460210930009592"/>
    <x v="5"/>
    <x v="0"/>
    <n v="10"/>
    <x v="161"/>
    <s v="Retail"/>
    <x v="1"/>
  </r>
  <r>
    <x v="354"/>
    <d v="2023-10-08T00:00:00"/>
    <x v="1"/>
    <x v="1"/>
    <n v="1234"/>
    <n v="4"/>
    <n v="10"/>
    <x v="347"/>
    <n v="709.45"/>
    <n v="1604.62"/>
    <n v="0.36120565460111653"/>
    <x v="11"/>
    <x v="0"/>
    <n v="41"/>
    <x v="109"/>
    <s v="Retail"/>
    <x v="1"/>
  </r>
  <r>
    <x v="355"/>
    <d v="2023-06-18T00:00:00"/>
    <x v="0"/>
    <x v="0"/>
    <n v="889"/>
    <n v="5"/>
    <n v="0"/>
    <x v="348"/>
    <n v="472.68"/>
    <n v="2081.59"/>
    <n v="0.46829921259842522"/>
    <x v="10"/>
    <x v="0"/>
    <n v="25"/>
    <x v="154"/>
    <s v="Wholesale"/>
    <x v="2"/>
  </r>
  <r>
    <x v="356"/>
    <d v="2023-03-23T00:00:00"/>
    <x v="5"/>
    <x v="4"/>
    <n v="2616"/>
    <n v="2"/>
    <n v="15"/>
    <x v="349"/>
    <n v="1553.48"/>
    <n v="1340.24"/>
    <n v="0.30136715236553341"/>
    <x v="5"/>
    <x v="0"/>
    <n v="12"/>
    <x v="257"/>
    <s v="Wholesale"/>
    <x v="2"/>
  </r>
  <r>
    <x v="357"/>
    <d v="2023-02-23T00:00:00"/>
    <x v="1"/>
    <x v="1"/>
    <n v="1648"/>
    <n v="3"/>
    <n v="10"/>
    <x v="350"/>
    <n v="1042.92"/>
    <n v="1320.83"/>
    <n v="0.29684241280115065"/>
    <x v="3"/>
    <x v="0"/>
    <n v="8"/>
    <x v="92"/>
    <s v="Retail"/>
    <x v="2"/>
  </r>
  <r>
    <x v="358"/>
    <d v="2023-02-19T00:00:00"/>
    <x v="1"/>
    <x v="1"/>
    <n v="4945"/>
    <n v="1"/>
    <n v="10"/>
    <x v="351"/>
    <n v="3954.29"/>
    <n v="496.21"/>
    <n v="0.11149533760251656"/>
    <x v="3"/>
    <x v="0"/>
    <n v="8"/>
    <x v="258"/>
    <s v="Wholesale"/>
    <x v="3"/>
  </r>
  <r>
    <x v="359"/>
    <d v="2023-03-24T00:00:00"/>
    <x v="0"/>
    <x v="0"/>
    <n v="4955"/>
    <n v="1"/>
    <n v="10"/>
    <x v="352"/>
    <n v="3417"/>
    <n v="1042.5"/>
    <n v="0.2337706020854356"/>
    <x v="5"/>
    <x v="0"/>
    <n v="12"/>
    <x v="259"/>
    <s v="Retail"/>
    <x v="2"/>
  </r>
  <r>
    <x v="360"/>
    <d v="2023-02-16T00:00:00"/>
    <x v="1"/>
    <x v="1"/>
    <n v="2628"/>
    <n v="2"/>
    <n v="15"/>
    <x v="353"/>
    <n v="2013.18"/>
    <n v="441.24"/>
    <n v="9.8764437281762013E-2"/>
    <x v="3"/>
    <x v="0"/>
    <n v="7"/>
    <x v="244"/>
    <s v="Retail"/>
    <x v="0"/>
  </r>
  <r>
    <x v="361"/>
    <d v="2023-08-29T00:00:00"/>
    <x v="6"/>
    <x v="0"/>
    <n v="1571"/>
    <n v="3"/>
    <n v="5"/>
    <x v="354"/>
    <n v="1097.3599999999999"/>
    <n v="1185.26"/>
    <n v="0.26472355299451683"/>
    <x v="6"/>
    <x v="0"/>
    <n v="35"/>
    <x v="257"/>
    <s v="Wholesale"/>
    <x v="1"/>
  </r>
  <r>
    <x v="362"/>
    <d v="2023-02-05T00:00:00"/>
    <x v="4"/>
    <x v="3"/>
    <n v="896"/>
    <n v="5"/>
    <n v="0"/>
    <x v="355"/>
    <n v="491.46"/>
    <n v="2022.68"/>
    <n v="0.45149107142857142"/>
    <x v="3"/>
    <x v="0"/>
    <n v="6"/>
    <x v="260"/>
    <s v="Retail"/>
    <x v="0"/>
  </r>
  <r>
    <x v="363"/>
    <d v="2023-12-25T00:00:00"/>
    <x v="5"/>
    <x v="4"/>
    <n v="4720"/>
    <n v="1"/>
    <n v="5"/>
    <x v="356"/>
    <n v="2497.9299999999998"/>
    <n v="1986.07"/>
    <n v="0.44292372881355929"/>
    <x v="9"/>
    <x v="0"/>
    <n v="52"/>
    <x v="46"/>
    <s v="Wholesale"/>
    <x v="0"/>
  </r>
  <r>
    <x v="364"/>
    <d v="2023-02-09T00:00:00"/>
    <x v="3"/>
    <x v="3"/>
    <n v="949"/>
    <n v="5"/>
    <n v="5"/>
    <x v="357"/>
    <n v="584.01"/>
    <n v="1587.71"/>
    <n v="0.35221784704120684"/>
    <x v="3"/>
    <x v="0"/>
    <n v="6"/>
    <x v="261"/>
    <s v="Retail"/>
    <x v="2"/>
  </r>
  <r>
    <x v="365"/>
    <d v="2023-09-03T00:00:00"/>
    <x v="9"/>
    <x v="5"/>
    <n v="4530"/>
    <n v="1"/>
    <n v="0"/>
    <x v="358"/>
    <n v="3442.42"/>
    <n v="1087.58"/>
    <n v="0.24008388520971302"/>
    <x v="8"/>
    <x v="0"/>
    <n v="36"/>
    <x v="131"/>
    <s v="Retail"/>
    <x v="1"/>
  </r>
  <r>
    <x v="366"/>
    <d v="2023-07-01T00:00:00"/>
    <x v="4"/>
    <x v="3"/>
    <n v="907"/>
    <n v="5"/>
    <n v="0"/>
    <x v="359"/>
    <n v="491.47"/>
    <n v="2077.63"/>
    <n v="0.45813230429988977"/>
    <x v="1"/>
    <x v="0"/>
    <n v="26"/>
    <x v="81"/>
    <s v="Retail"/>
    <x v="3"/>
  </r>
  <r>
    <x v="367"/>
    <d v="2023-05-06T00:00:00"/>
    <x v="2"/>
    <x v="2"/>
    <n v="4794"/>
    <n v="1"/>
    <n v="5"/>
    <x v="360"/>
    <n v="2785.98"/>
    <n v="1768.32"/>
    <n v="0.38827481720571766"/>
    <x v="2"/>
    <x v="0"/>
    <n v="18"/>
    <x v="262"/>
    <s v="Retail"/>
    <x v="2"/>
  </r>
  <r>
    <x v="368"/>
    <d v="2023-04-11T00:00:00"/>
    <x v="4"/>
    <x v="3"/>
    <n v="1199"/>
    <n v="4"/>
    <n v="5"/>
    <x v="361"/>
    <n v="813.05"/>
    <n v="1303.99"/>
    <n v="0.28620122031517492"/>
    <x v="7"/>
    <x v="0"/>
    <n v="15"/>
    <x v="38"/>
    <s v="Retail"/>
    <x v="3"/>
  </r>
  <r>
    <x v="369"/>
    <d v="2023-01-24T00:00:00"/>
    <x v="3"/>
    <x v="3"/>
    <n v="4803"/>
    <n v="1"/>
    <n v="5"/>
    <x v="362"/>
    <n v="3410.47"/>
    <n v="1152.3800000000001"/>
    <n v="0.2525570641156295"/>
    <x v="0"/>
    <x v="0"/>
    <n v="4"/>
    <x v="183"/>
    <s v="Wholesale"/>
    <x v="0"/>
  </r>
  <r>
    <x v="370"/>
    <d v="2023-04-10T00:00:00"/>
    <x v="3"/>
    <x v="3"/>
    <n v="1793"/>
    <n v="3"/>
    <n v="15"/>
    <x v="363"/>
    <n v="1228.57"/>
    <n v="886.44"/>
    <n v="0.19387815360388441"/>
    <x v="7"/>
    <x v="0"/>
    <n v="15"/>
    <x v="102"/>
    <s v="Wholesale"/>
    <x v="2"/>
  </r>
  <r>
    <x v="371"/>
    <d v="2023-05-04T00:00:00"/>
    <x v="2"/>
    <x v="2"/>
    <n v="2545"/>
    <n v="2"/>
    <n v="10"/>
    <x v="364"/>
    <n v="1633.85"/>
    <n v="1313.31"/>
    <n v="0.28668631303208902"/>
    <x v="2"/>
    <x v="0"/>
    <n v="18"/>
    <x v="79"/>
    <s v="Wholesale"/>
    <x v="1"/>
  </r>
  <r>
    <x v="372"/>
    <d v="2023-10-28T00:00:00"/>
    <x v="5"/>
    <x v="4"/>
    <n v="1080"/>
    <n v="5"/>
    <n v="15"/>
    <x v="365"/>
    <n v="706.29"/>
    <n v="1058.54"/>
    <n v="0.23061873638344227"/>
    <x v="11"/>
    <x v="0"/>
    <n v="43"/>
    <x v="46"/>
    <s v="Wholesale"/>
    <x v="0"/>
  </r>
  <r>
    <x v="373"/>
    <d v="2023-09-20T00:00:00"/>
    <x v="9"/>
    <x v="5"/>
    <n v="4591"/>
    <n v="1"/>
    <n v="0"/>
    <x v="366"/>
    <n v="3608.67"/>
    <n v="982.33"/>
    <n v="0.21396863428446963"/>
    <x v="8"/>
    <x v="0"/>
    <n v="38"/>
    <x v="88"/>
    <s v="Retail"/>
    <x v="2"/>
  </r>
  <r>
    <x v="374"/>
    <d v="2023-06-11T00:00:00"/>
    <x v="7"/>
    <x v="1"/>
    <n v="2420"/>
    <n v="2"/>
    <n v="5"/>
    <x v="367"/>
    <n v="1480.84"/>
    <n v="1636.32"/>
    <n v="0.35587646802957806"/>
    <x v="10"/>
    <x v="0"/>
    <n v="24"/>
    <x v="263"/>
    <s v="Wholesale"/>
    <x v="2"/>
  </r>
  <r>
    <x v="375"/>
    <d v="2023-12-12T00:00:00"/>
    <x v="2"/>
    <x v="2"/>
    <n v="4619"/>
    <n v="1"/>
    <n v="0"/>
    <x v="368"/>
    <n v="3434.16"/>
    <n v="1184.8399999999999"/>
    <n v="0.25651439705563972"/>
    <x v="9"/>
    <x v="0"/>
    <n v="50"/>
    <x v="58"/>
    <s v="Wholesale"/>
    <x v="0"/>
  </r>
  <r>
    <x v="376"/>
    <d v="2023-06-25T00:00:00"/>
    <x v="7"/>
    <x v="1"/>
    <n v="4626"/>
    <n v="1"/>
    <n v="0"/>
    <x v="369"/>
    <n v="2495.9699999999998"/>
    <n v="2130.0300000000002"/>
    <n v="0.46044747081712067"/>
    <x v="10"/>
    <x v="0"/>
    <n v="26"/>
    <x v="193"/>
    <s v="Wholesale"/>
    <x v="1"/>
  </r>
  <r>
    <x v="377"/>
    <d v="2023-04-01T00:00:00"/>
    <x v="4"/>
    <x v="3"/>
    <n v="2580"/>
    <n v="2"/>
    <n v="10"/>
    <x v="370"/>
    <n v="1529.55"/>
    <n v="1584.9"/>
    <n v="0.34127906976744188"/>
    <x v="7"/>
    <x v="0"/>
    <n v="13"/>
    <x v="264"/>
    <s v="Retail"/>
    <x v="0"/>
  </r>
  <r>
    <x v="378"/>
    <d v="2023-05-01T00:00:00"/>
    <x v="9"/>
    <x v="5"/>
    <n v="4893"/>
    <n v="1"/>
    <n v="5"/>
    <x v="371"/>
    <n v="3180.94"/>
    <n v="1467.41"/>
    <n v="0.31568405993524584"/>
    <x v="2"/>
    <x v="0"/>
    <n v="18"/>
    <x v="265"/>
    <s v="Wholesale"/>
    <x v="1"/>
  </r>
  <r>
    <x v="379"/>
    <d v="2023-01-25T00:00:00"/>
    <x v="5"/>
    <x v="4"/>
    <n v="1823"/>
    <n v="3"/>
    <n v="15"/>
    <x v="372"/>
    <n v="1438.74"/>
    <n v="332.42"/>
    <n v="7.1508932700891661E-2"/>
    <x v="0"/>
    <x v="0"/>
    <n v="4"/>
    <x v="110"/>
    <s v="Retail"/>
    <x v="3"/>
  </r>
  <r>
    <x v="380"/>
    <d v="2023-05-22T00:00:00"/>
    <x v="8"/>
    <x v="2"/>
    <n v="2735"/>
    <n v="2"/>
    <n v="15"/>
    <x v="373"/>
    <n v="1817.2"/>
    <n v="1015.1"/>
    <n v="0.21832455102699216"/>
    <x v="2"/>
    <x v="0"/>
    <n v="21"/>
    <x v="266"/>
    <s v="Retail"/>
    <x v="3"/>
  </r>
  <r>
    <x v="381"/>
    <d v="2023-06-22T00:00:00"/>
    <x v="5"/>
    <x v="4"/>
    <n v="2742"/>
    <n v="2"/>
    <n v="15"/>
    <x v="374"/>
    <n v="1507"/>
    <n v="1647.41"/>
    <n v="0.35341528296220026"/>
    <x v="10"/>
    <x v="0"/>
    <n v="25"/>
    <x v="267"/>
    <s v="Wholesale"/>
    <x v="0"/>
  </r>
  <r>
    <x v="382"/>
    <d v="2023-01-09T00:00:00"/>
    <x v="8"/>
    <x v="2"/>
    <n v="4686"/>
    <n v="1"/>
    <n v="0"/>
    <x v="375"/>
    <n v="2813.01"/>
    <n v="1872.99"/>
    <n v="0.39969910371318823"/>
    <x v="0"/>
    <x v="0"/>
    <n v="2"/>
    <x v="192"/>
    <s v="Wholesale"/>
    <x v="3"/>
  </r>
  <r>
    <x v="383"/>
    <d v="2023-06-03T00:00:00"/>
    <x v="6"/>
    <x v="0"/>
    <n v="2354"/>
    <n v="2"/>
    <n v="0"/>
    <x v="376"/>
    <n v="1735.15"/>
    <n v="1237.7"/>
    <n v="0.26289294817332204"/>
    <x v="10"/>
    <x v="0"/>
    <n v="22"/>
    <x v="268"/>
    <s v="Retail"/>
    <x v="1"/>
  </r>
  <r>
    <x v="384"/>
    <d v="2023-10-21T00:00:00"/>
    <x v="4"/>
    <x v="3"/>
    <n v="1652"/>
    <n v="3"/>
    <n v="5"/>
    <x v="377"/>
    <n v="1242.3900000000001"/>
    <n v="981.02"/>
    <n v="0.20836413066564718"/>
    <x v="11"/>
    <x v="0"/>
    <n v="42"/>
    <x v="62"/>
    <s v="Retail"/>
    <x v="1"/>
  </r>
  <r>
    <x v="385"/>
    <d v="2023-06-01T00:00:00"/>
    <x v="0"/>
    <x v="0"/>
    <n v="1570"/>
    <n v="3"/>
    <n v="0"/>
    <x v="378"/>
    <n v="1132.3900000000001"/>
    <n v="1312.84"/>
    <n v="0.27873460721868365"/>
    <x v="10"/>
    <x v="0"/>
    <n v="22"/>
    <x v="269"/>
    <s v="Wholesale"/>
    <x v="2"/>
  </r>
  <r>
    <x v="386"/>
    <d v="2023-03-24T00:00:00"/>
    <x v="5"/>
    <x v="4"/>
    <n v="4964"/>
    <n v="1"/>
    <n v="5"/>
    <x v="379"/>
    <n v="2725.03"/>
    <n v="1990.77"/>
    <n v="0.42214894609610243"/>
    <x v="5"/>
    <x v="0"/>
    <n v="12"/>
    <x v="270"/>
    <s v="Retail"/>
    <x v="1"/>
  </r>
  <r>
    <x v="387"/>
    <d v="2023-09-29T00:00:00"/>
    <x v="2"/>
    <x v="2"/>
    <n v="4732"/>
    <n v="1"/>
    <n v="0"/>
    <x v="380"/>
    <n v="2748.48"/>
    <n v="1983.52"/>
    <n v="0.41917159763313611"/>
    <x v="8"/>
    <x v="0"/>
    <n v="39"/>
    <x v="271"/>
    <s v="Retail"/>
    <x v="2"/>
  </r>
  <r>
    <x v="388"/>
    <d v="2023-12-03T00:00:00"/>
    <x v="9"/>
    <x v="5"/>
    <n v="4734"/>
    <n v="1"/>
    <n v="0"/>
    <x v="381"/>
    <n v="3479.44"/>
    <n v="1254.56"/>
    <n v="0.26501056189269118"/>
    <x v="9"/>
    <x v="0"/>
    <n v="49"/>
    <x v="272"/>
    <s v="Wholesale"/>
    <x v="1"/>
  </r>
  <r>
    <x v="389"/>
    <d v="2023-10-29T00:00:00"/>
    <x v="5"/>
    <x v="4"/>
    <n v="4735"/>
    <n v="1"/>
    <n v="0"/>
    <x v="382"/>
    <n v="2855.84"/>
    <n v="1879.16"/>
    <n v="0.3968658922914467"/>
    <x v="11"/>
    <x v="0"/>
    <n v="44"/>
    <x v="173"/>
    <s v="Retail"/>
    <x v="3"/>
  </r>
  <r>
    <x v="390"/>
    <d v="2023-01-06T00:00:00"/>
    <x v="9"/>
    <x v="5"/>
    <n v="1756"/>
    <n v="3"/>
    <n v="10"/>
    <x v="383"/>
    <n v="1367.32"/>
    <n v="639.23"/>
    <n v="0.13482451699991566"/>
    <x v="0"/>
    <x v="0"/>
    <n v="1"/>
    <x v="4"/>
    <s v="Retail"/>
    <x v="0"/>
  </r>
  <r>
    <x v="391"/>
    <d v="2023-10-03T00:00:00"/>
    <x v="3"/>
    <x v="3"/>
    <n v="2386"/>
    <n v="2"/>
    <n v="0"/>
    <x v="384"/>
    <n v="1819.6"/>
    <n v="1132.79"/>
    <n v="0.23738264878457668"/>
    <x v="11"/>
    <x v="0"/>
    <n v="40"/>
    <x v="273"/>
    <s v="Wholesale"/>
    <x v="2"/>
  </r>
  <r>
    <x v="392"/>
    <d v="2023-05-26T00:00:00"/>
    <x v="9"/>
    <x v="5"/>
    <n v="1123"/>
    <n v="5"/>
    <n v="15"/>
    <x v="385"/>
    <n v="814.6"/>
    <n v="699.73"/>
    <n v="0.14660939709810905"/>
    <x v="2"/>
    <x v="0"/>
    <n v="21"/>
    <x v="274"/>
    <s v="Retail"/>
    <x v="2"/>
  </r>
  <r>
    <x v="393"/>
    <d v="2023-01-18T00:00:00"/>
    <x v="6"/>
    <x v="0"/>
    <n v="2393"/>
    <n v="2"/>
    <n v="0"/>
    <x v="386"/>
    <n v="1754.19"/>
    <n v="1277.6300000000001"/>
    <n v="0.26695152528207272"/>
    <x v="0"/>
    <x v="0"/>
    <n v="3"/>
    <x v="275"/>
    <s v="Retail"/>
    <x v="2"/>
  </r>
  <r>
    <x v="394"/>
    <d v="2023-12-26T00:00:00"/>
    <x v="6"/>
    <x v="0"/>
    <n v="2822"/>
    <n v="2"/>
    <n v="15"/>
    <x v="387"/>
    <n v="1794.67"/>
    <n v="1208.06"/>
    <n v="0.25181556676533123"/>
    <x v="9"/>
    <x v="0"/>
    <n v="52"/>
    <x v="276"/>
    <s v="Retail"/>
    <x v="2"/>
  </r>
  <r>
    <x v="395"/>
    <d v="2023-01-19T00:00:00"/>
    <x v="3"/>
    <x v="3"/>
    <n v="1601"/>
    <n v="3"/>
    <n v="0"/>
    <x v="388"/>
    <n v="1100.77"/>
    <n v="1500.7"/>
    <n v="0.31245055173849678"/>
    <x v="0"/>
    <x v="0"/>
    <n v="3"/>
    <x v="124"/>
    <s v="Retail"/>
    <x v="2"/>
  </r>
  <r>
    <x v="396"/>
    <d v="2023-12-22T00:00:00"/>
    <x v="4"/>
    <x v="3"/>
    <n v="1018"/>
    <n v="5"/>
    <n v="5"/>
    <x v="389"/>
    <n v="551.54999999999995"/>
    <n v="2077.7600000000002"/>
    <n v="0.42968876021093999"/>
    <x v="9"/>
    <x v="0"/>
    <n v="51"/>
    <x v="125"/>
    <s v="Wholesale"/>
    <x v="0"/>
  </r>
  <r>
    <x v="397"/>
    <d v="2023-11-17T00:00:00"/>
    <x v="5"/>
    <x v="4"/>
    <n v="1077"/>
    <n v="5"/>
    <n v="10"/>
    <x v="390"/>
    <n v="785.22"/>
    <n v="920.39"/>
    <n v="0.18990818116166305"/>
    <x v="4"/>
    <x v="0"/>
    <n v="46"/>
    <x v="164"/>
    <s v="Retail"/>
    <x v="2"/>
  </r>
  <r>
    <x v="398"/>
    <d v="2023-07-09T00:00:00"/>
    <x v="7"/>
    <x v="1"/>
    <n v="4847"/>
    <n v="1"/>
    <n v="0"/>
    <x v="391"/>
    <n v="3140.25"/>
    <n v="1706.75"/>
    <n v="0.35212502578914795"/>
    <x v="1"/>
    <x v="0"/>
    <n v="28"/>
    <x v="277"/>
    <s v="Retail"/>
    <x v="3"/>
  </r>
  <r>
    <x v="399"/>
    <d v="2023-10-25T00:00:00"/>
    <x v="1"/>
    <x v="1"/>
    <n v="1797"/>
    <n v="3"/>
    <n v="10"/>
    <x v="392"/>
    <n v="1192.01"/>
    <n v="1275.8800000000001"/>
    <n v="0.26296502401121213"/>
    <x v="11"/>
    <x v="0"/>
    <n v="43"/>
    <x v="278"/>
    <s v="Retail"/>
    <x v="2"/>
  </r>
  <r>
    <x v="400"/>
    <d v="2023-01-13T00:00:00"/>
    <x v="3"/>
    <x v="3"/>
    <n v="2699"/>
    <n v="2"/>
    <n v="10"/>
    <x v="393"/>
    <n v="1516.46"/>
    <n v="1825.27"/>
    <n v="0.37570911037009591"/>
    <x v="0"/>
    <x v="0"/>
    <n v="2"/>
    <x v="272"/>
    <s v="Retail"/>
    <x v="2"/>
  </r>
  <r>
    <x v="401"/>
    <d v="2023-07-20T00:00:00"/>
    <x v="4"/>
    <x v="3"/>
    <n v="2559"/>
    <n v="2"/>
    <n v="5"/>
    <x v="394"/>
    <n v="1325"/>
    <n v="2212.11"/>
    <n v="0.45497007465909789"/>
    <x v="1"/>
    <x v="0"/>
    <n v="29"/>
    <x v="279"/>
    <s v="Wholesale"/>
    <x v="2"/>
  </r>
  <r>
    <x v="402"/>
    <d v="2023-02-25T00:00:00"/>
    <x v="3"/>
    <x v="3"/>
    <n v="1621"/>
    <n v="3"/>
    <n v="0"/>
    <x v="395"/>
    <n v="882.32"/>
    <n v="2216.0300000000002"/>
    <n v="0.45569195969566118"/>
    <x v="3"/>
    <x v="0"/>
    <n v="8"/>
    <x v="118"/>
    <s v="Retail"/>
    <x v="2"/>
  </r>
  <r>
    <x v="403"/>
    <d v="2023-01-29T00:00:00"/>
    <x v="3"/>
    <x v="3"/>
    <n v="4872"/>
    <n v="1"/>
    <n v="0"/>
    <x v="396"/>
    <n v="2531.6999999999998"/>
    <n v="2340.3000000000002"/>
    <n v="0.48035714285714287"/>
    <x v="0"/>
    <x v="0"/>
    <n v="5"/>
    <x v="262"/>
    <s v="Retail"/>
    <x v="0"/>
  </r>
  <r>
    <x v="404"/>
    <d v="2023-08-20T00:00:00"/>
    <x v="0"/>
    <x v="0"/>
    <n v="1147"/>
    <n v="5"/>
    <n v="15"/>
    <x v="397"/>
    <n v="852.31"/>
    <n v="613.20000000000005"/>
    <n v="0.12579106620852351"/>
    <x v="6"/>
    <x v="0"/>
    <n v="34"/>
    <x v="40"/>
    <s v="Retail"/>
    <x v="2"/>
  </r>
  <r>
    <x v="405"/>
    <d v="2023-06-12T00:00:00"/>
    <x v="3"/>
    <x v="3"/>
    <n v="1029"/>
    <n v="5"/>
    <n v="5"/>
    <x v="398"/>
    <n v="652.05999999999995"/>
    <n v="1627.45"/>
    <n v="0.33296506572553836"/>
    <x v="10"/>
    <x v="0"/>
    <n v="24"/>
    <x v="48"/>
    <s v="Wholesale"/>
    <x v="0"/>
  </r>
  <r>
    <x v="406"/>
    <d v="2023-12-17T00:00:00"/>
    <x v="2"/>
    <x v="2"/>
    <n v="4902"/>
    <n v="1"/>
    <n v="0"/>
    <x v="399"/>
    <n v="3012.9"/>
    <n v="1889.1"/>
    <n v="0.38537331701346389"/>
    <x v="9"/>
    <x v="0"/>
    <n v="51"/>
    <x v="59"/>
    <s v="Wholesale"/>
    <x v="3"/>
  </r>
  <r>
    <x v="407"/>
    <d v="2023-03-25T00:00:00"/>
    <x v="1"/>
    <x v="1"/>
    <n v="2884"/>
    <n v="2"/>
    <n v="15"/>
    <x v="400"/>
    <n v="1990.03"/>
    <n v="922.74"/>
    <n v="0.18820673900628213"/>
    <x v="5"/>
    <x v="0"/>
    <n v="12"/>
    <x v="280"/>
    <s v="Retail"/>
    <x v="3"/>
  </r>
  <r>
    <x v="408"/>
    <d v="2023-08-23T00:00:00"/>
    <x v="2"/>
    <x v="2"/>
    <n v="1365"/>
    <n v="4"/>
    <n v="10"/>
    <x v="401"/>
    <n v="722.03"/>
    <n v="2025.9"/>
    <n v="0.41227106227106231"/>
    <x v="6"/>
    <x v="0"/>
    <n v="34"/>
    <x v="169"/>
    <s v="Wholesale"/>
    <x v="3"/>
  </r>
  <r>
    <x v="409"/>
    <d v="2023-05-09T00:00:00"/>
    <x v="2"/>
    <x v="2"/>
    <n v="1825"/>
    <n v="3"/>
    <n v="10"/>
    <x v="402"/>
    <n v="1208.8499999999999"/>
    <n v="1300.96"/>
    <n v="0.26402029426686963"/>
    <x v="2"/>
    <x v="0"/>
    <n v="19"/>
    <x v="281"/>
    <s v="Retail"/>
    <x v="1"/>
  </r>
  <r>
    <x v="410"/>
    <d v="2023-08-31T00:00:00"/>
    <x v="1"/>
    <x v="1"/>
    <n v="2760"/>
    <n v="2"/>
    <n v="10"/>
    <x v="403"/>
    <n v="1643.69"/>
    <n v="1680.61"/>
    <n v="0.338287037037037"/>
    <x v="6"/>
    <x v="0"/>
    <n v="35"/>
    <x v="116"/>
    <s v="Retail"/>
    <x v="0"/>
  </r>
  <r>
    <x v="411"/>
    <d v="2023-01-13T00:00:00"/>
    <x v="5"/>
    <x v="4"/>
    <n v="4979"/>
    <n v="1"/>
    <n v="0"/>
    <x v="404"/>
    <n v="2727.17"/>
    <n v="2251.83"/>
    <n v="0.45226551516368746"/>
    <x v="0"/>
    <x v="0"/>
    <n v="2"/>
    <x v="0"/>
    <s v="Retail"/>
    <x v="1"/>
  </r>
  <r>
    <x v="412"/>
    <d v="2023-02-08T00:00:00"/>
    <x v="1"/>
    <x v="1"/>
    <n v="4993"/>
    <n v="1"/>
    <n v="0"/>
    <x v="405"/>
    <n v="2823.8"/>
    <n v="2169.1999999999998"/>
    <n v="0.43444822751852591"/>
    <x v="3"/>
    <x v="0"/>
    <n v="6"/>
    <x v="151"/>
    <s v="Retail"/>
    <x v="0"/>
  </r>
  <r>
    <x v="413"/>
    <d v="2023-11-05T00:00:00"/>
    <x v="5"/>
    <x v="4"/>
    <n v="2944"/>
    <n v="2"/>
    <n v="15"/>
    <x v="406"/>
    <n v="1814.56"/>
    <n v="1375.68"/>
    <n v="0.27487212276214834"/>
    <x v="4"/>
    <x v="0"/>
    <n v="45"/>
    <x v="156"/>
    <s v="Retail"/>
    <x v="0"/>
  </r>
  <r>
    <x v="414"/>
    <d v="2023-03-21T00:00:00"/>
    <x v="3"/>
    <x v="3"/>
    <n v="2948"/>
    <n v="2"/>
    <n v="15"/>
    <x v="407"/>
    <n v="1571.53"/>
    <n v="1868.54"/>
    <n v="0.37284300423018596"/>
    <x v="5"/>
    <x v="0"/>
    <n v="12"/>
    <x v="109"/>
    <s v="Wholesale"/>
    <x v="2"/>
  </r>
  <r>
    <x v="415"/>
    <d v="2023-05-02T00:00:00"/>
    <x v="5"/>
    <x v="4"/>
    <n v="2948"/>
    <n v="2"/>
    <n v="15"/>
    <x v="407"/>
    <n v="1875.49"/>
    <n v="1260.6199999999999"/>
    <n v="0.25154042621118999"/>
    <x v="2"/>
    <x v="0"/>
    <n v="18"/>
    <x v="282"/>
    <s v="Retail"/>
    <x v="1"/>
  </r>
  <r>
    <x v="416"/>
    <d v="2023-05-08T00:00:00"/>
    <x v="5"/>
    <x v="4"/>
    <n v="2523"/>
    <n v="2"/>
    <n v="0"/>
    <x v="408"/>
    <n v="1920.73"/>
    <n v="1204.54"/>
    <n v="0.23871185097106618"/>
    <x v="2"/>
    <x v="0"/>
    <n v="19"/>
    <x v="135"/>
    <s v="Retail"/>
    <x v="0"/>
  </r>
  <r>
    <x v="417"/>
    <d v="2023-04-22T00:00:00"/>
    <x v="0"/>
    <x v="0"/>
    <n v="1011"/>
    <n v="5"/>
    <n v="0"/>
    <x v="409"/>
    <n v="723.97"/>
    <n v="1435.14"/>
    <n v="0.28390504451038578"/>
    <x v="7"/>
    <x v="0"/>
    <n v="16"/>
    <x v="244"/>
    <s v="Wholesale"/>
    <x v="1"/>
  </r>
  <r>
    <x v="418"/>
    <d v="2023-02-01T00:00:00"/>
    <x v="7"/>
    <x v="1"/>
    <n v="2979"/>
    <n v="2"/>
    <n v="15"/>
    <x v="410"/>
    <n v="2167.77"/>
    <n v="728.76"/>
    <n v="0.14390142764054262"/>
    <x v="3"/>
    <x v="0"/>
    <n v="5"/>
    <x v="283"/>
    <s v="Retail"/>
    <x v="0"/>
  </r>
  <r>
    <x v="419"/>
    <d v="2023-09-29T00:00:00"/>
    <x v="8"/>
    <x v="2"/>
    <n v="1988"/>
    <n v="3"/>
    <n v="15"/>
    <x v="411"/>
    <n v="1043.69"/>
    <n v="1938.34"/>
    <n v="0.38236083165660634"/>
    <x v="8"/>
    <x v="0"/>
    <n v="39"/>
    <x v="207"/>
    <s v="Wholesale"/>
    <x v="3"/>
  </r>
  <r>
    <x v="420"/>
    <d v="2023-07-02T00:00:00"/>
    <x v="1"/>
    <x v="1"/>
    <n v="2982"/>
    <n v="2"/>
    <n v="15"/>
    <x v="411"/>
    <n v="2090.7800000000002"/>
    <n v="887.85"/>
    <n v="0.17513906971239201"/>
    <x v="1"/>
    <x v="0"/>
    <n v="27"/>
    <x v="284"/>
    <s v="Retail"/>
    <x v="2"/>
  </r>
  <r>
    <x v="421"/>
    <d v="2023-04-24T00:00:00"/>
    <x v="5"/>
    <x v="4"/>
    <n v="2544"/>
    <n v="2"/>
    <n v="0"/>
    <x v="412"/>
    <n v="1762.98"/>
    <n v="1562.04"/>
    <n v="0.30700471698113208"/>
    <x v="7"/>
    <x v="0"/>
    <n v="17"/>
    <x v="44"/>
    <s v="Wholesale"/>
    <x v="3"/>
  </r>
  <r>
    <x v="422"/>
    <d v="2023-03-04T00:00:00"/>
    <x v="9"/>
    <x v="5"/>
    <n v="1018"/>
    <n v="5"/>
    <n v="0"/>
    <x v="413"/>
    <n v="641.16"/>
    <n v="1884.22"/>
    <n v="0.37018074656188604"/>
    <x v="5"/>
    <x v="0"/>
    <n v="9"/>
    <x v="285"/>
    <s v="Retail"/>
    <x v="3"/>
  </r>
  <r>
    <x v="423"/>
    <d v="2023-06-15T00:00:00"/>
    <x v="6"/>
    <x v="0"/>
    <n v="1786"/>
    <n v="3"/>
    <n v="5"/>
    <x v="414"/>
    <n v="1090.6099999999999"/>
    <n v="1818.28"/>
    <n v="0.35721891514901472"/>
    <x v="10"/>
    <x v="0"/>
    <n v="24"/>
    <x v="286"/>
    <s v="Wholesale"/>
    <x v="3"/>
  </r>
  <r>
    <x v="424"/>
    <d v="2023-07-22T00:00:00"/>
    <x v="1"/>
    <x v="1"/>
    <n v="2686"/>
    <n v="2"/>
    <n v="5"/>
    <x v="415"/>
    <n v="1674.5"/>
    <n v="1754.4"/>
    <n v="0.34377081945369758"/>
    <x v="1"/>
    <x v="0"/>
    <n v="29"/>
    <x v="287"/>
    <s v="Retail"/>
    <x v="1"/>
  </r>
  <r>
    <x v="425"/>
    <d v="2023-12-10T00:00:00"/>
    <x v="5"/>
    <x v="4"/>
    <n v="2837"/>
    <n v="2"/>
    <n v="10"/>
    <x v="416"/>
    <n v="2104.04"/>
    <n v="898.52"/>
    <n v="0.17595268867739786"/>
    <x v="9"/>
    <x v="0"/>
    <n v="50"/>
    <x v="104"/>
    <s v="Retail"/>
    <x v="1"/>
  </r>
  <r>
    <x v="426"/>
    <d v="2023-10-28T00:00:00"/>
    <x v="6"/>
    <x v="0"/>
    <n v="861"/>
    <n v="7"/>
    <n v="15"/>
    <x v="417"/>
    <n v="476.69"/>
    <n v="1786.13"/>
    <n v="0.34865263178442113"/>
    <x v="11"/>
    <x v="0"/>
    <n v="43"/>
    <x v="32"/>
    <s v="Wholesale"/>
    <x v="1"/>
  </r>
  <r>
    <x v="427"/>
    <d v="2023-05-10T00:00:00"/>
    <x v="1"/>
    <x v="1"/>
    <n v="899"/>
    <n v="6"/>
    <n v="5"/>
    <x v="418"/>
    <n v="697.12"/>
    <n v="941.56"/>
    <n v="0.18374412114825439"/>
    <x v="2"/>
    <x v="0"/>
    <n v="19"/>
    <x v="139"/>
    <s v="Retail"/>
    <x v="1"/>
  </r>
  <r>
    <x v="428"/>
    <d v="2023-12-17T00:00:00"/>
    <x v="9"/>
    <x v="5"/>
    <n v="1509"/>
    <n v="4"/>
    <n v="15"/>
    <x v="419"/>
    <n v="1110.6199999999999"/>
    <n v="688.13"/>
    <n v="0.13412271469223871"/>
    <x v="9"/>
    <x v="0"/>
    <n v="51"/>
    <x v="288"/>
    <s v="Wholesale"/>
    <x v="3"/>
  </r>
  <r>
    <x v="429"/>
    <d v="2023-12-19T00:00:00"/>
    <x v="3"/>
    <x v="3"/>
    <n v="3018"/>
    <n v="2"/>
    <n v="15"/>
    <x v="419"/>
    <n v="2230.91"/>
    <n v="668.78"/>
    <n v="0.13035122597746851"/>
    <x v="9"/>
    <x v="0"/>
    <n v="51"/>
    <x v="178"/>
    <s v="Retail"/>
    <x v="0"/>
  </r>
  <r>
    <x v="430"/>
    <d v="2023-06-08T00:00:00"/>
    <x v="4"/>
    <x v="3"/>
    <n v="2585"/>
    <n v="2"/>
    <n v="0"/>
    <x v="420"/>
    <n v="1889.41"/>
    <n v="1391.17"/>
    <n v="0.26908510638297872"/>
    <x v="10"/>
    <x v="0"/>
    <n v="23"/>
    <x v="289"/>
    <s v="Wholesale"/>
    <x v="0"/>
  </r>
  <r>
    <x v="431"/>
    <d v="2023-07-30T00:00:00"/>
    <x v="8"/>
    <x v="2"/>
    <n v="1090"/>
    <n v="5"/>
    <n v="5"/>
    <x v="421"/>
    <n v="776.09"/>
    <n v="1297.04"/>
    <n v="0.25051472718493478"/>
    <x v="1"/>
    <x v="0"/>
    <n v="31"/>
    <x v="77"/>
    <s v="Retail"/>
    <x v="1"/>
  </r>
  <r>
    <x v="432"/>
    <d v="2023-06-11T00:00:00"/>
    <x v="8"/>
    <x v="2"/>
    <n v="873"/>
    <n v="7"/>
    <n v="15"/>
    <x v="422"/>
    <n v="564.38"/>
    <n v="1243.71"/>
    <n v="0.23943515550550115"/>
    <x v="10"/>
    <x v="0"/>
    <n v="24"/>
    <x v="246"/>
    <s v="Retail"/>
    <x v="1"/>
  </r>
  <r>
    <x v="433"/>
    <d v="2023-12-29T00:00:00"/>
    <x v="7"/>
    <x v="1"/>
    <n v="1111"/>
    <n v="5"/>
    <n v="5"/>
    <x v="423"/>
    <n v="848.32"/>
    <n v="1035.67"/>
    <n v="0.1962518357098868"/>
    <x v="9"/>
    <x v="0"/>
    <n v="52"/>
    <x v="290"/>
    <s v="Retail"/>
    <x v="1"/>
  </r>
  <r>
    <x v="434"/>
    <d v="2023-10-06T00:00:00"/>
    <x v="5"/>
    <x v="4"/>
    <n v="1173"/>
    <n v="5"/>
    <n v="10"/>
    <x v="424"/>
    <n v="830.59"/>
    <n v="1125.55"/>
    <n v="0.2132329260206498"/>
    <x v="11"/>
    <x v="0"/>
    <n v="40"/>
    <x v="291"/>
    <s v="Retail"/>
    <x v="1"/>
  </r>
  <r>
    <x v="435"/>
    <d v="2023-09-08T00:00:00"/>
    <x v="7"/>
    <x v="1"/>
    <n v="2935"/>
    <n v="2"/>
    <n v="10"/>
    <x v="425"/>
    <n v="2090.58"/>
    <n v="1101.8399999999999"/>
    <n v="0.2085633162975582"/>
    <x v="8"/>
    <x v="0"/>
    <n v="36"/>
    <x v="279"/>
    <s v="Wholesale"/>
    <x v="0"/>
  </r>
  <r>
    <x v="436"/>
    <d v="2023-07-16T00:00:00"/>
    <x v="3"/>
    <x v="3"/>
    <n v="2936"/>
    <n v="2"/>
    <n v="10"/>
    <x v="426"/>
    <n v="1832.12"/>
    <n v="1620.56"/>
    <n v="0.30664547381168633"/>
    <x v="1"/>
    <x v="0"/>
    <n v="29"/>
    <x v="135"/>
    <s v="Wholesale"/>
    <x v="3"/>
  </r>
  <r>
    <x v="437"/>
    <d v="2023-11-13T00:00:00"/>
    <x v="4"/>
    <x v="3"/>
    <n v="2940"/>
    <n v="2"/>
    <n v="10"/>
    <x v="427"/>
    <n v="2103.61"/>
    <n v="1084.77"/>
    <n v="0.20498299319727892"/>
    <x v="4"/>
    <x v="0"/>
    <n v="46"/>
    <x v="139"/>
    <s v="Retail"/>
    <x v="2"/>
  </r>
  <r>
    <x v="438"/>
    <d v="2023-03-31T00:00:00"/>
    <x v="0"/>
    <x v="0"/>
    <n v="2652"/>
    <n v="2"/>
    <n v="0"/>
    <x v="428"/>
    <n v="1590.91"/>
    <n v="2122.19"/>
    <n v="0.40011123680241328"/>
    <x v="5"/>
    <x v="0"/>
    <n v="13"/>
    <x v="198"/>
    <s v="Wholesale"/>
    <x v="0"/>
  </r>
  <r>
    <x v="439"/>
    <d v="2023-03-10T00:00:00"/>
    <x v="9"/>
    <x v="5"/>
    <n v="1187"/>
    <n v="5"/>
    <n v="10"/>
    <x v="429"/>
    <n v="809.59"/>
    <n v="1293.53"/>
    <n v="0.2421660582233455"/>
    <x v="5"/>
    <x v="0"/>
    <n v="10"/>
    <x v="292"/>
    <s v="Retail"/>
    <x v="3"/>
  </r>
  <r>
    <x v="440"/>
    <d v="2023-09-20T00:00:00"/>
    <x v="2"/>
    <x v="2"/>
    <n v="1336"/>
    <n v="4"/>
    <n v="0"/>
    <x v="430"/>
    <n v="1066.04"/>
    <n v="1079.8599999999999"/>
    <n v="0.2020696107784431"/>
    <x v="8"/>
    <x v="0"/>
    <n v="38"/>
    <x v="142"/>
    <s v="Wholesale"/>
    <x v="2"/>
  </r>
  <r>
    <x v="441"/>
    <d v="2023-08-26T00:00:00"/>
    <x v="5"/>
    <x v="4"/>
    <n v="1408"/>
    <n v="4"/>
    <n v="5"/>
    <x v="431"/>
    <n v="1045.1099999999999"/>
    <n v="1169.94"/>
    <n v="0.21866402511961724"/>
    <x v="6"/>
    <x v="0"/>
    <n v="34"/>
    <x v="293"/>
    <s v="Retail"/>
    <x v="3"/>
  </r>
  <r>
    <x v="442"/>
    <d v="2023-09-04T00:00:00"/>
    <x v="0"/>
    <x v="0"/>
    <n v="1879"/>
    <n v="3"/>
    <n v="5"/>
    <x v="432"/>
    <n v="1485.89"/>
    <n v="897.49"/>
    <n v="0.16759381156456871"/>
    <x v="8"/>
    <x v="0"/>
    <n v="36"/>
    <x v="294"/>
    <s v="Retail"/>
    <x v="2"/>
  </r>
  <r>
    <x v="443"/>
    <d v="2023-07-09T00:00:00"/>
    <x v="4"/>
    <x v="3"/>
    <n v="994"/>
    <n v="6"/>
    <n v="10"/>
    <x v="433"/>
    <n v="654.12"/>
    <n v="1442.9"/>
    <n v="0.2688166033236456"/>
    <x v="1"/>
    <x v="0"/>
    <n v="28"/>
    <x v="89"/>
    <s v="Retail"/>
    <x v="0"/>
  </r>
  <r>
    <x v="444"/>
    <d v="2023-11-30T00:00:00"/>
    <x v="7"/>
    <x v="1"/>
    <n v="1793"/>
    <n v="3"/>
    <n v="0"/>
    <x v="434"/>
    <n v="1072.52"/>
    <n v="2161.44"/>
    <n v="0.40182933630786394"/>
    <x v="4"/>
    <x v="0"/>
    <n v="48"/>
    <x v="295"/>
    <s v="Wholesale"/>
    <x v="3"/>
  </r>
  <r>
    <x v="445"/>
    <d v="2023-01-02T00:00:00"/>
    <x v="9"/>
    <x v="5"/>
    <n v="2114"/>
    <n v="3"/>
    <n v="15"/>
    <x v="435"/>
    <n v="1441.47"/>
    <n v="1066.28"/>
    <n v="0.1977999146678539"/>
    <x v="0"/>
    <x v="0"/>
    <n v="1"/>
    <x v="296"/>
    <s v="Retail"/>
    <x v="1"/>
  </r>
  <r>
    <x v="446"/>
    <d v="2023-11-09T00:00:00"/>
    <x v="6"/>
    <x v="0"/>
    <n v="1083"/>
    <n v="5"/>
    <n v="0"/>
    <x v="436"/>
    <n v="780.42"/>
    <n v="1512.9"/>
    <n v="0.27939058171745151"/>
    <x v="4"/>
    <x v="0"/>
    <n v="45"/>
    <x v="226"/>
    <s v="Retail"/>
    <x v="0"/>
  </r>
  <r>
    <x v="447"/>
    <d v="2023-09-11T00:00:00"/>
    <x v="0"/>
    <x v="0"/>
    <n v="3190"/>
    <n v="2"/>
    <n v="15"/>
    <x v="437"/>
    <n v="1780.45"/>
    <n v="1862.1"/>
    <n v="0.34337082795500645"/>
    <x v="8"/>
    <x v="0"/>
    <n v="37"/>
    <x v="88"/>
    <s v="Wholesale"/>
    <x v="0"/>
  </r>
  <r>
    <x v="448"/>
    <d v="2023-04-06T00:00:00"/>
    <x v="8"/>
    <x v="2"/>
    <n v="1005"/>
    <n v="6"/>
    <n v="10"/>
    <x v="438"/>
    <n v="766.25"/>
    <n v="829.52"/>
    <n v="0.15285056200479086"/>
    <x v="7"/>
    <x v="0"/>
    <n v="14"/>
    <x v="230"/>
    <s v="Retail"/>
    <x v="2"/>
  </r>
  <r>
    <x v="449"/>
    <d v="2023-06-19T00:00:00"/>
    <x v="4"/>
    <x v="3"/>
    <n v="2016"/>
    <n v="3"/>
    <n v="10"/>
    <x v="439"/>
    <n v="1379.36"/>
    <n v="1305.1199999999999"/>
    <n v="0.23977072310405642"/>
    <x v="10"/>
    <x v="0"/>
    <n v="25"/>
    <x v="297"/>
    <s v="Wholesale"/>
    <x v="0"/>
  </r>
  <r>
    <x v="450"/>
    <d v="2023-07-18T00:00:00"/>
    <x v="8"/>
    <x v="2"/>
    <n v="1362"/>
    <n v="4"/>
    <n v="0"/>
    <x v="440"/>
    <n v="772.61"/>
    <n v="2357.58"/>
    <n v="0.43274229074889864"/>
    <x v="1"/>
    <x v="0"/>
    <n v="29"/>
    <x v="93"/>
    <s v="Retail"/>
    <x v="2"/>
  </r>
  <r>
    <x v="451"/>
    <d v="2023-02-20T00:00:00"/>
    <x v="1"/>
    <x v="1"/>
    <n v="2724"/>
    <n v="2"/>
    <n v="0"/>
    <x v="440"/>
    <n v="1980.61"/>
    <n v="1486.79"/>
    <n v="0.27290565345080764"/>
    <x v="3"/>
    <x v="0"/>
    <n v="8"/>
    <x v="298"/>
    <s v="Wholesale"/>
    <x v="2"/>
  </r>
  <r>
    <x v="452"/>
    <d v="2023-06-11T00:00:00"/>
    <x v="4"/>
    <x v="3"/>
    <n v="2141"/>
    <n v="3"/>
    <n v="15"/>
    <x v="441"/>
    <n v="1467.36"/>
    <n v="1057.48"/>
    <n v="0.19369361943749944"/>
    <x v="10"/>
    <x v="0"/>
    <n v="24"/>
    <x v="299"/>
    <s v="Wholesale"/>
    <x v="0"/>
  </r>
  <r>
    <x v="453"/>
    <d v="2023-10-06T00:00:00"/>
    <x v="6"/>
    <x v="0"/>
    <n v="803"/>
    <n v="8"/>
    <n v="15"/>
    <x v="442"/>
    <n v="537.14"/>
    <n v="1163.26"/>
    <n v="0.21303567504212148"/>
    <x v="11"/>
    <x v="0"/>
    <n v="40"/>
    <x v="296"/>
    <s v="Retail"/>
    <x v="3"/>
  </r>
  <r>
    <x v="454"/>
    <d v="2023-06-11T00:00:00"/>
    <x v="0"/>
    <x v="0"/>
    <n v="2731"/>
    <n v="2"/>
    <n v="0"/>
    <x v="443"/>
    <n v="1367.49"/>
    <n v="2727.02"/>
    <n v="0.4992713291834493"/>
    <x v="10"/>
    <x v="0"/>
    <n v="24"/>
    <x v="51"/>
    <s v="Wholesale"/>
    <x v="0"/>
  </r>
  <r>
    <x v="455"/>
    <d v="2023-04-04T00:00:00"/>
    <x v="6"/>
    <x v="0"/>
    <n v="1442"/>
    <n v="4"/>
    <n v="5"/>
    <x v="444"/>
    <n v="1094.51"/>
    <n v="1101.58"/>
    <n v="0.20103292211110296"/>
    <x v="7"/>
    <x v="0"/>
    <n v="14"/>
    <x v="146"/>
    <s v="Wholesale"/>
    <x v="2"/>
  </r>
  <r>
    <x v="456"/>
    <d v="2023-06-03T00:00:00"/>
    <x v="7"/>
    <x v="1"/>
    <n v="914"/>
    <n v="6"/>
    <n v="0"/>
    <x v="445"/>
    <n v="643.92999999999995"/>
    <n v="1620.4"/>
    <n v="0.2954777534646244"/>
    <x v="10"/>
    <x v="0"/>
    <n v="22"/>
    <x v="13"/>
    <s v="Wholesale"/>
    <x v="0"/>
  </r>
  <r>
    <x v="457"/>
    <d v="2023-08-03T00:00:00"/>
    <x v="8"/>
    <x v="2"/>
    <n v="825"/>
    <n v="7"/>
    <n v="5"/>
    <x v="446"/>
    <n v="651.78"/>
    <n v="923.79"/>
    <n v="0.16838277511961722"/>
    <x v="6"/>
    <x v="0"/>
    <n v="31"/>
    <x v="46"/>
    <s v="Retail"/>
    <x v="2"/>
  </r>
  <r>
    <x v="458"/>
    <d v="2023-02-07T00:00:00"/>
    <x v="6"/>
    <x v="0"/>
    <n v="2154"/>
    <n v="3"/>
    <n v="15"/>
    <x v="447"/>
    <n v="1082.17"/>
    <n v="2246.19"/>
    <n v="0.40894095799879843"/>
    <x v="3"/>
    <x v="0"/>
    <n v="6"/>
    <x v="168"/>
    <s v="Wholesale"/>
    <x v="2"/>
  </r>
  <r>
    <x v="459"/>
    <d v="2023-03-30T00:00:00"/>
    <x v="8"/>
    <x v="2"/>
    <n v="3231"/>
    <n v="2"/>
    <n v="15"/>
    <x v="447"/>
    <n v="1777.35"/>
    <n v="1938.01"/>
    <n v="0.35283376117392173"/>
    <x v="5"/>
    <x v="0"/>
    <n v="13"/>
    <x v="300"/>
    <s v="Retail"/>
    <x v="2"/>
  </r>
  <r>
    <x v="460"/>
    <d v="2023-01-29T00:00:00"/>
    <x v="0"/>
    <x v="0"/>
    <n v="2158"/>
    <n v="3"/>
    <n v="15"/>
    <x v="448"/>
    <n v="1096.99"/>
    <n v="2211.9299999999998"/>
    <n v="0.40195714986643405"/>
    <x v="0"/>
    <x v="0"/>
    <n v="5"/>
    <x v="66"/>
    <s v="Wholesale"/>
    <x v="1"/>
  </r>
  <r>
    <x v="461"/>
    <d v="2023-12-12T00:00:00"/>
    <x v="4"/>
    <x v="3"/>
    <n v="1377"/>
    <n v="4"/>
    <n v="0"/>
    <x v="449"/>
    <n v="1031.0999999999999"/>
    <n v="1383.61"/>
    <n v="0.25120007262164123"/>
    <x v="9"/>
    <x v="0"/>
    <n v="50"/>
    <x v="87"/>
    <s v="Retail"/>
    <x v="1"/>
  </r>
  <r>
    <x v="462"/>
    <d v="2023-01-23T00:00:00"/>
    <x v="4"/>
    <x v="3"/>
    <n v="2044"/>
    <n v="3"/>
    <n v="10"/>
    <x v="450"/>
    <n v="1630.62"/>
    <n v="626.95000000000005"/>
    <n v="0.11360259476697833"/>
    <x v="0"/>
    <x v="0"/>
    <n v="4"/>
    <x v="183"/>
    <s v="Wholesale"/>
    <x v="1"/>
  </r>
  <r>
    <x v="463"/>
    <d v="2023-01-06T00:00:00"/>
    <x v="3"/>
    <x v="3"/>
    <n v="1114"/>
    <n v="5"/>
    <n v="0"/>
    <x v="451"/>
    <n v="796.17"/>
    <n v="1589.15"/>
    <n v="0.28530520646319568"/>
    <x v="0"/>
    <x v="0"/>
    <n v="1"/>
    <x v="126"/>
    <s v="Wholesale"/>
    <x v="0"/>
  </r>
  <r>
    <x v="464"/>
    <d v="2023-06-07T00:00:00"/>
    <x v="9"/>
    <x v="5"/>
    <n v="2940"/>
    <n v="2"/>
    <n v="5"/>
    <x v="452"/>
    <n v="2347.69"/>
    <n v="890.62"/>
    <n v="0.15943788041532403"/>
    <x v="10"/>
    <x v="0"/>
    <n v="23"/>
    <x v="301"/>
    <s v="Wholesale"/>
    <x v="1"/>
  </r>
  <r>
    <x v="465"/>
    <d v="2023-05-12T00:00:00"/>
    <x v="0"/>
    <x v="0"/>
    <n v="1398"/>
    <n v="4"/>
    <n v="0"/>
    <x v="453"/>
    <n v="1115.43"/>
    <n v="1130.3"/>
    <n v="0.20212804005722459"/>
    <x v="2"/>
    <x v="0"/>
    <n v="19"/>
    <x v="200"/>
    <s v="Retail"/>
    <x v="2"/>
  </r>
  <r>
    <x v="466"/>
    <d v="2023-11-01T00:00:00"/>
    <x v="5"/>
    <x v="4"/>
    <n v="1966"/>
    <n v="3"/>
    <n v="5"/>
    <x v="454"/>
    <n v="1335.26"/>
    <n v="1597.32"/>
    <n v="0.28507790330352839"/>
    <x v="4"/>
    <x v="0"/>
    <n v="44"/>
    <x v="302"/>
    <s v="Retail"/>
    <x v="2"/>
  </r>
  <r>
    <x v="467"/>
    <d v="2023-03-05T00:00:00"/>
    <x v="9"/>
    <x v="5"/>
    <n v="3302"/>
    <n v="2"/>
    <n v="15"/>
    <x v="455"/>
    <n v="1784.16"/>
    <n v="2045.08"/>
    <n v="0.36432108882317316"/>
    <x v="5"/>
    <x v="0"/>
    <n v="10"/>
    <x v="124"/>
    <s v="Wholesale"/>
    <x v="0"/>
  </r>
  <r>
    <x v="468"/>
    <d v="2023-09-15T00:00:00"/>
    <x v="6"/>
    <x v="0"/>
    <n v="3303"/>
    <n v="2"/>
    <n v="15"/>
    <x v="456"/>
    <n v="2301"/>
    <n v="1013.1"/>
    <n v="0.18042421328204306"/>
    <x v="8"/>
    <x v="0"/>
    <n v="37"/>
    <x v="303"/>
    <s v="Wholesale"/>
    <x v="0"/>
  </r>
  <r>
    <x v="469"/>
    <d v="2023-05-10T00:00:00"/>
    <x v="1"/>
    <x v="1"/>
    <n v="2213"/>
    <n v="3"/>
    <n v="15"/>
    <x v="457"/>
    <n v="1631.8"/>
    <n v="747.75"/>
    <n v="0.13250578134552513"/>
    <x v="2"/>
    <x v="0"/>
    <n v="19"/>
    <x v="304"/>
    <s v="Wholesale"/>
    <x v="2"/>
  </r>
  <r>
    <x v="470"/>
    <d v="2023-02-24T00:00:00"/>
    <x v="9"/>
    <x v="5"/>
    <n v="1112"/>
    <n v="6"/>
    <n v="15"/>
    <x v="458"/>
    <n v="684.33"/>
    <n v="1565.2"/>
    <n v="0.27599097192833971"/>
    <x v="3"/>
    <x v="0"/>
    <n v="8"/>
    <x v="2"/>
    <s v="Retail"/>
    <x v="3"/>
  </r>
  <r>
    <x v="471"/>
    <d v="2023-07-07T00:00:00"/>
    <x v="2"/>
    <x v="2"/>
    <n v="2105"/>
    <n v="3"/>
    <n v="10"/>
    <x v="459"/>
    <n v="1415.39"/>
    <n v="1437.33"/>
    <n v="0.25289522301398787"/>
    <x v="1"/>
    <x v="0"/>
    <n v="27"/>
    <x v="210"/>
    <s v="Retail"/>
    <x v="1"/>
  </r>
  <r>
    <x v="472"/>
    <d v="2023-08-08T00:00:00"/>
    <x v="4"/>
    <x v="3"/>
    <n v="3346"/>
    <n v="2"/>
    <n v="15"/>
    <x v="460"/>
    <n v="2358.15"/>
    <n v="971.9"/>
    <n v="0.17086248725431596"/>
    <x v="6"/>
    <x v="0"/>
    <n v="32"/>
    <x v="305"/>
    <s v="Retail"/>
    <x v="2"/>
  </r>
  <r>
    <x v="473"/>
    <d v="2023-10-05T00:00:00"/>
    <x v="1"/>
    <x v="1"/>
    <n v="2853"/>
    <n v="2"/>
    <n v="0"/>
    <x v="461"/>
    <n v="1799.77"/>
    <n v="2106.46"/>
    <n v="0.36916579039607433"/>
    <x v="11"/>
    <x v="0"/>
    <n v="40"/>
    <x v="241"/>
    <s v="Retail"/>
    <x v="3"/>
  </r>
  <r>
    <x v="474"/>
    <d v="2023-03-03T00:00:00"/>
    <x v="6"/>
    <x v="0"/>
    <n v="3357"/>
    <n v="2"/>
    <n v="15"/>
    <x v="462"/>
    <n v="2460.5500000000002"/>
    <n v="785.81"/>
    <n v="0.1376947204261508"/>
    <x v="5"/>
    <x v="0"/>
    <n v="9"/>
    <x v="306"/>
    <s v="Retail"/>
    <x v="3"/>
  </r>
  <r>
    <x v="475"/>
    <d v="2023-04-14T00:00:00"/>
    <x v="2"/>
    <x v="2"/>
    <n v="1120"/>
    <n v="6"/>
    <n v="15"/>
    <x v="463"/>
    <n v="689.88"/>
    <n v="1572.74"/>
    <n v="0.27533963585434174"/>
    <x v="7"/>
    <x v="0"/>
    <n v="15"/>
    <x v="307"/>
    <s v="Retail"/>
    <x v="2"/>
  </r>
  <r>
    <x v="476"/>
    <d v="2023-12-28T00:00:00"/>
    <x v="2"/>
    <x v="2"/>
    <n v="3177"/>
    <n v="2"/>
    <n v="10"/>
    <x v="464"/>
    <n v="1760.95"/>
    <n v="2196.6999999999998"/>
    <n v="0.38413247997761685"/>
    <x v="9"/>
    <x v="0"/>
    <n v="52"/>
    <x v="235"/>
    <s v="Wholesale"/>
    <x v="0"/>
  </r>
  <r>
    <x v="477"/>
    <d v="2023-09-26T00:00:00"/>
    <x v="1"/>
    <x v="1"/>
    <n v="1688"/>
    <n v="4"/>
    <n v="15"/>
    <x v="465"/>
    <n v="1323.9"/>
    <n v="443.61"/>
    <n v="7.7294744912182883E-2"/>
    <x v="8"/>
    <x v="0"/>
    <n v="39"/>
    <x v="92"/>
    <s v="Wholesale"/>
    <x v="3"/>
  </r>
  <r>
    <x v="478"/>
    <d v="2023-09-29T00:00:00"/>
    <x v="5"/>
    <x v="4"/>
    <n v="1439"/>
    <n v="4"/>
    <n v="0"/>
    <x v="466"/>
    <n v="1146.5999999999999"/>
    <n v="1169.6199999999999"/>
    <n v="0.20320013898540651"/>
    <x v="8"/>
    <x v="0"/>
    <n v="39"/>
    <x v="110"/>
    <s v="Wholesale"/>
    <x v="3"/>
  </r>
  <r>
    <x v="479"/>
    <d v="2023-05-07T00:00:00"/>
    <x v="5"/>
    <x v="4"/>
    <n v="3035"/>
    <n v="2"/>
    <n v="5"/>
    <x v="467"/>
    <n v="2276.3000000000002"/>
    <n v="1213.9100000000001"/>
    <n v="0.21051070840197694"/>
    <x v="2"/>
    <x v="0"/>
    <n v="19"/>
    <x v="199"/>
    <s v="Retail"/>
    <x v="0"/>
  </r>
  <r>
    <x v="480"/>
    <d v="2023-11-12T00:00:00"/>
    <x v="2"/>
    <x v="2"/>
    <n v="1014"/>
    <n v="6"/>
    <n v="5"/>
    <x v="468"/>
    <n v="664.14"/>
    <n v="1794.97"/>
    <n v="0.31055918889926987"/>
    <x v="4"/>
    <x v="0"/>
    <n v="46"/>
    <x v="308"/>
    <s v="Wholesale"/>
    <x v="0"/>
  </r>
  <r>
    <x v="481"/>
    <d v="2023-09-18T00:00:00"/>
    <x v="1"/>
    <x v="1"/>
    <n v="973"/>
    <n v="7"/>
    <n v="15"/>
    <x v="469"/>
    <n v="606.67999999999995"/>
    <n v="1542.6"/>
    <n v="0.26645478335218975"/>
    <x v="8"/>
    <x v="0"/>
    <n v="38"/>
    <x v="141"/>
    <s v="Retail"/>
    <x v="2"/>
  </r>
  <r>
    <x v="482"/>
    <d v="2023-04-07T00:00:00"/>
    <x v="6"/>
    <x v="0"/>
    <n v="2034"/>
    <n v="3"/>
    <n v="5"/>
    <x v="470"/>
    <n v="1298.6099999999999"/>
    <n v="1901.07"/>
    <n v="0.32794597112249652"/>
    <x v="7"/>
    <x v="0"/>
    <n v="14"/>
    <x v="119"/>
    <s v="Retail"/>
    <x v="0"/>
  </r>
  <r>
    <x v="483"/>
    <d v="2023-08-01T00:00:00"/>
    <x v="2"/>
    <x v="2"/>
    <n v="2036"/>
    <n v="3"/>
    <n v="5"/>
    <x v="471"/>
    <n v="1210.95"/>
    <n v="2169.7600000000002"/>
    <n v="0.3739289284114018"/>
    <x v="6"/>
    <x v="0"/>
    <n v="31"/>
    <x v="293"/>
    <s v="Wholesale"/>
    <x v="3"/>
  </r>
  <r>
    <x v="484"/>
    <d v="2023-10-26T00:00:00"/>
    <x v="2"/>
    <x v="2"/>
    <n v="1368"/>
    <n v="5"/>
    <n v="15"/>
    <x v="472"/>
    <n v="859.64"/>
    <n v="1515.8"/>
    <n v="0.2607155142758858"/>
    <x v="11"/>
    <x v="0"/>
    <n v="43"/>
    <x v="9"/>
    <s v="Retail"/>
    <x v="0"/>
  </r>
  <r>
    <x v="485"/>
    <d v="2023-01-02T00:00:00"/>
    <x v="8"/>
    <x v="2"/>
    <n v="1939"/>
    <n v="3"/>
    <n v="0"/>
    <x v="473"/>
    <n v="1518.34"/>
    <n v="1261.98"/>
    <n v="0.21694687983496649"/>
    <x v="0"/>
    <x v="0"/>
    <n v="1"/>
    <x v="309"/>
    <s v="Wholesale"/>
    <x v="0"/>
  </r>
  <r>
    <x v="486"/>
    <d v="2023-04-30T00:00:00"/>
    <x v="4"/>
    <x v="3"/>
    <n v="3072"/>
    <n v="2"/>
    <n v="5"/>
    <x v="474"/>
    <n v="2112.06"/>
    <n v="1612.69"/>
    <n v="0.27629694353070178"/>
    <x v="7"/>
    <x v="0"/>
    <n v="18"/>
    <x v="310"/>
    <s v="Wholesale"/>
    <x v="1"/>
  </r>
  <r>
    <x v="487"/>
    <d v="2023-11-26T00:00:00"/>
    <x v="8"/>
    <x v="2"/>
    <n v="813"/>
    <n v="8"/>
    <n v="10"/>
    <x v="475"/>
    <n v="533.23"/>
    <n v="1587.8"/>
    <n v="0.27125187918545851"/>
    <x v="4"/>
    <x v="0"/>
    <n v="48"/>
    <x v="7"/>
    <s v="Wholesale"/>
    <x v="0"/>
  </r>
  <r>
    <x v="488"/>
    <d v="2023-06-11T00:00:00"/>
    <x v="0"/>
    <x v="0"/>
    <n v="3446"/>
    <n v="2"/>
    <n v="15"/>
    <x v="476"/>
    <n v="2130.81"/>
    <n v="1596.59"/>
    <n v="0.27253934655696288"/>
    <x v="10"/>
    <x v="0"/>
    <n v="24"/>
    <x v="44"/>
    <s v="Wholesale"/>
    <x v="2"/>
  </r>
  <r>
    <x v="489"/>
    <d v="2023-12-01T00:00:00"/>
    <x v="5"/>
    <x v="4"/>
    <n v="882"/>
    <n v="7"/>
    <n v="5"/>
    <x v="477"/>
    <n v="647.88"/>
    <n v="1330.17"/>
    <n v="0.22678635363920005"/>
    <x v="9"/>
    <x v="0"/>
    <n v="48"/>
    <x v="210"/>
    <s v="Retail"/>
    <x v="0"/>
  </r>
  <r>
    <x v="490"/>
    <d v="2023-07-21T00:00:00"/>
    <x v="0"/>
    <x v="0"/>
    <n v="1162"/>
    <n v="6"/>
    <n v="15"/>
    <x v="478"/>
    <n v="924.82"/>
    <n v="377.26"/>
    <n v="6.3659680739765787E-2"/>
    <x v="1"/>
    <x v="0"/>
    <n v="29"/>
    <x v="311"/>
    <s v="Retail"/>
    <x v="0"/>
  </r>
  <r>
    <x v="491"/>
    <d v="2023-08-14T00:00:00"/>
    <x v="8"/>
    <x v="2"/>
    <n v="1560"/>
    <n v="4"/>
    <n v="5"/>
    <x v="479"/>
    <n v="809.3"/>
    <n v="2690.78"/>
    <n v="0.45391025641025645"/>
    <x v="6"/>
    <x v="0"/>
    <n v="33"/>
    <x v="250"/>
    <s v="Wholesale"/>
    <x v="0"/>
  </r>
  <r>
    <x v="492"/>
    <d v="2023-10-09T00:00:00"/>
    <x v="1"/>
    <x v="1"/>
    <n v="1744"/>
    <n v="4"/>
    <n v="15"/>
    <x v="480"/>
    <n v="1288.07"/>
    <n v="777.34"/>
    <n v="0.13109484619535888"/>
    <x v="11"/>
    <x v="0"/>
    <n v="41"/>
    <x v="312"/>
    <s v="Retail"/>
    <x v="1"/>
  </r>
  <r>
    <x v="493"/>
    <d v="2023-12-30T00:00:00"/>
    <x v="3"/>
    <x v="3"/>
    <n v="2972"/>
    <n v="2"/>
    <n v="0"/>
    <x v="481"/>
    <n v="2328.15"/>
    <n v="1287.71"/>
    <n v="0.21664030955585464"/>
    <x v="9"/>
    <x v="0"/>
    <n v="52"/>
    <x v="105"/>
    <s v="Retail"/>
    <x v="2"/>
  </r>
  <r>
    <x v="494"/>
    <d v="2023-09-16T00:00:00"/>
    <x v="7"/>
    <x v="1"/>
    <n v="2980"/>
    <n v="2"/>
    <n v="0"/>
    <x v="482"/>
    <n v="2097.9299999999998"/>
    <n v="1764.14"/>
    <n v="0.29599664429530204"/>
    <x v="8"/>
    <x v="0"/>
    <n v="37"/>
    <x v="313"/>
    <s v="Retail"/>
    <x v="1"/>
  </r>
  <r>
    <x v="495"/>
    <d v="2023-03-10T00:00:00"/>
    <x v="5"/>
    <x v="4"/>
    <n v="1404"/>
    <n v="5"/>
    <n v="15"/>
    <x v="483"/>
    <n v="1054.83"/>
    <n v="692.83"/>
    <n v="0.11611027316909671"/>
    <x v="5"/>
    <x v="0"/>
    <n v="10"/>
    <x v="0"/>
    <s v="Retail"/>
    <x v="2"/>
  </r>
  <r>
    <x v="496"/>
    <d v="2023-10-14T00:00:00"/>
    <x v="1"/>
    <x v="1"/>
    <n v="853"/>
    <n v="7"/>
    <n v="0"/>
    <x v="484"/>
    <n v="507.15"/>
    <n v="2420.9499999999998"/>
    <n v="0.40545134818288392"/>
    <x v="11"/>
    <x v="0"/>
    <n v="41"/>
    <x v="69"/>
    <s v="Retail"/>
    <x v="1"/>
  </r>
  <r>
    <x v="497"/>
    <d v="2023-12-07T00:00:00"/>
    <x v="1"/>
    <x v="1"/>
    <n v="3319"/>
    <n v="2"/>
    <n v="10"/>
    <x v="485"/>
    <n v="1735.74"/>
    <n v="2502.7199999999998"/>
    <n v="0.41892136185598072"/>
    <x v="9"/>
    <x v="0"/>
    <n v="49"/>
    <x v="52"/>
    <s v="Wholesale"/>
    <x v="0"/>
  </r>
  <r>
    <x v="498"/>
    <d v="2023-01-28T00:00:00"/>
    <x v="1"/>
    <x v="1"/>
    <n v="831"/>
    <n v="8"/>
    <n v="10"/>
    <x v="486"/>
    <n v="519.13"/>
    <n v="1830.15"/>
    <n v="0.30588146811070999"/>
    <x v="0"/>
    <x v="0"/>
    <n v="4"/>
    <x v="223"/>
    <s v="Wholesale"/>
    <x v="0"/>
  </r>
  <r>
    <x v="499"/>
    <d v="2023-03-28T00:00:00"/>
    <x v="4"/>
    <x v="3"/>
    <n v="881"/>
    <n v="8"/>
    <n v="15"/>
    <x v="487"/>
    <n v="685.93"/>
    <n v="503.33"/>
    <n v="8.4017159644788675E-2"/>
    <x v="5"/>
    <x v="0"/>
    <n v="13"/>
    <x v="29"/>
    <s v="Wholesale"/>
    <x v="1"/>
  </r>
  <r>
    <x v="500"/>
    <d v="2023-11-13T00:00:00"/>
    <x v="2"/>
    <x v="2"/>
    <n v="2996"/>
    <n v="2"/>
    <n v="0"/>
    <x v="488"/>
    <n v="1559.03"/>
    <n v="2873.94"/>
    <n v="0.47962950600801069"/>
    <x v="4"/>
    <x v="0"/>
    <n v="46"/>
    <x v="8"/>
    <s v="Retail"/>
    <x v="2"/>
  </r>
  <r>
    <x v="501"/>
    <d v="2023-01-06T00:00:00"/>
    <x v="6"/>
    <x v="0"/>
    <n v="3526"/>
    <n v="2"/>
    <n v="15"/>
    <x v="489"/>
    <n v="1794.41"/>
    <n v="2405.38"/>
    <n v="0.40128457508925297"/>
    <x v="0"/>
    <x v="0"/>
    <n v="1"/>
    <x v="303"/>
    <s v="Retail"/>
    <x v="3"/>
  </r>
  <r>
    <x v="502"/>
    <d v="2023-02-24T00:00:00"/>
    <x v="8"/>
    <x v="2"/>
    <n v="3527"/>
    <n v="2"/>
    <n v="15"/>
    <x v="490"/>
    <n v="2430.89"/>
    <n v="1134.1300000000001"/>
    <n v="0.18915091979519341"/>
    <x v="3"/>
    <x v="0"/>
    <n v="8"/>
    <x v="199"/>
    <s v="Retail"/>
    <x v="2"/>
  </r>
  <r>
    <x v="503"/>
    <d v="2023-12-18T00:00:00"/>
    <x v="8"/>
    <x v="2"/>
    <n v="953"/>
    <n v="7"/>
    <n v="10"/>
    <x v="491"/>
    <n v="609.9"/>
    <n v="1734.57"/>
    <n v="0.28890721031329636"/>
    <x v="9"/>
    <x v="0"/>
    <n v="51"/>
    <x v="314"/>
    <s v="Wholesale"/>
    <x v="1"/>
  </r>
  <r>
    <x v="504"/>
    <d v="2023-05-12T00:00:00"/>
    <x v="2"/>
    <x v="2"/>
    <n v="2110"/>
    <n v="3"/>
    <n v="5"/>
    <x v="492"/>
    <n v="1380.09"/>
    <n v="1873.23"/>
    <n v="0.31150411573958592"/>
    <x v="2"/>
    <x v="0"/>
    <n v="19"/>
    <x v="275"/>
    <s v="Wholesale"/>
    <x v="2"/>
  </r>
  <r>
    <x v="505"/>
    <d v="2023-06-12T00:00:00"/>
    <x v="7"/>
    <x v="1"/>
    <n v="1420"/>
    <n v="5"/>
    <n v="15"/>
    <x v="493"/>
    <n v="907.28"/>
    <n v="1498.6"/>
    <n v="0.24831814415907205"/>
    <x v="10"/>
    <x v="0"/>
    <n v="24"/>
    <x v="255"/>
    <s v="Retail"/>
    <x v="0"/>
  </r>
  <r>
    <x v="506"/>
    <d v="2023-07-16T00:00:00"/>
    <x v="7"/>
    <x v="1"/>
    <n v="3356"/>
    <n v="2"/>
    <n v="10"/>
    <x v="494"/>
    <n v="1926.56"/>
    <n v="2187.6799999999998"/>
    <n v="0.36215070851542835"/>
    <x v="1"/>
    <x v="0"/>
    <n v="29"/>
    <x v="0"/>
    <s v="Retail"/>
    <x v="3"/>
  </r>
  <r>
    <x v="507"/>
    <d v="2023-11-17T00:00:00"/>
    <x v="3"/>
    <x v="3"/>
    <n v="1777"/>
    <n v="4"/>
    <n v="15"/>
    <x v="495"/>
    <n v="1347.3"/>
    <n v="652.59"/>
    <n v="0.10801251282730312"/>
    <x v="4"/>
    <x v="0"/>
    <n v="46"/>
    <x v="302"/>
    <s v="Retail"/>
    <x v="0"/>
  </r>
  <r>
    <x v="508"/>
    <d v="2023-03-06T00:00:00"/>
    <x v="5"/>
    <x v="4"/>
    <n v="1780"/>
    <n v="4"/>
    <n v="15"/>
    <x v="496"/>
    <n v="984.21"/>
    <n v="2115.14"/>
    <n v="0.34949438202247191"/>
    <x v="5"/>
    <x v="0"/>
    <n v="10"/>
    <x v="315"/>
    <s v="Wholesale"/>
    <x v="1"/>
  </r>
  <r>
    <x v="509"/>
    <d v="2023-10-20T00:00:00"/>
    <x v="9"/>
    <x v="5"/>
    <n v="1125"/>
    <n v="6"/>
    <n v="10"/>
    <x v="497"/>
    <n v="717.23"/>
    <n v="1771.61"/>
    <n v="0.29162304526748972"/>
    <x v="11"/>
    <x v="0"/>
    <n v="42"/>
    <x v="305"/>
    <s v="Wholesale"/>
    <x v="2"/>
  </r>
  <r>
    <x v="510"/>
    <d v="2023-07-31T00:00:00"/>
    <x v="1"/>
    <x v="1"/>
    <n v="3575"/>
    <n v="2"/>
    <n v="15"/>
    <x v="498"/>
    <n v="2119.11"/>
    <n v="1839.27"/>
    <n v="0.3026359522830111"/>
    <x v="1"/>
    <x v="0"/>
    <n v="31"/>
    <x v="258"/>
    <s v="Retail"/>
    <x v="0"/>
  </r>
  <r>
    <x v="511"/>
    <d v="2023-05-12T00:00:00"/>
    <x v="4"/>
    <x v="3"/>
    <n v="3381"/>
    <n v="2"/>
    <n v="10"/>
    <x v="499"/>
    <n v="2523.7399999999998"/>
    <n v="1038.32"/>
    <n v="0.1706135594334352"/>
    <x v="2"/>
    <x v="0"/>
    <n v="19"/>
    <x v="155"/>
    <s v="Wholesale"/>
    <x v="2"/>
  </r>
  <r>
    <x v="512"/>
    <d v="2023-06-16T00:00:00"/>
    <x v="8"/>
    <x v="2"/>
    <n v="1222"/>
    <n v="5"/>
    <n v="0"/>
    <x v="500"/>
    <n v="656.58"/>
    <n v="2827.09"/>
    <n v="0.46269885433715224"/>
    <x v="10"/>
    <x v="0"/>
    <n v="24"/>
    <x v="3"/>
    <s v="Retail"/>
    <x v="2"/>
  </r>
  <r>
    <x v="513"/>
    <d v="2023-03-21T00:00:00"/>
    <x v="2"/>
    <x v="2"/>
    <n v="1019"/>
    <n v="6"/>
    <n v="0"/>
    <x v="501"/>
    <n v="700.79"/>
    <n v="1909.25"/>
    <n v="0.31227510631337912"/>
    <x v="5"/>
    <x v="0"/>
    <n v="12"/>
    <x v="316"/>
    <s v="Wholesale"/>
    <x v="1"/>
  </r>
  <r>
    <x v="514"/>
    <d v="2023-08-12T00:00:00"/>
    <x v="7"/>
    <x v="1"/>
    <n v="2051"/>
    <n v="3"/>
    <n v="0"/>
    <x v="502"/>
    <n v="1194.8399999999999"/>
    <n v="2568.4899999999998"/>
    <n v="0.41743702259060617"/>
    <x v="6"/>
    <x v="0"/>
    <n v="32"/>
    <x v="143"/>
    <s v="Retail"/>
    <x v="2"/>
  </r>
  <r>
    <x v="515"/>
    <d v="2023-12-14T00:00:00"/>
    <x v="4"/>
    <x v="3"/>
    <n v="1368"/>
    <n v="5"/>
    <n v="10"/>
    <x v="503"/>
    <n v="902.21"/>
    <n v="1644.95"/>
    <n v="0.26721085120207927"/>
    <x v="9"/>
    <x v="0"/>
    <n v="50"/>
    <x v="178"/>
    <s v="Wholesale"/>
    <x v="1"/>
  </r>
  <r>
    <x v="516"/>
    <d v="2023-04-10T00:00:00"/>
    <x v="6"/>
    <x v="0"/>
    <n v="856"/>
    <n v="8"/>
    <n v="10"/>
    <x v="504"/>
    <n v="646.88"/>
    <n v="988.17"/>
    <n v="0.16033391744548287"/>
    <x v="7"/>
    <x v="0"/>
    <n v="15"/>
    <x v="167"/>
    <s v="Retail"/>
    <x v="1"/>
  </r>
  <r>
    <x v="517"/>
    <d v="2023-10-11T00:00:00"/>
    <x v="4"/>
    <x v="3"/>
    <n v="2064"/>
    <n v="3"/>
    <n v="0"/>
    <x v="505"/>
    <n v="1320.88"/>
    <n v="2229.35"/>
    <n v="0.36003714470284237"/>
    <x v="11"/>
    <x v="0"/>
    <n v="41"/>
    <x v="12"/>
    <s v="Wholesale"/>
    <x v="0"/>
  </r>
  <r>
    <x v="518"/>
    <d v="2023-12-11T00:00:00"/>
    <x v="2"/>
    <x v="2"/>
    <n v="3261"/>
    <n v="2"/>
    <n v="5"/>
    <x v="506"/>
    <n v="2291.54"/>
    <n v="1612.82"/>
    <n v="0.26030439484175022"/>
    <x v="9"/>
    <x v="0"/>
    <n v="50"/>
    <x v="317"/>
    <s v="Wholesale"/>
    <x v="0"/>
  </r>
  <r>
    <x v="519"/>
    <d v="2023-06-23T00:00:00"/>
    <x v="9"/>
    <x v="5"/>
    <n v="984"/>
    <n v="7"/>
    <n v="10"/>
    <x v="507"/>
    <n v="539.84"/>
    <n v="2420.3000000000002"/>
    <n v="0.39042134468963741"/>
    <x v="10"/>
    <x v="0"/>
    <n v="25"/>
    <x v="82"/>
    <s v="Wholesale"/>
    <x v="1"/>
  </r>
  <r>
    <x v="520"/>
    <d v="2023-12-06T00:00:00"/>
    <x v="0"/>
    <x v="0"/>
    <n v="1727"/>
    <n v="4"/>
    <n v="10"/>
    <x v="508"/>
    <n v="1280.3499999999999"/>
    <n v="1095.82"/>
    <n v="0.17625619249823071"/>
    <x v="9"/>
    <x v="0"/>
    <n v="49"/>
    <x v="86"/>
    <s v="Wholesale"/>
    <x v="1"/>
  </r>
  <r>
    <x v="521"/>
    <d v="2023-06-29T00:00:00"/>
    <x v="8"/>
    <x v="2"/>
    <n v="1639"/>
    <n v="4"/>
    <n v="5"/>
    <x v="509"/>
    <n v="1073.76"/>
    <n v="1933.14"/>
    <n v="0.3103850229600848"/>
    <x v="10"/>
    <x v="0"/>
    <n v="26"/>
    <x v="179"/>
    <s v="Retail"/>
    <x v="1"/>
  </r>
  <r>
    <x v="522"/>
    <d v="2023-02-10T00:00:00"/>
    <x v="3"/>
    <x v="3"/>
    <n v="1835"/>
    <n v="4"/>
    <n v="15"/>
    <x v="510"/>
    <n v="918.71"/>
    <n v="2564.15"/>
    <n v="0.41098733771437734"/>
    <x v="3"/>
    <x v="0"/>
    <n v="6"/>
    <x v="203"/>
    <s v="Wholesale"/>
    <x v="0"/>
  </r>
  <r>
    <x v="523"/>
    <d v="2023-01-19T00:00:00"/>
    <x v="5"/>
    <x v="4"/>
    <n v="1836"/>
    <n v="4"/>
    <n v="15"/>
    <x v="511"/>
    <n v="969.38"/>
    <n v="2364.89"/>
    <n v="0.37884307317698324"/>
    <x v="0"/>
    <x v="0"/>
    <n v="3"/>
    <x v="318"/>
    <s v="Retail"/>
    <x v="3"/>
  </r>
  <r>
    <x v="524"/>
    <d v="2023-07-05T00:00:00"/>
    <x v="3"/>
    <x v="3"/>
    <n v="1225"/>
    <n v="6"/>
    <n v="15"/>
    <x v="512"/>
    <n v="746.74"/>
    <n v="1767.07"/>
    <n v="0.28284433773509404"/>
    <x v="1"/>
    <x v="0"/>
    <n v="27"/>
    <x v="299"/>
    <s v="Wholesale"/>
    <x v="0"/>
  </r>
  <r>
    <x v="525"/>
    <d v="2023-09-05T00:00:00"/>
    <x v="8"/>
    <x v="2"/>
    <n v="1838"/>
    <n v="4"/>
    <n v="15"/>
    <x v="513"/>
    <n v="1247.25"/>
    <n v="1260.2"/>
    <n v="0.20165781219996159"/>
    <x v="8"/>
    <x v="0"/>
    <n v="36"/>
    <x v="319"/>
    <s v="Wholesale"/>
    <x v="1"/>
  </r>
  <r>
    <x v="526"/>
    <d v="2023-04-29T00:00:00"/>
    <x v="0"/>
    <x v="0"/>
    <n v="3688"/>
    <n v="2"/>
    <n v="15"/>
    <x v="514"/>
    <n v="2694.85"/>
    <n v="879.9"/>
    <n v="0.1403438815873421"/>
    <x v="7"/>
    <x v="0"/>
    <n v="17"/>
    <x v="286"/>
    <s v="Retail"/>
    <x v="3"/>
  </r>
  <r>
    <x v="527"/>
    <d v="2023-03-22T00:00:00"/>
    <x v="5"/>
    <x v="4"/>
    <n v="3136"/>
    <n v="2"/>
    <n v="0"/>
    <x v="515"/>
    <n v="1629.58"/>
    <n v="3012.85"/>
    <n v="0.48036511479591837"/>
    <x v="5"/>
    <x v="0"/>
    <n v="12"/>
    <x v="320"/>
    <s v="Wholesale"/>
    <x v="1"/>
  </r>
  <r>
    <x v="528"/>
    <d v="2023-11-27T00:00:00"/>
    <x v="5"/>
    <x v="4"/>
    <n v="2201"/>
    <n v="3"/>
    <n v="5"/>
    <x v="516"/>
    <n v="1518.27"/>
    <n v="1718.03"/>
    <n v="0.27388348198984508"/>
    <x v="4"/>
    <x v="0"/>
    <n v="48"/>
    <x v="25"/>
    <s v="Retail"/>
    <x v="0"/>
  </r>
  <r>
    <x v="529"/>
    <d v="2023-06-14T00:00:00"/>
    <x v="1"/>
    <x v="1"/>
    <n v="2207"/>
    <n v="3"/>
    <n v="5"/>
    <x v="517"/>
    <n v="1406.99"/>
    <n v="2068.9899999999998"/>
    <n v="0.32893584209731397"/>
    <x v="10"/>
    <x v="0"/>
    <n v="24"/>
    <x v="260"/>
    <s v="Retail"/>
    <x v="2"/>
  </r>
  <r>
    <x v="530"/>
    <d v="2023-02-10T00:00:00"/>
    <x v="3"/>
    <x v="3"/>
    <n v="3317"/>
    <n v="2"/>
    <n v="5"/>
    <x v="518"/>
    <n v="1891.13"/>
    <n v="2520.04"/>
    <n v="0.39986036843691986"/>
    <x v="3"/>
    <x v="0"/>
    <n v="6"/>
    <x v="321"/>
    <s v="Retail"/>
    <x v="3"/>
  </r>
  <r>
    <x v="531"/>
    <d v="2023-03-20T00:00:00"/>
    <x v="1"/>
    <x v="1"/>
    <n v="3708"/>
    <n v="2"/>
    <n v="15"/>
    <x v="519"/>
    <n v="2303.67"/>
    <n v="1696.26"/>
    <n v="0.26909385113268608"/>
    <x v="5"/>
    <x v="0"/>
    <n v="12"/>
    <x v="318"/>
    <s v="Wholesale"/>
    <x v="3"/>
  </r>
  <r>
    <x v="532"/>
    <d v="2023-06-12T00:00:00"/>
    <x v="8"/>
    <x v="2"/>
    <n v="2212"/>
    <n v="3"/>
    <n v="5"/>
    <x v="520"/>
    <n v="1675.58"/>
    <n v="1277.47"/>
    <n v="0.20263792392373339"/>
    <x v="10"/>
    <x v="0"/>
    <n v="24"/>
    <x v="322"/>
    <s v="Retail"/>
    <x v="3"/>
  </r>
  <r>
    <x v="533"/>
    <d v="2023-05-29T00:00:00"/>
    <x v="6"/>
    <x v="0"/>
    <n v="3153"/>
    <n v="2"/>
    <n v="0"/>
    <x v="521"/>
    <n v="2428.5700000000002"/>
    <n v="1448.86"/>
    <n v="0.22975895972090071"/>
    <x v="2"/>
    <x v="0"/>
    <n v="22"/>
    <x v="6"/>
    <s v="Wholesale"/>
    <x v="2"/>
  </r>
  <r>
    <x v="534"/>
    <d v="2023-01-27T00:00:00"/>
    <x v="7"/>
    <x v="1"/>
    <n v="1001"/>
    <n v="7"/>
    <n v="10"/>
    <x v="522"/>
    <n v="696.39"/>
    <n v="1431.57"/>
    <n v="0.227006327006327"/>
    <x v="0"/>
    <x v="0"/>
    <n v="4"/>
    <x v="323"/>
    <s v="Retail"/>
    <x v="2"/>
  </r>
  <r>
    <x v="535"/>
    <d v="2023-11-12T00:00:00"/>
    <x v="4"/>
    <x v="3"/>
    <n v="3169"/>
    <n v="2"/>
    <n v="0"/>
    <x v="523"/>
    <n v="2203.06"/>
    <n v="1931.87"/>
    <n v="0.3048075102556011"/>
    <x v="4"/>
    <x v="0"/>
    <n v="46"/>
    <x v="119"/>
    <s v="Retail"/>
    <x v="3"/>
  </r>
  <r>
    <x v="536"/>
    <d v="2023-03-29T00:00:00"/>
    <x v="5"/>
    <x v="4"/>
    <n v="1668"/>
    <n v="4"/>
    <n v="5"/>
    <x v="524"/>
    <n v="851.16"/>
    <n v="2933.77"/>
    <n v="0.46285655685977534"/>
    <x v="5"/>
    <x v="0"/>
    <n v="13"/>
    <x v="324"/>
    <s v="Wholesale"/>
    <x v="1"/>
  </r>
  <r>
    <x v="537"/>
    <d v="2023-12-18T00:00:00"/>
    <x v="1"/>
    <x v="1"/>
    <n v="2494"/>
    <n v="3"/>
    <n v="15"/>
    <x v="525"/>
    <n v="1800.14"/>
    <n v="959.27"/>
    <n v="0.15083573124518451"/>
    <x v="9"/>
    <x v="0"/>
    <n v="51"/>
    <x v="325"/>
    <s v="Retail"/>
    <x v="2"/>
  </r>
  <r>
    <x v="538"/>
    <d v="2023-08-18T00:00:00"/>
    <x v="0"/>
    <x v="0"/>
    <n v="833"/>
    <n v="9"/>
    <n v="15"/>
    <x v="526"/>
    <n v="442.49"/>
    <n v="2390.0700000000002"/>
    <n v="0.37506296636301584"/>
    <x v="6"/>
    <x v="0"/>
    <n v="33"/>
    <x v="233"/>
    <s v="Retail"/>
    <x v="1"/>
  </r>
  <r>
    <x v="539"/>
    <d v="2023-08-11T00:00:00"/>
    <x v="8"/>
    <x v="2"/>
    <n v="841"/>
    <n v="8"/>
    <n v="5"/>
    <x v="527"/>
    <n v="436.43"/>
    <n v="2900.14"/>
    <n v="0.45374241191563924"/>
    <x v="6"/>
    <x v="0"/>
    <n v="32"/>
    <x v="326"/>
    <s v="Retail"/>
    <x v="2"/>
  </r>
  <r>
    <x v="540"/>
    <d v="2023-02-08T00:00:00"/>
    <x v="6"/>
    <x v="0"/>
    <n v="943"/>
    <n v="8"/>
    <n v="15"/>
    <x v="528"/>
    <n v="687.84"/>
    <n v="909.69"/>
    <n v="0.14186420061131561"/>
    <x v="3"/>
    <x v="0"/>
    <n v="6"/>
    <x v="327"/>
    <s v="Retail"/>
    <x v="2"/>
  </r>
  <r>
    <x v="541"/>
    <d v="2023-12-26T00:00:00"/>
    <x v="5"/>
    <x v="4"/>
    <n v="1258"/>
    <n v="6"/>
    <n v="15"/>
    <x v="529"/>
    <n v="806.05"/>
    <n v="1579.52"/>
    <n v="0.24619221297421989"/>
    <x v="9"/>
    <x v="0"/>
    <n v="52"/>
    <x v="296"/>
    <s v="Wholesale"/>
    <x v="0"/>
  </r>
  <r>
    <x v="542"/>
    <d v="2023-04-30T00:00:00"/>
    <x v="6"/>
    <x v="0"/>
    <n v="3787"/>
    <n v="2"/>
    <n v="15"/>
    <x v="530"/>
    <n v="2337.09"/>
    <n v="1763.72"/>
    <n v="0.27395889964118736"/>
    <x v="7"/>
    <x v="0"/>
    <n v="18"/>
    <x v="228"/>
    <s v="Wholesale"/>
    <x v="2"/>
  </r>
  <r>
    <x v="543"/>
    <d v="2023-05-20T00:00:00"/>
    <x v="4"/>
    <x v="3"/>
    <n v="1515"/>
    <n v="5"/>
    <n v="15"/>
    <x v="531"/>
    <n v="1187.82"/>
    <n v="499.66"/>
    <n v="7.7602019025431956E-2"/>
    <x v="2"/>
    <x v="0"/>
    <n v="20"/>
    <x v="320"/>
    <s v="Wholesale"/>
    <x v="1"/>
  </r>
  <r>
    <x v="544"/>
    <d v="2023-07-11T00:00:00"/>
    <x v="7"/>
    <x v="1"/>
    <n v="1357"/>
    <n v="5"/>
    <n v="5"/>
    <x v="532"/>
    <n v="988.5"/>
    <n v="1503.23"/>
    <n v="0.23321258193383237"/>
    <x v="1"/>
    <x v="0"/>
    <n v="28"/>
    <x v="20"/>
    <s v="Wholesale"/>
    <x v="3"/>
  </r>
  <r>
    <x v="545"/>
    <d v="2023-04-01T00:00:00"/>
    <x v="0"/>
    <x v="0"/>
    <n v="1361"/>
    <n v="5"/>
    <n v="5"/>
    <x v="533"/>
    <n v="937.05"/>
    <n v="1779.49"/>
    <n v="0.27526045090684093"/>
    <x v="7"/>
    <x v="0"/>
    <n v="13"/>
    <x v="206"/>
    <s v="Retail"/>
    <x v="2"/>
  </r>
  <r>
    <x v="546"/>
    <d v="2023-07-13T00:00:00"/>
    <x v="2"/>
    <x v="2"/>
    <n v="1800"/>
    <n v="4"/>
    <n v="10"/>
    <x v="534"/>
    <n v="1265.26"/>
    <n v="1418.95"/>
    <n v="0.21897376543209876"/>
    <x v="1"/>
    <x v="0"/>
    <n v="28"/>
    <x v="328"/>
    <s v="Wholesale"/>
    <x v="0"/>
  </r>
  <r>
    <x v="547"/>
    <d v="2023-10-02T00:00:00"/>
    <x v="3"/>
    <x v="3"/>
    <n v="1621"/>
    <n v="4"/>
    <n v="0"/>
    <x v="535"/>
    <n v="862.78"/>
    <n v="3032.87"/>
    <n v="0.46774676125848241"/>
    <x v="11"/>
    <x v="0"/>
    <n v="40"/>
    <x v="85"/>
    <s v="Wholesale"/>
    <x v="2"/>
  </r>
  <r>
    <x v="548"/>
    <d v="2023-12-31T00:00:00"/>
    <x v="8"/>
    <x v="2"/>
    <n v="1202"/>
    <n v="6"/>
    <n v="10"/>
    <x v="536"/>
    <n v="942"/>
    <n v="838.82"/>
    <n v="0.12923214395760152"/>
    <x v="9"/>
    <x v="0"/>
    <n v="53"/>
    <x v="329"/>
    <s v="Retail"/>
    <x v="3"/>
  </r>
  <r>
    <x v="549"/>
    <d v="2023-05-31T00:00:00"/>
    <x v="3"/>
    <x v="3"/>
    <n v="2413"/>
    <n v="3"/>
    <n v="10"/>
    <x v="537"/>
    <n v="1878.76"/>
    <n v="878.81"/>
    <n v="0.13488818283679452"/>
    <x v="2"/>
    <x v="0"/>
    <n v="22"/>
    <x v="286"/>
    <s v="Wholesale"/>
    <x v="0"/>
  </r>
  <r>
    <x v="550"/>
    <d v="2023-07-06T00:00:00"/>
    <x v="2"/>
    <x v="2"/>
    <n v="3622"/>
    <n v="2"/>
    <n v="10"/>
    <x v="538"/>
    <n v="2271.16"/>
    <n v="1977.27"/>
    <n v="0.30328087612736976"/>
    <x v="1"/>
    <x v="0"/>
    <n v="27"/>
    <x v="330"/>
    <s v="Retail"/>
    <x v="1"/>
  </r>
  <r>
    <x v="551"/>
    <d v="2023-11-08T00:00:00"/>
    <x v="7"/>
    <x v="1"/>
    <n v="3433"/>
    <n v="2"/>
    <n v="5"/>
    <x v="539"/>
    <n v="2346.38"/>
    <n v="1829.94"/>
    <n v="0.28054946571205175"/>
    <x v="4"/>
    <x v="0"/>
    <n v="45"/>
    <x v="103"/>
    <s v="Wholesale"/>
    <x v="1"/>
  </r>
  <r>
    <x v="552"/>
    <d v="2023-01-09T00:00:00"/>
    <x v="8"/>
    <x v="2"/>
    <n v="3268"/>
    <n v="2"/>
    <n v="0"/>
    <x v="540"/>
    <n v="2046.74"/>
    <n v="2442.5300000000002"/>
    <n v="0.37370410036719709"/>
    <x v="0"/>
    <x v="0"/>
    <n v="2"/>
    <x v="78"/>
    <s v="Retail"/>
    <x v="1"/>
  </r>
  <r>
    <x v="553"/>
    <d v="2023-09-17T00:00:00"/>
    <x v="8"/>
    <x v="2"/>
    <n v="2423"/>
    <n v="3"/>
    <n v="10"/>
    <x v="541"/>
    <n v="1532.1"/>
    <n v="1945.79"/>
    <n v="0.29742590299750843"/>
    <x v="8"/>
    <x v="0"/>
    <n v="38"/>
    <x v="134"/>
    <s v="Wholesale"/>
    <x v="3"/>
  </r>
  <r>
    <x v="554"/>
    <d v="2023-09-22T00:00:00"/>
    <x v="0"/>
    <x v="0"/>
    <n v="965"/>
    <n v="8"/>
    <n v="15"/>
    <x v="542"/>
    <n v="553.11"/>
    <n v="2137.15"/>
    <n v="0.32568576653459314"/>
    <x v="8"/>
    <x v="0"/>
    <n v="38"/>
    <x v="331"/>
    <s v="Wholesale"/>
    <x v="0"/>
  </r>
  <r>
    <x v="555"/>
    <d v="2023-05-21T00:00:00"/>
    <x v="5"/>
    <x v="4"/>
    <n v="2188"/>
    <n v="3"/>
    <n v="0"/>
    <x v="543"/>
    <n v="1583.83"/>
    <n v="1812.5"/>
    <n v="0.27612736136502131"/>
    <x v="2"/>
    <x v="0"/>
    <n v="21"/>
    <x v="332"/>
    <s v="Retail"/>
    <x v="2"/>
  </r>
  <r>
    <x v="556"/>
    <d v="2023-07-23T00:00:00"/>
    <x v="4"/>
    <x v="3"/>
    <n v="3648"/>
    <n v="2"/>
    <n v="10"/>
    <x v="544"/>
    <n v="2429.58"/>
    <n v="1707.23"/>
    <n v="0.25999482212475633"/>
    <x v="1"/>
    <x v="0"/>
    <n v="30"/>
    <x v="333"/>
    <s v="Retail"/>
    <x v="3"/>
  </r>
  <r>
    <x v="557"/>
    <d v="2023-03-26T00:00:00"/>
    <x v="5"/>
    <x v="4"/>
    <n v="1104"/>
    <n v="7"/>
    <n v="15"/>
    <x v="545"/>
    <n v="582.52"/>
    <n v="2491.1799999999998"/>
    <n v="0.37924430641821943"/>
    <x v="5"/>
    <x v="0"/>
    <n v="13"/>
    <x v="219"/>
    <s v="Retail"/>
    <x v="0"/>
  </r>
  <r>
    <x v="558"/>
    <d v="2023-06-05T00:00:00"/>
    <x v="4"/>
    <x v="3"/>
    <n v="1644"/>
    <n v="4"/>
    <n v="0"/>
    <x v="546"/>
    <n v="948.88"/>
    <n v="2780.49"/>
    <n v="0.42282390510948903"/>
    <x v="10"/>
    <x v="0"/>
    <n v="23"/>
    <x v="10"/>
    <s v="Retail"/>
    <x v="0"/>
  </r>
  <r>
    <x v="559"/>
    <d v="2023-03-20T00:00:00"/>
    <x v="5"/>
    <x v="4"/>
    <n v="3869"/>
    <n v="2"/>
    <n v="15"/>
    <x v="547"/>
    <n v="2177.0500000000002"/>
    <n v="2223.1999999999998"/>
    <n v="0.33801103796390614"/>
    <x v="5"/>
    <x v="0"/>
    <n v="12"/>
    <x v="83"/>
    <s v="Wholesale"/>
    <x v="0"/>
  </r>
  <r>
    <x v="560"/>
    <d v="2023-02-11T00:00:00"/>
    <x v="4"/>
    <x v="3"/>
    <n v="992"/>
    <n v="7"/>
    <n v="5"/>
    <x v="548"/>
    <n v="668.75"/>
    <n v="1915.52"/>
    <n v="0.29037108901285469"/>
    <x v="3"/>
    <x v="0"/>
    <n v="6"/>
    <x v="212"/>
    <s v="Wholesale"/>
    <x v="1"/>
  </r>
  <r>
    <x v="561"/>
    <d v="2023-04-15T00:00:00"/>
    <x v="0"/>
    <x v="0"/>
    <n v="921"/>
    <n v="8"/>
    <n v="10"/>
    <x v="549"/>
    <n v="531.91"/>
    <n v="2375.89"/>
    <n v="0.35828960067559418"/>
    <x v="7"/>
    <x v="0"/>
    <n v="15"/>
    <x v="66"/>
    <s v="Wholesale"/>
    <x v="0"/>
  </r>
  <r>
    <x v="562"/>
    <d v="2023-05-06T00:00:00"/>
    <x v="3"/>
    <x v="3"/>
    <n v="3320"/>
    <n v="2"/>
    <n v="0"/>
    <x v="550"/>
    <n v="2266"/>
    <n v="2108.0100000000002"/>
    <n v="0.31747138554216869"/>
    <x v="2"/>
    <x v="0"/>
    <n v="18"/>
    <x v="248"/>
    <s v="Wholesale"/>
    <x v="3"/>
  </r>
  <r>
    <x v="563"/>
    <d v="2023-05-28T00:00:00"/>
    <x v="4"/>
    <x v="3"/>
    <n v="2331"/>
    <n v="3"/>
    <n v="5"/>
    <x v="551"/>
    <n v="1242.81"/>
    <n v="2914.93"/>
    <n v="0.43877411245832293"/>
    <x v="2"/>
    <x v="0"/>
    <n v="22"/>
    <x v="334"/>
    <s v="Wholesale"/>
    <x v="3"/>
  </r>
  <r>
    <x v="564"/>
    <d v="2023-03-16T00:00:00"/>
    <x v="4"/>
    <x v="3"/>
    <n v="3497"/>
    <n v="2"/>
    <n v="5"/>
    <x v="552"/>
    <n v="1766.42"/>
    <n v="3111.46"/>
    <n v="0.46829011333022291"/>
    <x v="5"/>
    <x v="0"/>
    <n v="11"/>
    <x v="151"/>
    <s v="Retail"/>
    <x v="1"/>
  </r>
  <r>
    <x v="565"/>
    <d v="2023-10-04T00:00:00"/>
    <x v="7"/>
    <x v="1"/>
    <n v="2462"/>
    <n v="3"/>
    <n v="10"/>
    <x v="553"/>
    <n v="1785.64"/>
    <n v="1290.47"/>
    <n v="0.19413154015103651"/>
    <x v="11"/>
    <x v="0"/>
    <n v="40"/>
    <x v="210"/>
    <s v="Retail"/>
    <x v="1"/>
  </r>
  <r>
    <x v="566"/>
    <d v="2023-04-22T00:00:00"/>
    <x v="4"/>
    <x v="3"/>
    <n v="3499"/>
    <n v="2"/>
    <n v="5"/>
    <x v="554"/>
    <n v="2267.64"/>
    <n v="2112.81"/>
    <n v="0.31780659135692901"/>
    <x v="7"/>
    <x v="0"/>
    <n v="16"/>
    <x v="299"/>
    <s v="Wholesale"/>
    <x v="2"/>
  </r>
  <r>
    <x v="567"/>
    <d v="2023-05-24T00:00:00"/>
    <x v="7"/>
    <x v="1"/>
    <n v="1958"/>
    <n v="4"/>
    <n v="15"/>
    <x v="555"/>
    <n v="1506.42"/>
    <n v="631.54"/>
    <n v="9.4865709307216245E-2"/>
    <x v="2"/>
    <x v="0"/>
    <n v="21"/>
    <x v="120"/>
    <s v="Wholesale"/>
    <x v="1"/>
  </r>
  <r>
    <x v="568"/>
    <d v="2023-07-24T00:00:00"/>
    <x v="6"/>
    <x v="0"/>
    <n v="2344"/>
    <n v="3"/>
    <n v="5"/>
    <x v="556"/>
    <n v="1402.31"/>
    <n v="2473.4699999999998"/>
    <n v="0.37025776899586849"/>
    <x v="1"/>
    <x v="0"/>
    <n v="30"/>
    <x v="226"/>
    <s v="Retail"/>
    <x v="3"/>
  </r>
  <r>
    <x v="569"/>
    <d v="2023-11-14T00:00:00"/>
    <x v="3"/>
    <x v="3"/>
    <n v="1311"/>
    <n v="6"/>
    <n v="15"/>
    <x v="557"/>
    <n v="919.6"/>
    <n v="1168.52"/>
    <n v="0.17476854967768951"/>
    <x v="4"/>
    <x v="0"/>
    <n v="46"/>
    <x v="147"/>
    <s v="Retail"/>
    <x v="0"/>
  </r>
  <r>
    <x v="570"/>
    <d v="2023-04-29T00:00:00"/>
    <x v="2"/>
    <x v="2"/>
    <n v="1174"/>
    <n v="6"/>
    <n v="5"/>
    <x v="558"/>
    <n v="664.37"/>
    <n v="2705.58"/>
    <n v="0.40431274096655606"/>
    <x v="7"/>
    <x v="0"/>
    <n v="17"/>
    <x v="335"/>
    <s v="Retail"/>
    <x v="1"/>
  </r>
  <r>
    <x v="571"/>
    <d v="2023-10-28T00:00:00"/>
    <x v="4"/>
    <x v="3"/>
    <n v="1008"/>
    <n v="7"/>
    <n v="5"/>
    <x v="559"/>
    <n v="792.52"/>
    <n v="1155.53"/>
    <n v="0.17238483112543262"/>
    <x v="11"/>
    <x v="0"/>
    <n v="43"/>
    <x v="336"/>
    <s v="Retail"/>
    <x v="0"/>
  </r>
  <r>
    <x v="572"/>
    <d v="2023-05-17T00:00:00"/>
    <x v="0"/>
    <x v="0"/>
    <n v="2353"/>
    <n v="3"/>
    <n v="5"/>
    <x v="560"/>
    <n v="1513.09"/>
    <n v="2166.77"/>
    <n v="0.32310674689273117"/>
    <x v="2"/>
    <x v="0"/>
    <n v="20"/>
    <x v="337"/>
    <s v="Retail"/>
    <x v="2"/>
  </r>
  <r>
    <x v="573"/>
    <d v="2023-01-26T00:00:00"/>
    <x v="9"/>
    <x v="5"/>
    <n v="2633"/>
    <n v="3"/>
    <n v="15"/>
    <x v="561"/>
    <n v="1471.57"/>
    <n v="2299.4299999999998"/>
    <n v="0.34247522024381344"/>
    <x v="0"/>
    <x v="0"/>
    <n v="4"/>
    <x v="85"/>
    <s v="Retail"/>
    <x v="2"/>
  </r>
  <r>
    <x v="574"/>
    <d v="2023-03-17T00:00:00"/>
    <x v="1"/>
    <x v="1"/>
    <n v="961"/>
    <n v="7"/>
    <n v="0"/>
    <x v="562"/>
    <n v="699.07"/>
    <n v="1833.49"/>
    <n v="0.27255686041325999"/>
    <x v="5"/>
    <x v="0"/>
    <n v="11"/>
    <x v="338"/>
    <s v="Retail"/>
    <x v="0"/>
  </r>
  <r>
    <x v="575"/>
    <d v="2023-09-12T00:00:00"/>
    <x v="1"/>
    <x v="1"/>
    <n v="3542"/>
    <n v="2"/>
    <n v="5"/>
    <x v="563"/>
    <n v="2089.29"/>
    <n v="2551.21"/>
    <n v="0.37909150346221282"/>
    <x v="8"/>
    <x v="0"/>
    <n v="37"/>
    <x v="330"/>
    <s v="Retail"/>
    <x v="1"/>
  </r>
  <r>
    <x v="576"/>
    <d v="2023-06-07T00:00:00"/>
    <x v="9"/>
    <x v="5"/>
    <n v="2244"/>
    <n v="3"/>
    <n v="0"/>
    <x v="564"/>
    <n v="1769.05"/>
    <n v="1424.85"/>
    <n v="0.21165329768270943"/>
    <x v="10"/>
    <x v="0"/>
    <n v="23"/>
    <x v="31"/>
    <s v="Wholesale"/>
    <x v="1"/>
  </r>
  <r>
    <x v="577"/>
    <d v="2023-05-03T00:00:00"/>
    <x v="8"/>
    <x v="2"/>
    <n v="1247"/>
    <n v="6"/>
    <n v="10"/>
    <x v="565"/>
    <n v="685.74"/>
    <n v="2619.34"/>
    <n v="0.38898393180670648"/>
    <x v="2"/>
    <x v="0"/>
    <n v="18"/>
    <x v="339"/>
    <s v="Retail"/>
    <x v="0"/>
  </r>
  <r>
    <x v="578"/>
    <d v="2023-01-09T00:00:00"/>
    <x v="7"/>
    <x v="1"/>
    <n v="887"/>
    <n v="8"/>
    <n v="5"/>
    <x v="566"/>
    <n v="674.38"/>
    <n v="1346.2"/>
    <n v="0.19969738325520681"/>
    <x v="0"/>
    <x v="0"/>
    <n v="2"/>
    <x v="275"/>
    <s v="Retail"/>
    <x v="3"/>
  </r>
  <r>
    <x v="579"/>
    <d v="2023-04-09T00:00:00"/>
    <x v="8"/>
    <x v="2"/>
    <n v="1874"/>
    <n v="4"/>
    <n v="10"/>
    <x v="567"/>
    <n v="1495.55"/>
    <n v="764.18"/>
    <n v="0.11327226372583897"/>
    <x v="7"/>
    <x v="0"/>
    <n v="15"/>
    <x v="340"/>
    <s v="Wholesale"/>
    <x v="2"/>
  </r>
  <r>
    <x v="580"/>
    <d v="2023-08-08T00:00:00"/>
    <x v="4"/>
    <x v="3"/>
    <n v="2251"/>
    <n v="3"/>
    <n v="0"/>
    <x v="568"/>
    <n v="1409.14"/>
    <n v="2525.59"/>
    <n v="0.37399526136531913"/>
    <x v="6"/>
    <x v="0"/>
    <n v="32"/>
    <x v="104"/>
    <s v="Retail"/>
    <x v="0"/>
  </r>
  <r>
    <x v="581"/>
    <d v="2023-08-14T00:00:00"/>
    <x v="4"/>
    <x v="3"/>
    <n v="2252"/>
    <n v="3"/>
    <n v="0"/>
    <x v="569"/>
    <n v="1241.3800000000001"/>
    <n v="3031.87"/>
    <n v="0.44876702190645351"/>
    <x v="6"/>
    <x v="0"/>
    <n v="33"/>
    <x v="7"/>
    <s v="Wholesale"/>
    <x v="3"/>
  </r>
  <r>
    <x v="582"/>
    <d v="2023-09-17T00:00:00"/>
    <x v="6"/>
    <x v="0"/>
    <n v="2262"/>
    <n v="3"/>
    <n v="0"/>
    <x v="570"/>
    <n v="1172.99"/>
    <n v="3267.03"/>
    <n v="0.48143678160919545"/>
    <x v="8"/>
    <x v="0"/>
    <n v="38"/>
    <x v="38"/>
    <s v="Retail"/>
    <x v="2"/>
  </r>
  <r>
    <x v="583"/>
    <d v="2023-04-25T00:00:00"/>
    <x v="2"/>
    <x v="2"/>
    <n v="1996"/>
    <n v="4"/>
    <n v="15"/>
    <x v="571"/>
    <n v="1179.3499999999999"/>
    <n v="2069"/>
    <n v="0.30487445479193681"/>
    <x v="7"/>
    <x v="0"/>
    <n v="17"/>
    <x v="281"/>
    <s v="Wholesale"/>
    <x v="3"/>
  </r>
  <r>
    <x v="584"/>
    <d v="2023-01-22T00:00:00"/>
    <x v="6"/>
    <x v="0"/>
    <n v="1597"/>
    <n v="5"/>
    <n v="15"/>
    <x v="572"/>
    <n v="984.76"/>
    <n v="1863.45"/>
    <n v="0.27455154885999483"/>
    <x v="0"/>
    <x v="0"/>
    <n v="4"/>
    <x v="341"/>
    <s v="Wholesale"/>
    <x v="1"/>
  </r>
  <r>
    <x v="585"/>
    <d v="2023-01-31T00:00:00"/>
    <x v="6"/>
    <x v="0"/>
    <n v="2263"/>
    <n v="3"/>
    <n v="0"/>
    <x v="573"/>
    <n v="1730.56"/>
    <n v="1597.33"/>
    <n v="0.23528207394314332"/>
    <x v="0"/>
    <x v="0"/>
    <n v="5"/>
    <x v="335"/>
    <s v="Retail"/>
    <x v="3"/>
  </r>
  <r>
    <x v="586"/>
    <d v="2023-11-07T00:00:00"/>
    <x v="2"/>
    <x v="2"/>
    <n v="1194"/>
    <n v="6"/>
    <n v="5"/>
    <x v="574"/>
    <n v="884.26"/>
    <n v="1500.26"/>
    <n v="0.22043844955773018"/>
    <x v="4"/>
    <x v="0"/>
    <n v="45"/>
    <x v="342"/>
    <s v="Retail"/>
    <x v="1"/>
  </r>
  <r>
    <x v="587"/>
    <d v="2023-09-13T00:00:00"/>
    <x v="7"/>
    <x v="1"/>
    <n v="1363"/>
    <n v="5"/>
    <n v="0"/>
    <x v="575"/>
    <n v="1025.5"/>
    <n v="1687.49"/>
    <n v="0.2476140865737344"/>
    <x v="8"/>
    <x v="0"/>
    <n v="37"/>
    <x v="204"/>
    <s v="Retail"/>
    <x v="3"/>
  </r>
  <r>
    <x v="588"/>
    <d v="2023-03-03T00:00:00"/>
    <x v="0"/>
    <x v="0"/>
    <n v="897"/>
    <n v="8"/>
    <n v="5"/>
    <x v="576"/>
    <n v="635.01"/>
    <n v="1737.12"/>
    <n v="0.25481429325822919"/>
    <x v="5"/>
    <x v="0"/>
    <n v="9"/>
    <x v="75"/>
    <s v="Retail"/>
    <x v="1"/>
  </r>
  <r>
    <x v="589"/>
    <d v="2023-08-30T00:00:00"/>
    <x v="9"/>
    <x v="5"/>
    <n v="3792"/>
    <n v="2"/>
    <n v="10"/>
    <x v="577"/>
    <n v="2831.54"/>
    <n v="1162.52"/>
    <n v="0.17031762775433659"/>
    <x v="6"/>
    <x v="0"/>
    <n v="35"/>
    <x v="14"/>
    <s v="Wholesale"/>
    <x v="0"/>
  </r>
  <r>
    <x v="590"/>
    <d v="2023-12-13T00:00:00"/>
    <x v="1"/>
    <x v="1"/>
    <n v="3414"/>
    <n v="2"/>
    <n v="0"/>
    <x v="578"/>
    <n v="2388.7600000000002"/>
    <n v="2050.48"/>
    <n v="0.30030462800234331"/>
    <x v="9"/>
    <x v="0"/>
    <n v="50"/>
    <x v="144"/>
    <s v="Retail"/>
    <x v="0"/>
  </r>
  <r>
    <x v="591"/>
    <d v="2023-09-28T00:00:00"/>
    <x v="0"/>
    <x v="0"/>
    <n v="1798"/>
    <n v="4"/>
    <n v="5"/>
    <x v="579"/>
    <n v="1066.9100000000001"/>
    <n v="2564.77"/>
    <n v="0.3753834670101282"/>
    <x v="8"/>
    <x v="0"/>
    <n v="39"/>
    <x v="342"/>
    <s v="Retail"/>
    <x v="3"/>
  </r>
  <r>
    <x v="592"/>
    <d v="2023-03-11T00:00:00"/>
    <x v="4"/>
    <x v="3"/>
    <n v="1201"/>
    <n v="6"/>
    <n v="5"/>
    <x v="580"/>
    <n v="648.57000000000005"/>
    <n v="2954.27"/>
    <n v="0.43155119271951736"/>
    <x v="5"/>
    <x v="0"/>
    <n v="10"/>
    <x v="253"/>
    <s v="Retail"/>
    <x v="3"/>
  </r>
  <r>
    <x v="593"/>
    <d v="2023-10-15T00:00:00"/>
    <x v="5"/>
    <x v="4"/>
    <n v="2539"/>
    <n v="3"/>
    <n v="10"/>
    <x v="581"/>
    <n v="1784.69"/>
    <n v="1501.22"/>
    <n v="0.21898676936093242"/>
    <x v="11"/>
    <x v="0"/>
    <n v="42"/>
    <x v="64"/>
    <s v="Retail"/>
    <x v="0"/>
  </r>
  <r>
    <x v="594"/>
    <d v="2023-07-09T00:00:00"/>
    <x v="7"/>
    <x v="1"/>
    <n v="803"/>
    <n v="9"/>
    <n v="5"/>
    <x v="582"/>
    <n v="460.22"/>
    <n v="2723.63"/>
    <n v="0.39670388091440728"/>
    <x v="1"/>
    <x v="0"/>
    <n v="28"/>
    <x v="123"/>
    <s v="Wholesale"/>
    <x v="2"/>
  </r>
  <r>
    <x v="595"/>
    <d v="2023-11-01T00:00:00"/>
    <x v="0"/>
    <x v="0"/>
    <n v="3614"/>
    <n v="2"/>
    <n v="5"/>
    <x v="583"/>
    <n v="2723.11"/>
    <n v="1420.38"/>
    <n v="0.20685346459674367"/>
    <x v="4"/>
    <x v="0"/>
    <n v="44"/>
    <x v="4"/>
    <s v="Retail"/>
    <x v="3"/>
  </r>
  <r>
    <x v="596"/>
    <d v="2023-04-27T00:00:00"/>
    <x v="0"/>
    <x v="0"/>
    <n v="1012"/>
    <n v="8"/>
    <n v="15"/>
    <x v="584"/>
    <n v="564.66"/>
    <n v="2364.3000000000002"/>
    <n v="0.34356835619623344"/>
    <x v="7"/>
    <x v="0"/>
    <n v="17"/>
    <x v="343"/>
    <s v="Retail"/>
    <x v="0"/>
  </r>
  <r>
    <x v="597"/>
    <d v="2023-05-06T00:00:00"/>
    <x v="8"/>
    <x v="2"/>
    <n v="3624"/>
    <n v="2"/>
    <n v="5"/>
    <x v="585"/>
    <n v="2852.55"/>
    <n v="1180.51"/>
    <n v="0.17144620657604276"/>
    <x v="2"/>
    <x v="0"/>
    <n v="18"/>
    <x v="344"/>
    <s v="Wholesale"/>
    <x v="0"/>
  </r>
  <r>
    <x v="598"/>
    <d v="2023-12-09T00:00:00"/>
    <x v="5"/>
    <x v="4"/>
    <n v="2028"/>
    <n v="4"/>
    <n v="15"/>
    <x v="586"/>
    <n v="1244.72"/>
    <n v="1916.32"/>
    <n v="0.27792087249100822"/>
    <x v="9"/>
    <x v="0"/>
    <n v="49"/>
    <x v="345"/>
    <s v="Wholesale"/>
    <x v="3"/>
  </r>
  <r>
    <x v="599"/>
    <d v="2023-11-07T00:00:00"/>
    <x v="7"/>
    <x v="1"/>
    <n v="807"/>
    <n v="9"/>
    <n v="5"/>
    <x v="587"/>
    <n v="603.6"/>
    <n v="1467.43"/>
    <n v="0.21267563787618571"/>
    <x v="4"/>
    <x v="0"/>
    <n v="45"/>
    <x v="175"/>
    <s v="Wholesale"/>
    <x v="0"/>
  </r>
  <r>
    <x v="600"/>
    <d v="2023-07-04T00:00:00"/>
    <x v="2"/>
    <x v="2"/>
    <n v="1039"/>
    <n v="7"/>
    <n v="5"/>
    <x v="588"/>
    <n v="649.30999999999995"/>
    <n v="2364.16"/>
    <n v="0.34216822132327929"/>
    <x v="1"/>
    <x v="0"/>
    <n v="27"/>
    <x v="242"/>
    <s v="Retail"/>
    <x v="0"/>
  </r>
  <r>
    <x v="601"/>
    <d v="2023-08-04T00:00:00"/>
    <x v="3"/>
    <x v="3"/>
    <n v="3459"/>
    <n v="2"/>
    <n v="0"/>
    <x v="589"/>
    <n v="1795.78"/>
    <n v="3326.44"/>
    <n v="0.48083839259901706"/>
    <x v="6"/>
    <x v="0"/>
    <n v="31"/>
    <x v="210"/>
    <s v="Retail"/>
    <x v="2"/>
  </r>
  <r>
    <x v="602"/>
    <d v="2023-01-01T00:00:00"/>
    <x v="5"/>
    <x v="4"/>
    <n v="1457"/>
    <n v="5"/>
    <n v="5"/>
    <x v="590"/>
    <n v="988.86"/>
    <n v="1976.44"/>
    <n v="0.28558176498211901"/>
    <x v="0"/>
    <x v="0"/>
    <n v="1"/>
    <x v="114"/>
    <s v="Retail"/>
    <x v="3"/>
  </r>
  <r>
    <x v="603"/>
    <d v="2023-06-08T00:00:00"/>
    <x v="0"/>
    <x v="0"/>
    <n v="2568"/>
    <n v="3"/>
    <n v="10"/>
    <x v="591"/>
    <n v="1948.26"/>
    <n v="1088.82"/>
    <n v="0.15703530633437174"/>
    <x v="10"/>
    <x v="0"/>
    <n v="23"/>
    <x v="287"/>
    <s v="Wholesale"/>
    <x v="0"/>
  </r>
  <r>
    <x v="604"/>
    <d v="2023-09-12T00:00:00"/>
    <x v="3"/>
    <x v="3"/>
    <n v="1026"/>
    <n v="8"/>
    <n v="15"/>
    <x v="592"/>
    <n v="766.79"/>
    <n v="842.51"/>
    <n v="0.12075880059626189"/>
    <x v="8"/>
    <x v="0"/>
    <n v="37"/>
    <x v="284"/>
    <s v="Wholesale"/>
    <x v="1"/>
  </r>
  <r>
    <x v="605"/>
    <d v="2023-11-29T00:00:00"/>
    <x v="5"/>
    <x v="4"/>
    <n v="1557"/>
    <n v="5"/>
    <n v="10"/>
    <x v="593"/>
    <n v="1058.56"/>
    <n v="1713.71"/>
    <n v="0.24458859630343252"/>
    <x v="4"/>
    <x v="0"/>
    <n v="48"/>
    <x v="346"/>
    <s v="Retail"/>
    <x v="0"/>
  </r>
  <r>
    <x v="606"/>
    <d v="2023-03-31T00:00:00"/>
    <x v="3"/>
    <x v="3"/>
    <n v="1231"/>
    <n v="6"/>
    <n v="5"/>
    <x v="594"/>
    <n v="774.34"/>
    <n v="2370.67"/>
    <n v="0.33786110279761145"/>
    <x v="5"/>
    <x v="0"/>
    <n v="13"/>
    <x v="174"/>
    <s v="Wholesale"/>
    <x v="0"/>
  </r>
  <r>
    <x v="607"/>
    <d v="2023-10-07T00:00:00"/>
    <x v="7"/>
    <x v="1"/>
    <n v="2068"/>
    <n v="4"/>
    <n v="15"/>
    <x v="595"/>
    <n v="1611.08"/>
    <n v="586.89"/>
    <n v="8.3469393560131985E-2"/>
    <x v="11"/>
    <x v="0"/>
    <n v="40"/>
    <x v="347"/>
    <s v="Wholesale"/>
    <x v="1"/>
  </r>
  <r>
    <x v="608"/>
    <d v="2023-06-28T00:00:00"/>
    <x v="9"/>
    <x v="5"/>
    <n v="920"/>
    <n v="9"/>
    <n v="15"/>
    <x v="596"/>
    <n v="694.8"/>
    <n v="784.78"/>
    <n v="0.1115061096902529"/>
    <x v="10"/>
    <x v="0"/>
    <n v="26"/>
    <x v="256"/>
    <s v="Retail"/>
    <x v="2"/>
  </r>
  <r>
    <x v="609"/>
    <d v="2023-02-19T00:00:00"/>
    <x v="3"/>
    <x v="3"/>
    <n v="1855"/>
    <n v="4"/>
    <n v="5"/>
    <x v="597"/>
    <n v="1375.33"/>
    <n v="1547.68"/>
    <n v="0.21956022130798697"/>
    <x v="3"/>
    <x v="0"/>
    <n v="8"/>
    <x v="172"/>
    <s v="Wholesale"/>
    <x v="3"/>
  </r>
  <r>
    <x v="610"/>
    <d v="2023-03-23T00:00:00"/>
    <x v="2"/>
    <x v="2"/>
    <n v="1411"/>
    <n v="5"/>
    <n v="0"/>
    <x v="598"/>
    <n v="802.67"/>
    <n v="3041.63"/>
    <n v="0.43113111268603826"/>
    <x v="5"/>
    <x v="0"/>
    <n v="12"/>
    <x v="136"/>
    <s v="Wholesale"/>
    <x v="0"/>
  </r>
  <r>
    <x v="611"/>
    <d v="2023-03-19T00:00:00"/>
    <x v="0"/>
    <x v="0"/>
    <n v="1966"/>
    <n v="4"/>
    <n v="10"/>
    <x v="599"/>
    <n v="1197.19"/>
    <n v="2288.86"/>
    <n v="0.32339493613654346"/>
    <x v="5"/>
    <x v="0"/>
    <n v="12"/>
    <x v="120"/>
    <s v="Wholesale"/>
    <x v="1"/>
  </r>
  <r>
    <x v="612"/>
    <d v="2023-08-06T00:00:00"/>
    <x v="8"/>
    <x v="2"/>
    <n v="2779"/>
    <n v="3"/>
    <n v="15"/>
    <x v="600"/>
    <n v="1565.59"/>
    <n v="2389.67"/>
    <n v="0.33721680107811386"/>
    <x v="6"/>
    <x v="0"/>
    <n v="32"/>
    <x v="242"/>
    <s v="Retail"/>
    <x v="0"/>
  </r>
  <r>
    <x v="613"/>
    <d v="2023-01-08T00:00:00"/>
    <x v="6"/>
    <x v="0"/>
    <n v="1867"/>
    <n v="4"/>
    <n v="5"/>
    <x v="601"/>
    <n v="950.03"/>
    <n v="3294.49"/>
    <n v="0.46436585572125272"/>
    <x v="0"/>
    <x v="0"/>
    <n v="2"/>
    <x v="107"/>
    <s v="Wholesale"/>
    <x v="0"/>
  </r>
  <r>
    <x v="614"/>
    <d v="2023-05-15T00:00:00"/>
    <x v="0"/>
    <x v="0"/>
    <n v="1867"/>
    <n v="4"/>
    <n v="5"/>
    <x v="601"/>
    <n v="1268.1199999999999"/>
    <n v="2022.12"/>
    <n v="0.28502241141149603"/>
    <x v="2"/>
    <x v="0"/>
    <n v="20"/>
    <x v="348"/>
    <s v="Wholesale"/>
    <x v="0"/>
  </r>
  <r>
    <x v="615"/>
    <d v="2023-07-06T00:00:00"/>
    <x v="4"/>
    <x v="3"/>
    <n v="3741"/>
    <n v="2"/>
    <n v="5"/>
    <x v="602"/>
    <n v="2716.27"/>
    <n v="1675.35"/>
    <n v="0.23570252817287807"/>
    <x v="1"/>
    <x v="0"/>
    <n v="27"/>
    <x v="349"/>
    <s v="Wholesale"/>
    <x v="0"/>
  </r>
  <r>
    <x v="616"/>
    <d v="2023-11-25T00:00:00"/>
    <x v="7"/>
    <x v="1"/>
    <n v="1426"/>
    <n v="5"/>
    <n v="0"/>
    <x v="603"/>
    <n v="873.2"/>
    <n v="2763.98"/>
    <n v="0.38765497896213186"/>
    <x v="4"/>
    <x v="0"/>
    <n v="47"/>
    <x v="350"/>
    <s v="Wholesale"/>
    <x v="2"/>
  </r>
  <r>
    <x v="617"/>
    <d v="2023-01-22T00:00:00"/>
    <x v="2"/>
    <x v="2"/>
    <n v="1051"/>
    <n v="8"/>
    <n v="15"/>
    <x v="604"/>
    <n v="795.88"/>
    <n v="779.77"/>
    <n v="0.1091075726199138"/>
    <x v="0"/>
    <x v="0"/>
    <n v="4"/>
    <x v="239"/>
    <s v="Retail"/>
    <x v="3"/>
  </r>
  <r>
    <x v="618"/>
    <d v="2023-02-09T00:00:00"/>
    <x v="6"/>
    <x v="0"/>
    <n v="2105"/>
    <n v="4"/>
    <n v="15"/>
    <x v="605"/>
    <n v="1261.8"/>
    <n v="2109.7800000000002"/>
    <n v="0.29478552466117092"/>
    <x v="3"/>
    <x v="0"/>
    <n v="6"/>
    <x v="182"/>
    <s v="Retail"/>
    <x v="3"/>
  </r>
  <r>
    <x v="619"/>
    <d v="2023-02-22T00:00:00"/>
    <x v="0"/>
    <x v="0"/>
    <n v="3588"/>
    <n v="2"/>
    <n v="0"/>
    <x v="606"/>
    <n v="2526.2800000000002"/>
    <n v="2123.4299999999998"/>
    <n v="0.29590719063545146"/>
    <x v="3"/>
    <x v="0"/>
    <n v="8"/>
    <x v="5"/>
    <s v="Retail"/>
    <x v="2"/>
  </r>
  <r>
    <x v="620"/>
    <d v="2023-02-11T00:00:00"/>
    <x v="6"/>
    <x v="0"/>
    <n v="3998"/>
    <n v="2"/>
    <n v="10"/>
    <x v="607"/>
    <n v="2317.3000000000002"/>
    <n v="2561.8000000000002"/>
    <n v="0.35598354732922022"/>
    <x v="3"/>
    <x v="0"/>
    <n v="6"/>
    <x v="204"/>
    <s v="Retail"/>
    <x v="3"/>
  </r>
  <r>
    <x v="621"/>
    <d v="2023-04-15T00:00:00"/>
    <x v="7"/>
    <x v="1"/>
    <n v="1084"/>
    <n v="7"/>
    <n v="5"/>
    <x v="608"/>
    <n v="782.21"/>
    <n v="1733.12"/>
    <n v="0.24042393807396717"/>
    <x v="7"/>
    <x v="0"/>
    <n v="15"/>
    <x v="348"/>
    <s v="Wholesale"/>
    <x v="2"/>
  </r>
  <r>
    <x v="622"/>
    <d v="2023-11-09T00:00:00"/>
    <x v="2"/>
    <x v="2"/>
    <n v="3811"/>
    <n v="2"/>
    <n v="5"/>
    <x v="609"/>
    <n v="2710.34"/>
    <n v="1820.22"/>
    <n v="0.25138035327100222"/>
    <x v="4"/>
    <x v="0"/>
    <n v="45"/>
    <x v="351"/>
    <s v="Retail"/>
    <x v="0"/>
  </r>
  <r>
    <x v="623"/>
    <d v="2023-10-04T00:00:00"/>
    <x v="5"/>
    <x v="4"/>
    <n v="4260"/>
    <n v="2"/>
    <n v="15"/>
    <x v="610"/>
    <n v="2550.6"/>
    <n v="2140.8000000000002"/>
    <n v="0.29560894780447394"/>
    <x v="11"/>
    <x v="0"/>
    <n v="40"/>
    <x v="64"/>
    <s v="Wholesale"/>
    <x v="3"/>
  </r>
  <r>
    <x v="624"/>
    <d v="2023-05-05T00:00:00"/>
    <x v="2"/>
    <x v="2"/>
    <n v="806"/>
    <n v="10"/>
    <n v="10"/>
    <x v="611"/>
    <n v="611.82000000000005"/>
    <n v="1135.83"/>
    <n v="0.15657981803143092"/>
    <x v="2"/>
    <x v="0"/>
    <n v="18"/>
    <x v="200"/>
    <s v="Wholesale"/>
    <x v="2"/>
  </r>
  <r>
    <x v="625"/>
    <d v="2023-03-14T00:00:00"/>
    <x v="1"/>
    <x v="1"/>
    <n v="2419"/>
    <n v="3"/>
    <n v="0"/>
    <x v="612"/>
    <n v="1929.94"/>
    <n v="1467.19"/>
    <n v="0.20217583023287861"/>
    <x v="5"/>
    <x v="0"/>
    <n v="11"/>
    <x v="111"/>
    <s v="Retail"/>
    <x v="3"/>
  </r>
  <r>
    <x v="626"/>
    <d v="2023-06-26T00:00:00"/>
    <x v="2"/>
    <x v="2"/>
    <n v="4035"/>
    <n v="2"/>
    <n v="10"/>
    <x v="613"/>
    <n v="2414.5700000000002"/>
    <n v="2433.87"/>
    <n v="0.33510532837670381"/>
    <x v="10"/>
    <x v="0"/>
    <n v="26"/>
    <x v="113"/>
    <s v="Retail"/>
    <x v="3"/>
  </r>
  <r>
    <x v="627"/>
    <d v="2023-09-26T00:00:00"/>
    <x v="4"/>
    <x v="3"/>
    <n v="3638"/>
    <n v="2"/>
    <n v="0"/>
    <x v="614"/>
    <n v="1979.88"/>
    <n v="3316.24"/>
    <n v="0.45577789994502471"/>
    <x v="8"/>
    <x v="0"/>
    <n v="39"/>
    <x v="60"/>
    <s v="Wholesale"/>
    <x v="1"/>
  </r>
  <r>
    <x v="628"/>
    <d v="2023-02-24T00:00:00"/>
    <x v="8"/>
    <x v="2"/>
    <n v="2142"/>
    <n v="4"/>
    <n v="15"/>
    <x v="615"/>
    <n v="1468.5"/>
    <n v="1408.78"/>
    <n v="0.19343933651892128"/>
    <x v="3"/>
    <x v="0"/>
    <n v="8"/>
    <x v="352"/>
    <s v="Wholesale"/>
    <x v="0"/>
  </r>
  <r>
    <x v="629"/>
    <d v="2023-05-22T00:00:00"/>
    <x v="7"/>
    <x v="1"/>
    <n v="2025"/>
    <n v="4"/>
    <n v="10"/>
    <x v="616"/>
    <n v="1532.77"/>
    <n v="1158.93"/>
    <n v="0.15897530864197532"/>
    <x v="2"/>
    <x v="0"/>
    <n v="21"/>
    <x v="353"/>
    <s v="Retail"/>
    <x v="0"/>
  </r>
  <r>
    <x v="630"/>
    <d v="2023-07-28T00:00:00"/>
    <x v="0"/>
    <x v="0"/>
    <n v="1216"/>
    <n v="6"/>
    <n v="0"/>
    <x v="617"/>
    <n v="769.24"/>
    <n v="2680.57"/>
    <n v="0.36740268640350882"/>
    <x v="1"/>
    <x v="0"/>
    <n v="30"/>
    <x v="93"/>
    <s v="Retail"/>
    <x v="3"/>
  </r>
  <r>
    <x v="631"/>
    <d v="2023-04-13T00:00:00"/>
    <x v="0"/>
    <x v="0"/>
    <n v="3841"/>
    <n v="2"/>
    <n v="5"/>
    <x v="618"/>
    <n v="2481.8200000000002"/>
    <n v="2334.2600000000002"/>
    <n v="0.31985365653133097"/>
    <x v="7"/>
    <x v="0"/>
    <n v="15"/>
    <x v="295"/>
    <s v="Wholesale"/>
    <x v="0"/>
  </r>
  <r>
    <x v="632"/>
    <d v="2023-06-09T00:00:00"/>
    <x v="8"/>
    <x v="2"/>
    <n v="1719"/>
    <n v="5"/>
    <n v="15"/>
    <x v="619"/>
    <n v="957.96"/>
    <n v="2515.9699999999998"/>
    <n v="0.344382164733258"/>
    <x v="10"/>
    <x v="0"/>
    <n v="23"/>
    <x v="224"/>
    <s v="Retail"/>
    <x v="1"/>
  </r>
  <r>
    <x v="633"/>
    <d v="2023-04-20T00:00:00"/>
    <x v="2"/>
    <x v="2"/>
    <n v="1231"/>
    <n v="7"/>
    <n v="15"/>
    <x v="620"/>
    <n v="812.92"/>
    <n v="1634.04"/>
    <n v="0.22309388418243009"/>
    <x v="7"/>
    <x v="0"/>
    <n v="16"/>
    <x v="119"/>
    <s v="Retail"/>
    <x v="0"/>
  </r>
  <r>
    <x v="634"/>
    <d v="2023-04-12T00:00:00"/>
    <x v="0"/>
    <x v="0"/>
    <n v="863"/>
    <n v="10"/>
    <n v="15"/>
    <x v="621"/>
    <n v="460.74"/>
    <n v="2728.05"/>
    <n v="0.37189693954059033"/>
    <x v="7"/>
    <x v="0"/>
    <n v="15"/>
    <x v="37"/>
    <s v="Wholesale"/>
    <x v="2"/>
  </r>
  <r>
    <x v="635"/>
    <d v="2023-11-22T00:00:00"/>
    <x v="7"/>
    <x v="1"/>
    <n v="1441"/>
    <n v="6"/>
    <n v="15"/>
    <x v="622"/>
    <n v="895.1"/>
    <n v="1978.52"/>
    <n v="0.26921936019376519"/>
    <x v="4"/>
    <x v="0"/>
    <n v="47"/>
    <x v="218"/>
    <s v="Wholesale"/>
    <x v="2"/>
  </r>
  <r>
    <x v="636"/>
    <d v="2023-07-24T00:00:00"/>
    <x v="0"/>
    <x v="0"/>
    <n v="921"/>
    <n v="8"/>
    <n v="0"/>
    <x v="623"/>
    <n v="557.1"/>
    <n v="2911.19"/>
    <n v="0.39511264929424539"/>
    <x v="1"/>
    <x v="0"/>
    <n v="30"/>
    <x v="0"/>
    <s v="Wholesale"/>
    <x v="2"/>
  </r>
  <r>
    <x v="637"/>
    <d v="2023-01-24T00:00:00"/>
    <x v="2"/>
    <x v="2"/>
    <n v="1228"/>
    <n v="6"/>
    <n v="0"/>
    <x v="623"/>
    <n v="965.25"/>
    <n v="1576.49"/>
    <n v="0.21396444082519001"/>
    <x v="0"/>
    <x v="0"/>
    <n v="4"/>
    <x v="354"/>
    <s v="Retail"/>
    <x v="0"/>
  </r>
  <r>
    <x v="638"/>
    <d v="2023-12-14T00:00:00"/>
    <x v="5"/>
    <x v="4"/>
    <n v="922"/>
    <n v="8"/>
    <n v="0"/>
    <x v="624"/>
    <n v="498.25"/>
    <n v="3390.03"/>
    <n v="0.45960276572668113"/>
    <x v="9"/>
    <x v="0"/>
    <n v="50"/>
    <x v="355"/>
    <s v="Wholesale"/>
    <x v="3"/>
  </r>
  <r>
    <x v="639"/>
    <d v="2023-10-04T00:00:00"/>
    <x v="2"/>
    <x v="2"/>
    <n v="1481"/>
    <n v="5"/>
    <n v="0"/>
    <x v="625"/>
    <n v="1018.72"/>
    <n v="2311.39"/>
    <n v="0.31213909520594191"/>
    <x v="11"/>
    <x v="0"/>
    <n v="40"/>
    <x v="66"/>
    <s v="Wholesale"/>
    <x v="3"/>
  </r>
  <r>
    <x v="640"/>
    <d v="2023-06-01T00:00:00"/>
    <x v="1"/>
    <x v="1"/>
    <n v="2057"/>
    <n v="4"/>
    <n v="10"/>
    <x v="626"/>
    <n v="1450.54"/>
    <n v="1603.04"/>
    <n v="0.21647490952303786"/>
    <x v="10"/>
    <x v="0"/>
    <n v="22"/>
    <x v="356"/>
    <s v="Retail"/>
    <x v="1"/>
  </r>
  <r>
    <x v="641"/>
    <d v="2023-02-21T00:00:00"/>
    <x v="8"/>
    <x v="2"/>
    <n v="2601"/>
    <n v="3"/>
    <n v="5"/>
    <x v="627"/>
    <n v="1844.14"/>
    <n v="1880.44"/>
    <n v="0.25367301375314488"/>
    <x v="3"/>
    <x v="0"/>
    <n v="8"/>
    <x v="318"/>
    <s v="Wholesale"/>
    <x v="2"/>
  </r>
  <r>
    <x v="642"/>
    <d v="2023-06-17T00:00:00"/>
    <x v="6"/>
    <x v="0"/>
    <n v="868"/>
    <n v="9"/>
    <n v="5"/>
    <x v="628"/>
    <n v="521.74"/>
    <n v="2725.76"/>
    <n v="0.36728380090009977"/>
    <x v="10"/>
    <x v="0"/>
    <n v="24"/>
    <x v="51"/>
    <s v="Retail"/>
    <x v="3"/>
  </r>
  <r>
    <x v="643"/>
    <d v="2023-12-13T00:00:00"/>
    <x v="5"/>
    <x v="4"/>
    <n v="4366"/>
    <n v="2"/>
    <n v="15"/>
    <x v="629"/>
    <n v="3339.87"/>
    <n v="742.46"/>
    <n v="0.10003233542615397"/>
    <x v="9"/>
    <x v="0"/>
    <n v="50"/>
    <x v="54"/>
    <s v="Wholesale"/>
    <x v="2"/>
  </r>
  <r>
    <x v="644"/>
    <d v="2023-01-31T00:00:00"/>
    <x v="5"/>
    <x v="4"/>
    <n v="1378"/>
    <n v="6"/>
    <n v="10"/>
    <x v="630"/>
    <n v="747.05"/>
    <n v="2958.88"/>
    <n v="0.39763479008762032"/>
    <x v="0"/>
    <x v="0"/>
    <n v="5"/>
    <x v="2"/>
    <s v="Retail"/>
    <x v="0"/>
  </r>
  <r>
    <x v="645"/>
    <d v="2023-11-26T00:00:00"/>
    <x v="6"/>
    <x v="0"/>
    <n v="827"/>
    <n v="10"/>
    <n v="10"/>
    <x v="631"/>
    <n v="445.1"/>
    <n v="2991.97"/>
    <n v="0.40198441488647046"/>
    <x v="4"/>
    <x v="0"/>
    <n v="48"/>
    <x v="301"/>
    <s v="Retail"/>
    <x v="2"/>
  </r>
  <r>
    <x v="646"/>
    <d v="2023-02-19T00:00:00"/>
    <x v="3"/>
    <x v="3"/>
    <n v="1959"/>
    <n v="4"/>
    <n v="5"/>
    <x v="632"/>
    <n v="1226.24"/>
    <n v="2539.2399999999998"/>
    <n v="0.34110314070014236"/>
    <x v="3"/>
    <x v="0"/>
    <n v="8"/>
    <x v="20"/>
    <s v="Retail"/>
    <x v="3"/>
  </r>
  <r>
    <x v="647"/>
    <d v="2023-03-21T00:00:00"/>
    <x v="5"/>
    <x v="4"/>
    <n v="1489"/>
    <n v="5"/>
    <n v="0"/>
    <x v="633"/>
    <n v="1172.07"/>
    <n v="1584.63"/>
    <n v="0.2128448623237072"/>
    <x v="5"/>
    <x v="0"/>
    <n v="12"/>
    <x v="149"/>
    <s v="Retail"/>
    <x v="0"/>
  </r>
  <r>
    <x v="648"/>
    <d v="2023-09-01T00:00:00"/>
    <x v="4"/>
    <x v="3"/>
    <n v="1461"/>
    <n v="6"/>
    <n v="15"/>
    <x v="634"/>
    <n v="1059.92"/>
    <n v="1091.5899999999999"/>
    <n v="0.14650051670223185"/>
    <x v="8"/>
    <x v="0"/>
    <n v="35"/>
    <x v="211"/>
    <s v="Wholesale"/>
    <x v="1"/>
  </r>
  <r>
    <x v="649"/>
    <d v="2023-09-07T00:00:00"/>
    <x v="8"/>
    <x v="2"/>
    <n v="1863"/>
    <n v="4"/>
    <n v="0"/>
    <x v="635"/>
    <n v="994.4"/>
    <n v="3474.4"/>
    <n v="0.46623725174449815"/>
    <x v="8"/>
    <x v="0"/>
    <n v="36"/>
    <x v="201"/>
    <s v="Retail"/>
    <x v="2"/>
  </r>
  <r>
    <x v="650"/>
    <d v="2023-04-16T00:00:00"/>
    <x v="7"/>
    <x v="1"/>
    <n v="872"/>
    <n v="9"/>
    <n v="5"/>
    <x v="636"/>
    <n v="559.41999999999996"/>
    <n v="2420.83"/>
    <n v="0.3246995546971404"/>
    <x v="7"/>
    <x v="0"/>
    <n v="16"/>
    <x v="135"/>
    <s v="Wholesale"/>
    <x v="0"/>
  </r>
  <r>
    <x v="651"/>
    <d v="2023-06-08T00:00:00"/>
    <x v="7"/>
    <x v="1"/>
    <n v="3929"/>
    <n v="2"/>
    <n v="5"/>
    <x v="637"/>
    <n v="2219.38"/>
    <n v="3026.34"/>
    <n v="0.40539845413993114"/>
    <x v="10"/>
    <x v="0"/>
    <n v="23"/>
    <x v="357"/>
    <s v="Retail"/>
    <x v="3"/>
  </r>
  <r>
    <x v="652"/>
    <d v="2023-06-19T00:00:00"/>
    <x v="3"/>
    <x v="3"/>
    <n v="1967"/>
    <n v="4"/>
    <n v="5"/>
    <x v="638"/>
    <n v="1109.0999999999999"/>
    <n v="3038.18"/>
    <n v="0.4064672357049206"/>
    <x v="10"/>
    <x v="0"/>
    <n v="25"/>
    <x v="355"/>
    <s v="Wholesale"/>
    <x v="2"/>
  </r>
  <r>
    <x v="653"/>
    <d v="2023-07-17T00:00:00"/>
    <x v="0"/>
    <x v="0"/>
    <n v="4406"/>
    <n v="2"/>
    <n v="15"/>
    <x v="639"/>
    <n v="3274.57"/>
    <n v="941.05"/>
    <n v="0.12563749966623053"/>
    <x v="1"/>
    <x v="0"/>
    <n v="29"/>
    <x v="358"/>
    <s v="Retail"/>
    <x v="0"/>
  </r>
  <r>
    <x v="654"/>
    <d v="2023-03-22T00:00:00"/>
    <x v="9"/>
    <x v="5"/>
    <n v="1189"/>
    <n v="7"/>
    <n v="10"/>
    <x v="640"/>
    <n v="829.86"/>
    <n v="1681.65"/>
    <n v="0.224498377988706"/>
    <x v="5"/>
    <x v="0"/>
    <n v="12"/>
    <x v="60"/>
    <s v="Wholesale"/>
    <x v="1"/>
  </r>
  <r>
    <x v="655"/>
    <d v="2023-02-24T00:00:00"/>
    <x v="6"/>
    <x v="0"/>
    <n v="1763"/>
    <n v="5"/>
    <n v="15"/>
    <x v="641"/>
    <n v="1168.1600000000001"/>
    <n v="1651.95"/>
    <n v="0.22047312401988589"/>
    <x v="3"/>
    <x v="0"/>
    <n v="8"/>
    <x v="150"/>
    <s v="Wholesale"/>
    <x v="3"/>
  </r>
  <r>
    <x v="656"/>
    <d v="2023-10-07T00:00:00"/>
    <x v="4"/>
    <x v="3"/>
    <n v="2644"/>
    <n v="3"/>
    <n v="5"/>
    <x v="642"/>
    <n v="1995.09"/>
    <n v="1550.12"/>
    <n v="0.20571170740770231"/>
    <x v="11"/>
    <x v="0"/>
    <n v="40"/>
    <x v="353"/>
    <s v="Wholesale"/>
    <x v="2"/>
  </r>
  <r>
    <x v="657"/>
    <d v="2023-04-05T00:00:00"/>
    <x v="0"/>
    <x v="0"/>
    <n v="1774"/>
    <n v="5"/>
    <n v="15"/>
    <x v="643"/>
    <n v="1280.73"/>
    <n v="1135.8699999999999"/>
    <n v="0.15065587903707142"/>
    <x v="7"/>
    <x v="0"/>
    <n v="14"/>
    <x v="90"/>
    <s v="Wholesale"/>
    <x v="0"/>
  </r>
  <r>
    <x v="658"/>
    <d v="2023-07-10T00:00:00"/>
    <x v="4"/>
    <x v="3"/>
    <n v="3777"/>
    <n v="2"/>
    <n v="0"/>
    <x v="644"/>
    <n v="2639.72"/>
    <n v="2274.5700000000002"/>
    <n v="0.30110802223987293"/>
    <x v="1"/>
    <x v="0"/>
    <n v="28"/>
    <x v="359"/>
    <s v="Retail"/>
    <x v="0"/>
  </r>
  <r>
    <x v="659"/>
    <d v="2023-05-09T00:00:00"/>
    <x v="8"/>
    <x v="2"/>
    <n v="1779"/>
    <n v="5"/>
    <n v="15"/>
    <x v="645"/>
    <n v="1053.98"/>
    <n v="2290.83"/>
    <n v="0.30298978275964683"/>
    <x v="2"/>
    <x v="0"/>
    <n v="19"/>
    <x v="327"/>
    <s v="Wholesale"/>
    <x v="1"/>
  </r>
  <r>
    <x v="660"/>
    <d v="2023-11-20T00:00:00"/>
    <x v="2"/>
    <x v="2"/>
    <n v="1893"/>
    <n v="4"/>
    <n v="0"/>
    <x v="646"/>
    <n v="1245.25"/>
    <n v="2591"/>
    <n v="0.34218172213417858"/>
    <x v="4"/>
    <x v="0"/>
    <n v="47"/>
    <x v="204"/>
    <s v="Wholesale"/>
    <x v="3"/>
  </r>
  <r>
    <x v="661"/>
    <d v="2023-07-11T00:00:00"/>
    <x v="2"/>
    <x v="2"/>
    <n v="2807"/>
    <n v="3"/>
    <n v="10"/>
    <x v="647"/>
    <n v="1876.79"/>
    <n v="1948.53"/>
    <n v="0.25709931520405338"/>
    <x v="1"/>
    <x v="0"/>
    <n v="28"/>
    <x v="49"/>
    <s v="Wholesale"/>
    <x v="0"/>
  </r>
  <r>
    <x v="662"/>
    <d v="2023-11-23T00:00:00"/>
    <x v="6"/>
    <x v="0"/>
    <n v="1516"/>
    <n v="5"/>
    <n v="0"/>
    <x v="648"/>
    <n v="1017.8"/>
    <n v="2490.9899999999998"/>
    <n v="0.32862664907651712"/>
    <x v="4"/>
    <x v="0"/>
    <n v="47"/>
    <x v="53"/>
    <s v="Wholesale"/>
    <x v="0"/>
  </r>
  <r>
    <x v="663"/>
    <d v="2023-05-02T00:00:00"/>
    <x v="4"/>
    <x v="3"/>
    <n v="1404"/>
    <n v="6"/>
    <n v="10"/>
    <x v="649"/>
    <n v="1026.1099999999999"/>
    <n v="1424.94"/>
    <n v="0.18794713516935738"/>
    <x v="2"/>
    <x v="0"/>
    <n v="18"/>
    <x v="150"/>
    <s v="Retail"/>
    <x v="0"/>
  </r>
  <r>
    <x v="664"/>
    <d v="2023-12-18T00:00:00"/>
    <x v="7"/>
    <x v="1"/>
    <n v="3793"/>
    <n v="2"/>
    <n v="0"/>
    <x v="650"/>
    <n v="2940.58"/>
    <n v="1704.85"/>
    <n v="0.22473635644608489"/>
    <x v="9"/>
    <x v="0"/>
    <n v="51"/>
    <x v="151"/>
    <s v="Wholesale"/>
    <x v="2"/>
  </r>
  <r>
    <x v="665"/>
    <d v="2023-10-22T00:00:00"/>
    <x v="8"/>
    <x v="2"/>
    <n v="1690"/>
    <n v="5"/>
    <n v="10"/>
    <x v="651"/>
    <n v="1271.1400000000001"/>
    <n v="1249.31"/>
    <n v="0.1642748191978961"/>
    <x v="11"/>
    <x v="0"/>
    <n v="43"/>
    <x v="67"/>
    <s v="Wholesale"/>
    <x v="1"/>
  </r>
  <r>
    <x v="666"/>
    <d v="2023-10-29T00:00:00"/>
    <x v="6"/>
    <x v="0"/>
    <n v="3804"/>
    <n v="2"/>
    <n v="0"/>
    <x v="652"/>
    <n v="2117.2600000000002"/>
    <n v="3373.48"/>
    <n v="0.44341219768664564"/>
    <x v="11"/>
    <x v="0"/>
    <n v="44"/>
    <x v="284"/>
    <s v="Wholesale"/>
    <x v="0"/>
  </r>
  <r>
    <x v="667"/>
    <d v="2023-07-24T00:00:00"/>
    <x v="9"/>
    <x v="5"/>
    <n v="4230"/>
    <n v="2"/>
    <n v="10"/>
    <x v="653"/>
    <n v="2118.36"/>
    <n v="3377.29"/>
    <n v="0.44356317310218019"/>
    <x v="1"/>
    <x v="0"/>
    <n v="30"/>
    <x v="247"/>
    <s v="Wholesale"/>
    <x v="2"/>
  </r>
  <r>
    <x v="668"/>
    <d v="2023-03-14T00:00:00"/>
    <x v="3"/>
    <x v="3"/>
    <n v="941"/>
    <n v="9"/>
    <n v="10"/>
    <x v="654"/>
    <n v="698.64"/>
    <n v="1334.37"/>
    <n v="0.17506592671311053"/>
    <x v="5"/>
    <x v="0"/>
    <n v="11"/>
    <x v="360"/>
    <s v="Wholesale"/>
    <x v="2"/>
  </r>
  <r>
    <x v="669"/>
    <d v="2023-08-09T00:00:00"/>
    <x v="8"/>
    <x v="2"/>
    <n v="2991"/>
    <n v="3"/>
    <n v="15"/>
    <x v="655"/>
    <n v="1644.14"/>
    <n v="2694.64"/>
    <n v="0.35330042414826174"/>
    <x v="6"/>
    <x v="0"/>
    <n v="32"/>
    <x v="22"/>
    <s v="Wholesale"/>
    <x v="0"/>
  </r>
  <r>
    <x v="670"/>
    <d v="2023-07-26T00:00:00"/>
    <x v="4"/>
    <x v="3"/>
    <n v="1695"/>
    <n v="5"/>
    <n v="10"/>
    <x v="656"/>
    <n v="1332.03"/>
    <n v="967.34"/>
    <n v="0.12682268108816783"/>
    <x v="1"/>
    <x v="0"/>
    <n v="30"/>
    <x v="358"/>
    <s v="Wholesale"/>
    <x v="3"/>
  </r>
  <r>
    <x v="671"/>
    <d v="2023-11-12T00:00:00"/>
    <x v="6"/>
    <x v="0"/>
    <n v="4242"/>
    <n v="2"/>
    <n v="10"/>
    <x v="657"/>
    <n v="2701.06"/>
    <n v="2233.4699999999998"/>
    <n v="0.29250746503221747"/>
    <x v="4"/>
    <x v="0"/>
    <n v="46"/>
    <x v="140"/>
    <s v="Retail"/>
    <x v="3"/>
  </r>
  <r>
    <x v="672"/>
    <d v="2023-01-29T00:00:00"/>
    <x v="6"/>
    <x v="0"/>
    <n v="3820"/>
    <n v="2"/>
    <n v="0"/>
    <x v="658"/>
    <n v="1955.16"/>
    <n v="3729.68"/>
    <n v="0.48817801047120418"/>
    <x v="0"/>
    <x v="0"/>
    <n v="5"/>
    <x v="175"/>
    <s v="Wholesale"/>
    <x v="0"/>
  </r>
  <r>
    <x v="673"/>
    <d v="2023-08-20T00:00:00"/>
    <x v="8"/>
    <x v="2"/>
    <n v="4497"/>
    <n v="2"/>
    <n v="15"/>
    <x v="659"/>
    <n v="2890.77"/>
    <n v="1863.37"/>
    <n v="0.24374027129197243"/>
    <x v="6"/>
    <x v="0"/>
    <n v="34"/>
    <x v="275"/>
    <s v="Wholesale"/>
    <x v="3"/>
  </r>
  <r>
    <x v="674"/>
    <d v="2023-09-28T00:00:00"/>
    <x v="7"/>
    <x v="1"/>
    <n v="1093"/>
    <n v="7"/>
    <n v="0"/>
    <x v="660"/>
    <n v="567.32000000000005"/>
    <n v="3679.76"/>
    <n v="0.48095150960658739"/>
    <x v="8"/>
    <x v="0"/>
    <n v="39"/>
    <x v="325"/>
    <s v="Wholesale"/>
    <x v="0"/>
  </r>
  <r>
    <x v="675"/>
    <d v="2023-10-09T00:00:00"/>
    <x v="0"/>
    <x v="0"/>
    <n v="1343"/>
    <n v="6"/>
    <n v="5"/>
    <x v="661"/>
    <n v="1050.3699999999999"/>
    <n v="1352.9"/>
    <n v="0.17673185196796906"/>
    <x v="11"/>
    <x v="0"/>
    <n v="41"/>
    <x v="46"/>
    <s v="Wholesale"/>
    <x v="3"/>
  </r>
  <r>
    <x v="676"/>
    <d v="2023-11-02T00:00:00"/>
    <x v="0"/>
    <x v="0"/>
    <n v="1503"/>
    <n v="6"/>
    <n v="15"/>
    <x v="662"/>
    <n v="1188.47"/>
    <n v="534.5"/>
    <n v="6.9729821402945744E-2"/>
    <x v="4"/>
    <x v="0"/>
    <n v="44"/>
    <x v="54"/>
    <s v="Wholesale"/>
    <x v="3"/>
  </r>
  <r>
    <x v="677"/>
    <d v="2023-03-11T00:00:00"/>
    <x v="8"/>
    <x v="2"/>
    <n v="807"/>
    <n v="10"/>
    <n v="5"/>
    <x v="663"/>
    <n v="420.29"/>
    <n v="3463.57"/>
    <n v="0.45177982130046307"/>
    <x v="5"/>
    <x v="0"/>
    <n v="10"/>
    <x v="361"/>
    <s v="Wholesale"/>
    <x v="3"/>
  </r>
  <r>
    <x v="678"/>
    <d v="2023-07-21T00:00:00"/>
    <x v="5"/>
    <x v="4"/>
    <n v="1616"/>
    <n v="5"/>
    <n v="5"/>
    <x v="664"/>
    <n v="1027.8"/>
    <n v="2537.0100000000002"/>
    <n v="0.33051198540906723"/>
    <x v="1"/>
    <x v="0"/>
    <n v="29"/>
    <x v="231"/>
    <s v="Retail"/>
    <x v="2"/>
  </r>
  <r>
    <x v="679"/>
    <d v="2023-10-15T00:00:00"/>
    <x v="0"/>
    <x v="0"/>
    <n v="3841"/>
    <n v="2"/>
    <n v="0"/>
    <x v="665"/>
    <n v="2852.83"/>
    <n v="1976.34"/>
    <n v="0.25726894038010933"/>
    <x v="11"/>
    <x v="0"/>
    <n v="42"/>
    <x v="146"/>
    <s v="Wholesale"/>
    <x v="2"/>
  </r>
  <r>
    <x v="680"/>
    <d v="2023-03-11T00:00:00"/>
    <x v="7"/>
    <x v="1"/>
    <n v="1282"/>
    <n v="6"/>
    <n v="0"/>
    <x v="666"/>
    <n v="661.9"/>
    <n v="3720.62"/>
    <n v="0.48369994799791988"/>
    <x v="5"/>
    <x v="0"/>
    <n v="10"/>
    <x v="123"/>
    <s v="Retail"/>
    <x v="3"/>
  </r>
  <r>
    <x v="681"/>
    <d v="2023-11-09T00:00:00"/>
    <x v="5"/>
    <x v="4"/>
    <n v="4545"/>
    <n v="2"/>
    <n v="15"/>
    <x v="667"/>
    <n v="2613.63"/>
    <n v="2499.25"/>
    <n v="0.32346469941111761"/>
    <x v="4"/>
    <x v="0"/>
    <n v="45"/>
    <x v="269"/>
    <s v="Wholesale"/>
    <x v="2"/>
  </r>
  <r>
    <x v="682"/>
    <d v="2023-01-26T00:00:00"/>
    <x v="4"/>
    <x v="3"/>
    <n v="4297"/>
    <n v="2"/>
    <n v="10"/>
    <x v="668"/>
    <n v="2406.3200000000002"/>
    <n v="2921.96"/>
    <n v="0.37777777777777777"/>
    <x v="0"/>
    <x v="0"/>
    <n v="4"/>
    <x v="362"/>
    <s v="Wholesale"/>
    <x v="1"/>
  </r>
  <r>
    <x v="683"/>
    <d v="2023-08-17T00:00:00"/>
    <x v="8"/>
    <x v="2"/>
    <n v="4073"/>
    <n v="2"/>
    <n v="5"/>
    <x v="669"/>
    <n v="2239.19"/>
    <n v="3260.32"/>
    <n v="0.42130073526561312"/>
    <x v="6"/>
    <x v="0"/>
    <n v="33"/>
    <x v="27"/>
    <s v="Retail"/>
    <x v="0"/>
  </r>
  <r>
    <x v="684"/>
    <d v="2023-11-07T00:00:00"/>
    <x v="6"/>
    <x v="0"/>
    <n v="2156"/>
    <n v="4"/>
    <n v="10"/>
    <x v="670"/>
    <n v="1154.32"/>
    <n v="3144.34"/>
    <n v="0.40511492475778188"/>
    <x v="4"/>
    <x v="0"/>
    <n v="45"/>
    <x v="46"/>
    <s v="Wholesale"/>
    <x v="2"/>
  </r>
  <r>
    <x v="685"/>
    <d v="2023-09-05T00:00:00"/>
    <x v="2"/>
    <x v="2"/>
    <n v="3048"/>
    <n v="3"/>
    <n v="15"/>
    <x v="671"/>
    <n v="1792.95"/>
    <n v="2393.5500000000002"/>
    <n v="0.30795507179249654"/>
    <x v="8"/>
    <x v="0"/>
    <n v="36"/>
    <x v="353"/>
    <s v="Wholesale"/>
    <x v="1"/>
  </r>
  <r>
    <x v="686"/>
    <d v="2023-06-03T00:00:00"/>
    <x v="9"/>
    <x v="5"/>
    <n v="1944"/>
    <n v="4"/>
    <n v="0"/>
    <x v="672"/>
    <n v="1238.55"/>
    <n v="2821.78"/>
    <n v="0.3628832304526749"/>
    <x v="10"/>
    <x v="0"/>
    <n v="22"/>
    <x v="216"/>
    <s v="Wholesale"/>
    <x v="1"/>
  </r>
  <r>
    <x v="687"/>
    <d v="2023-02-21T00:00:00"/>
    <x v="8"/>
    <x v="2"/>
    <n v="4575"/>
    <n v="2"/>
    <n v="15"/>
    <x v="673"/>
    <n v="2531.12"/>
    <n v="2715.26"/>
    <n v="0.34911732561877212"/>
    <x v="3"/>
    <x v="0"/>
    <n v="8"/>
    <x v="129"/>
    <s v="Retail"/>
    <x v="0"/>
  </r>
  <r>
    <x v="688"/>
    <d v="2023-10-24T00:00:00"/>
    <x v="8"/>
    <x v="2"/>
    <n v="1024"/>
    <n v="8"/>
    <n v="5"/>
    <x v="674"/>
    <n v="565.12"/>
    <n v="3261.46"/>
    <n v="0.41908151726973686"/>
    <x v="11"/>
    <x v="0"/>
    <n v="43"/>
    <x v="138"/>
    <s v="Retail"/>
    <x v="0"/>
  </r>
  <r>
    <x v="689"/>
    <d v="2023-03-21T00:00:00"/>
    <x v="0"/>
    <x v="0"/>
    <n v="4597"/>
    <n v="2"/>
    <n v="15"/>
    <x v="675"/>
    <n v="2332.5300000000002"/>
    <n v="3149.85"/>
    <n v="0.40305698089546893"/>
    <x v="5"/>
    <x v="0"/>
    <n v="12"/>
    <x v="130"/>
    <s v="Wholesale"/>
    <x v="3"/>
  </r>
  <r>
    <x v="690"/>
    <d v="2023-04-09T00:00:00"/>
    <x v="1"/>
    <x v="1"/>
    <n v="3065"/>
    <n v="3"/>
    <n v="15"/>
    <x v="676"/>
    <n v="1970.02"/>
    <n v="1905.69"/>
    <n v="0.24382688801458594"/>
    <x v="7"/>
    <x v="0"/>
    <n v="15"/>
    <x v="282"/>
    <s v="Wholesale"/>
    <x v="1"/>
  </r>
  <r>
    <x v="691"/>
    <d v="2023-08-20T00:00:00"/>
    <x v="1"/>
    <x v="1"/>
    <n v="4121"/>
    <n v="2"/>
    <n v="5"/>
    <x v="677"/>
    <n v="2928.1"/>
    <n v="1973.7"/>
    <n v="0.25207218482994675"/>
    <x v="6"/>
    <x v="0"/>
    <n v="34"/>
    <x v="149"/>
    <s v="Retail"/>
    <x v="3"/>
  </r>
  <r>
    <x v="692"/>
    <d v="2023-03-06T00:00:00"/>
    <x v="6"/>
    <x v="0"/>
    <n v="3915"/>
    <n v="2"/>
    <n v="0"/>
    <x v="678"/>
    <n v="2692.99"/>
    <n v="2444.02"/>
    <n v="0.3121353767560664"/>
    <x v="5"/>
    <x v="0"/>
    <n v="10"/>
    <x v="363"/>
    <s v="Retail"/>
    <x v="0"/>
  </r>
  <r>
    <x v="693"/>
    <d v="2023-01-09T00:00:00"/>
    <x v="3"/>
    <x v="3"/>
    <n v="1958"/>
    <n v="4"/>
    <n v="0"/>
    <x v="679"/>
    <n v="1231.5"/>
    <n v="2906"/>
    <n v="0.37104187946884576"/>
    <x v="0"/>
    <x v="0"/>
    <n v="2"/>
    <x v="36"/>
    <s v="Wholesale"/>
    <x v="0"/>
  </r>
  <r>
    <x v="694"/>
    <d v="2023-10-06T00:00:00"/>
    <x v="5"/>
    <x v="4"/>
    <n v="922"/>
    <n v="10"/>
    <n v="15"/>
    <x v="680"/>
    <n v="672.72"/>
    <n v="1109.77"/>
    <n v="0.14160648207222151"/>
    <x v="11"/>
    <x v="0"/>
    <n v="40"/>
    <x v="364"/>
    <s v="Wholesale"/>
    <x v="2"/>
  </r>
  <r>
    <x v="695"/>
    <d v="2023-01-12T00:00:00"/>
    <x v="3"/>
    <x v="3"/>
    <n v="987"/>
    <n v="8"/>
    <n v="0"/>
    <x v="681"/>
    <n v="546.41"/>
    <n v="3524.71"/>
    <n v="0.44639184397163123"/>
    <x v="0"/>
    <x v="0"/>
    <n v="2"/>
    <x v="132"/>
    <s v="Retail"/>
    <x v="2"/>
  </r>
  <r>
    <x v="696"/>
    <d v="2023-09-02T00:00:00"/>
    <x v="7"/>
    <x v="1"/>
    <n v="2078"/>
    <n v="4"/>
    <n v="5"/>
    <x v="682"/>
    <n v="1285.82"/>
    <n v="2753.11"/>
    <n v="0.34865381692923358"/>
    <x v="8"/>
    <x v="0"/>
    <n v="35"/>
    <x v="297"/>
    <s v="Retail"/>
    <x v="2"/>
  </r>
  <r>
    <x v="697"/>
    <d v="2023-04-06T00:00:00"/>
    <x v="0"/>
    <x v="0"/>
    <n v="3103"/>
    <n v="3"/>
    <n v="15"/>
    <x v="683"/>
    <n v="1877.07"/>
    <n v="2281.4299999999998"/>
    <n v="0.28832691955286788"/>
    <x v="7"/>
    <x v="0"/>
    <n v="14"/>
    <x v="328"/>
    <s v="Retail"/>
    <x v="1"/>
  </r>
  <r>
    <x v="698"/>
    <d v="2023-09-20T00:00:00"/>
    <x v="6"/>
    <x v="0"/>
    <n v="3963"/>
    <n v="2"/>
    <n v="0"/>
    <x v="684"/>
    <n v="2617.2600000000002"/>
    <n v="2691.47"/>
    <n v="0.33957481705778447"/>
    <x v="8"/>
    <x v="0"/>
    <n v="38"/>
    <x v="49"/>
    <s v="Retail"/>
    <x v="0"/>
  </r>
  <r>
    <x v="699"/>
    <d v="2023-01-09T00:00:00"/>
    <x v="9"/>
    <x v="5"/>
    <n v="3973"/>
    <n v="2"/>
    <n v="0"/>
    <x v="685"/>
    <n v="2580.91"/>
    <n v="2784.18"/>
    <n v="0.35038761641077271"/>
    <x v="0"/>
    <x v="0"/>
    <n v="2"/>
    <x v="22"/>
    <s v="Retail"/>
    <x v="2"/>
  </r>
  <r>
    <x v="700"/>
    <d v="2023-05-27T00:00:00"/>
    <x v="9"/>
    <x v="5"/>
    <n v="2654"/>
    <n v="3"/>
    <n v="0"/>
    <x v="686"/>
    <n v="1625.13"/>
    <n v="3086.62"/>
    <n v="0.38766892740517456"/>
    <x v="2"/>
    <x v="0"/>
    <n v="21"/>
    <x v="76"/>
    <s v="Retail"/>
    <x v="2"/>
  </r>
  <r>
    <x v="701"/>
    <d v="2023-05-07T00:00:00"/>
    <x v="4"/>
    <x v="3"/>
    <n v="1476"/>
    <n v="6"/>
    <n v="10"/>
    <x v="687"/>
    <n v="784.41"/>
    <n v="3263.92"/>
    <n v="0.40950516912576534"/>
    <x v="2"/>
    <x v="0"/>
    <n v="19"/>
    <x v="365"/>
    <s v="Retail"/>
    <x v="0"/>
  </r>
  <r>
    <x v="702"/>
    <d v="2023-10-15T00:00:00"/>
    <x v="7"/>
    <x v="1"/>
    <n v="4197"/>
    <n v="2"/>
    <n v="5"/>
    <x v="688"/>
    <n v="2655.3"/>
    <n v="2663.7"/>
    <n v="0.33403558933072491"/>
    <x v="11"/>
    <x v="0"/>
    <n v="42"/>
    <x v="366"/>
    <s v="Wholesale"/>
    <x v="3"/>
  </r>
  <r>
    <x v="703"/>
    <d v="2023-10-13T00:00:00"/>
    <x v="0"/>
    <x v="0"/>
    <n v="887"/>
    <n v="9"/>
    <n v="0"/>
    <x v="689"/>
    <n v="664.78"/>
    <n v="1999.96"/>
    <n v="0.25052737066265818"/>
    <x v="11"/>
    <x v="0"/>
    <n v="41"/>
    <x v="12"/>
    <s v="Retail"/>
    <x v="1"/>
  </r>
  <r>
    <x v="704"/>
    <d v="2023-05-31T00:00:00"/>
    <x v="8"/>
    <x v="2"/>
    <n v="4441"/>
    <n v="2"/>
    <n v="10"/>
    <x v="690"/>
    <n v="2505.83"/>
    <n v="2982.14"/>
    <n v="0.37305661887963171"/>
    <x v="2"/>
    <x v="0"/>
    <n v="22"/>
    <x v="275"/>
    <s v="Retail"/>
    <x v="3"/>
  </r>
  <r>
    <x v="705"/>
    <d v="2023-01-11T00:00:00"/>
    <x v="5"/>
    <x v="4"/>
    <n v="4013"/>
    <n v="2"/>
    <n v="0"/>
    <x v="691"/>
    <n v="2657.97"/>
    <n v="2710.07"/>
    <n v="0.33766135061051583"/>
    <x v="0"/>
    <x v="0"/>
    <n v="2"/>
    <x v="367"/>
    <s v="Retail"/>
    <x v="3"/>
  </r>
  <r>
    <x v="706"/>
    <d v="2023-04-25T00:00:00"/>
    <x v="8"/>
    <x v="2"/>
    <n v="3148"/>
    <n v="3"/>
    <n v="15"/>
    <x v="692"/>
    <n v="1668.49"/>
    <n v="3021.94"/>
    <n v="0.37645314796820889"/>
    <x v="7"/>
    <x v="0"/>
    <n v="17"/>
    <x v="163"/>
    <s v="Retail"/>
    <x v="1"/>
  </r>
  <r>
    <x v="707"/>
    <d v="2023-01-06T00:00:00"/>
    <x v="9"/>
    <x v="5"/>
    <n v="2822"/>
    <n v="3"/>
    <n v="5"/>
    <x v="693"/>
    <n v="1928.93"/>
    <n v="2255.92"/>
    <n v="0.28049286931005757"/>
    <x v="0"/>
    <x v="0"/>
    <n v="1"/>
    <x v="9"/>
    <s v="Retail"/>
    <x v="3"/>
  </r>
  <r>
    <x v="708"/>
    <d v="2023-12-19T00:00:00"/>
    <x v="1"/>
    <x v="1"/>
    <n v="4478"/>
    <n v="2"/>
    <n v="10"/>
    <x v="694"/>
    <n v="3450.34"/>
    <n v="1159.73"/>
    <n v="0.14387995632971071"/>
    <x v="9"/>
    <x v="0"/>
    <n v="51"/>
    <x v="368"/>
    <s v="Wholesale"/>
    <x v="0"/>
  </r>
  <r>
    <x v="709"/>
    <d v="2023-03-16T00:00:00"/>
    <x v="8"/>
    <x v="2"/>
    <n v="1357"/>
    <n v="7"/>
    <n v="15"/>
    <x v="695"/>
    <n v="833.8"/>
    <n v="2237.5700000000002"/>
    <n v="0.2771276233411567"/>
    <x v="5"/>
    <x v="0"/>
    <n v="11"/>
    <x v="30"/>
    <s v="Retail"/>
    <x v="1"/>
  </r>
  <r>
    <x v="710"/>
    <d v="2023-11-05T00:00:00"/>
    <x v="9"/>
    <x v="5"/>
    <n v="898"/>
    <n v="10"/>
    <n v="10"/>
    <x v="696"/>
    <n v="603.05999999999995"/>
    <n v="2051.38"/>
    <n v="0.25382083642662706"/>
    <x v="4"/>
    <x v="0"/>
    <n v="45"/>
    <x v="369"/>
    <s v="Wholesale"/>
    <x v="2"/>
  </r>
  <r>
    <x v="711"/>
    <d v="2023-11-25T00:00:00"/>
    <x v="6"/>
    <x v="0"/>
    <n v="2132"/>
    <n v="4"/>
    <n v="5"/>
    <x v="697"/>
    <n v="1583.88"/>
    <n v="1766.08"/>
    <n v="0.21799150785030116"/>
    <x v="4"/>
    <x v="0"/>
    <n v="47"/>
    <x v="329"/>
    <s v="Wholesale"/>
    <x v="0"/>
  </r>
  <r>
    <x v="712"/>
    <d v="2023-03-13T00:00:00"/>
    <x v="1"/>
    <x v="1"/>
    <n v="4053"/>
    <n v="2"/>
    <n v="0"/>
    <x v="698"/>
    <n v="2340.0500000000002"/>
    <n v="3425.9"/>
    <n v="0.42263755243029855"/>
    <x v="5"/>
    <x v="0"/>
    <n v="11"/>
    <x v="368"/>
    <s v="Wholesale"/>
    <x v="0"/>
  </r>
  <r>
    <x v="713"/>
    <d v="2023-08-28T00:00:00"/>
    <x v="4"/>
    <x v="3"/>
    <n v="4267"/>
    <n v="2"/>
    <n v="5"/>
    <x v="699"/>
    <n v="2905.71"/>
    <n v="2295.88"/>
    <n v="0.28318675761350881"/>
    <x v="6"/>
    <x v="0"/>
    <n v="35"/>
    <x v="136"/>
    <s v="Retail"/>
    <x v="1"/>
  </r>
  <r>
    <x v="714"/>
    <d v="2023-06-05T00:00:00"/>
    <x v="5"/>
    <x v="4"/>
    <n v="2846"/>
    <n v="3"/>
    <n v="5"/>
    <x v="700"/>
    <n v="1463.25"/>
    <n v="3721.36"/>
    <n v="0.45879843671018727"/>
    <x v="10"/>
    <x v="0"/>
    <n v="23"/>
    <x v="326"/>
    <s v="Wholesale"/>
    <x v="0"/>
  </r>
  <r>
    <x v="715"/>
    <d v="2023-03-09T00:00:00"/>
    <x v="9"/>
    <x v="5"/>
    <n v="1289"/>
    <n v="7"/>
    <n v="10"/>
    <x v="701"/>
    <n v="695"/>
    <n v="3255.69"/>
    <n v="0.40091248291403453"/>
    <x v="5"/>
    <x v="0"/>
    <n v="10"/>
    <x v="97"/>
    <s v="Wholesale"/>
    <x v="2"/>
  </r>
  <r>
    <x v="716"/>
    <d v="2023-11-24T00:00:00"/>
    <x v="5"/>
    <x v="4"/>
    <n v="3185"/>
    <n v="3"/>
    <n v="15"/>
    <x v="702"/>
    <n v="1742.44"/>
    <n v="2894.44"/>
    <n v="0.35638132175947301"/>
    <x v="4"/>
    <x v="0"/>
    <n v="47"/>
    <x v="347"/>
    <s v="Wholesale"/>
    <x v="2"/>
  </r>
  <r>
    <x v="717"/>
    <d v="2023-02-26T00:00:00"/>
    <x v="7"/>
    <x v="1"/>
    <n v="3197"/>
    <n v="3"/>
    <n v="15"/>
    <x v="703"/>
    <n v="2492.2399999999998"/>
    <n v="675.64"/>
    <n v="8.2876716529589625E-2"/>
    <x v="3"/>
    <x v="0"/>
    <n v="9"/>
    <x v="370"/>
    <s v="Retail"/>
    <x v="3"/>
  </r>
  <r>
    <x v="718"/>
    <d v="2023-01-12T00:00:00"/>
    <x v="2"/>
    <x v="2"/>
    <n v="1134"/>
    <n v="8"/>
    <n v="10"/>
    <x v="704"/>
    <n v="685.57"/>
    <n v="2680.23"/>
    <n v="0.32826646090534978"/>
    <x v="0"/>
    <x v="0"/>
    <n v="2"/>
    <x v="371"/>
    <s v="Retail"/>
    <x v="0"/>
  </r>
  <r>
    <x v="719"/>
    <d v="2023-01-10T00:00:00"/>
    <x v="8"/>
    <x v="2"/>
    <n v="1433"/>
    <n v="6"/>
    <n v="5"/>
    <x v="705"/>
    <n v="832.8"/>
    <n v="3171.3"/>
    <n v="0.38825430638704228"/>
    <x v="0"/>
    <x v="0"/>
    <n v="2"/>
    <x v="141"/>
    <s v="Wholesale"/>
    <x v="3"/>
  </r>
  <r>
    <x v="720"/>
    <d v="2023-11-25T00:00:00"/>
    <x v="6"/>
    <x v="0"/>
    <n v="1722"/>
    <n v="5"/>
    <n v="5"/>
    <x v="706"/>
    <n v="1033.9100000000001"/>
    <n v="3009.96"/>
    <n v="0.36798826334128004"/>
    <x v="4"/>
    <x v="0"/>
    <n v="47"/>
    <x v="274"/>
    <s v="Wholesale"/>
    <x v="0"/>
  </r>
  <r>
    <x v="721"/>
    <d v="2023-06-22T00:00:00"/>
    <x v="5"/>
    <x v="4"/>
    <n v="4824"/>
    <n v="2"/>
    <n v="15"/>
    <x v="707"/>
    <n v="2823.86"/>
    <n v="2553.0700000000002"/>
    <n v="0.311319627353429"/>
    <x v="10"/>
    <x v="0"/>
    <n v="25"/>
    <x v="245"/>
    <s v="Wholesale"/>
    <x v="0"/>
  </r>
  <r>
    <x v="722"/>
    <d v="2023-11-22T00:00:00"/>
    <x v="7"/>
    <x v="1"/>
    <n v="2415"/>
    <n v="4"/>
    <n v="15"/>
    <x v="708"/>
    <n v="1713.63"/>
    <n v="1356.5"/>
    <n v="0.16520521251979053"/>
    <x v="4"/>
    <x v="0"/>
    <n v="47"/>
    <x v="288"/>
    <s v="Wholesale"/>
    <x v="1"/>
  </r>
  <r>
    <x v="723"/>
    <d v="2023-12-23T00:00:00"/>
    <x v="0"/>
    <x v="0"/>
    <n v="1829"/>
    <n v="5"/>
    <n v="10"/>
    <x v="709"/>
    <n v="1294.31"/>
    <n v="1758.94"/>
    <n v="0.21370998116760828"/>
    <x v="9"/>
    <x v="0"/>
    <n v="51"/>
    <x v="61"/>
    <s v="Retail"/>
    <x v="2"/>
  </r>
  <r>
    <x v="724"/>
    <d v="2023-10-18T00:00:00"/>
    <x v="5"/>
    <x v="4"/>
    <n v="1146"/>
    <n v="8"/>
    <n v="10"/>
    <x v="710"/>
    <n v="764.13"/>
    <n v="2138.12"/>
    <n v="0.25912836920690319"/>
    <x v="11"/>
    <x v="0"/>
    <n v="42"/>
    <x v="335"/>
    <s v="Retail"/>
    <x v="1"/>
  </r>
  <r>
    <x v="725"/>
    <d v="2023-03-20T00:00:00"/>
    <x v="6"/>
    <x v="0"/>
    <n v="2915"/>
    <n v="3"/>
    <n v="5"/>
    <x v="711"/>
    <n v="1466.83"/>
    <n v="3907.27"/>
    <n v="0.4703162709518221"/>
    <x v="5"/>
    <x v="0"/>
    <n v="12"/>
    <x v="206"/>
    <s v="Retail"/>
    <x v="1"/>
  </r>
  <r>
    <x v="726"/>
    <d v="2023-05-26T00:00:00"/>
    <x v="0"/>
    <x v="0"/>
    <n v="973"/>
    <n v="9"/>
    <n v="5"/>
    <x v="712"/>
    <n v="524.29"/>
    <n v="3600.54"/>
    <n v="0.43280142803050792"/>
    <x v="2"/>
    <x v="0"/>
    <n v="21"/>
    <x v="372"/>
    <s v="Retail"/>
    <x v="1"/>
  </r>
  <r>
    <x v="727"/>
    <d v="2023-03-02T00:00:00"/>
    <x v="3"/>
    <x v="3"/>
    <n v="1251"/>
    <n v="7"/>
    <n v="5"/>
    <x v="712"/>
    <n v="829.12"/>
    <n v="2515.2800000000002"/>
    <n v="0.30234819663066542"/>
    <x v="5"/>
    <x v="0"/>
    <n v="9"/>
    <x v="213"/>
    <s v="Wholesale"/>
    <x v="1"/>
  </r>
  <r>
    <x v="728"/>
    <d v="2023-03-09T00:00:00"/>
    <x v="6"/>
    <x v="0"/>
    <n v="1753"/>
    <n v="5"/>
    <n v="5"/>
    <x v="713"/>
    <n v="1126.1199999999999"/>
    <n v="2696.17"/>
    <n v="0.3237961989972078"/>
    <x v="5"/>
    <x v="0"/>
    <n v="10"/>
    <x v="373"/>
    <s v="Retail"/>
    <x v="1"/>
  </r>
  <r>
    <x v="729"/>
    <d v="2023-10-22T00:00:00"/>
    <x v="5"/>
    <x v="4"/>
    <n v="833"/>
    <n v="10"/>
    <n v="0"/>
    <x v="714"/>
    <n v="574.32000000000005"/>
    <n v="2586.79"/>
    <n v="0.31053901560624247"/>
    <x v="11"/>
    <x v="0"/>
    <n v="43"/>
    <x v="102"/>
    <s v="Wholesale"/>
    <x v="0"/>
  </r>
  <r>
    <x v="730"/>
    <d v="2023-10-19T00:00:00"/>
    <x v="6"/>
    <x v="0"/>
    <n v="2929"/>
    <n v="3"/>
    <n v="5"/>
    <x v="715"/>
    <n v="1936.73"/>
    <n v="2537.4499999999998"/>
    <n v="0.30397177648799362"/>
    <x v="11"/>
    <x v="0"/>
    <n v="42"/>
    <x v="374"/>
    <s v="Wholesale"/>
    <x v="3"/>
  </r>
  <r>
    <x v="731"/>
    <d v="2023-12-13T00:00:00"/>
    <x v="9"/>
    <x v="5"/>
    <n v="4396"/>
    <n v="2"/>
    <n v="5"/>
    <x v="716"/>
    <n v="2338.98"/>
    <n v="3674.43"/>
    <n v="0.43992505148220873"/>
    <x v="9"/>
    <x v="0"/>
    <n v="50"/>
    <x v="103"/>
    <s v="Retail"/>
    <x v="1"/>
  </r>
  <r>
    <x v="732"/>
    <d v="2023-12-16T00:00:00"/>
    <x v="1"/>
    <x v="1"/>
    <n v="2461"/>
    <n v="4"/>
    <n v="15"/>
    <x v="717"/>
    <n v="1308.58"/>
    <n v="3133.09"/>
    <n v="0.37444008891650932"/>
    <x v="9"/>
    <x v="0"/>
    <n v="50"/>
    <x v="185"/>
    <s v="Retail"/>
    <x v="3"/>
  </r>
  <r>
    <x v="733"/>
    <d v="2023-02-06T00:00:00"/>
    <x v="7"/>
    <x v="1"/>
    <n v="1860"/>
    <n v="5"/>
    <n v="10"/>
    <x v="718"/>
    <n v="1019.42"/>
    <n v="3272.88"/>
    <n v="0.39102508960573479"/>
    <x v="3"/>
    <x v="0"/>
    <n v="6"/>
    <x v="5"/>
    <s v="Retail"/>
    <x v="0"/>
  </r>
  <r>
    <x v="734"/>
    <d v="2023-06-25T00:00:00"/>
    <x v="0"/>
    <x v="0"/>
    <n v="2096"/>
    <n v="4"/>
    <n v="0"/>
    <x v="719"/>
    <n v="1624.25"/>
    <n v="1886.98"/>
    <n v="0.22506917938931298"/>
    <x v="10"/>
    <x v="0"/>
    <n v="26"/>
    <x v="167"/>
    <s v="Wholesale"/>
    <x v="2"/>
  </r>
  <r>
    <x v="735"/>
    <d v="2023-11-15T00:00:00"/>
    <x v="4"/>
    <x v="3"/>
    <n v="839"/>
    <n v="10"/>
    <n v="0"/>
    <x v="720"/>
    <n v="526.74"/>
    <n v="3122.56"/>
    <n v="0.37217640047675804"/>
    <x v="4"/>
    <x v="0"/>
    <n v="46"/>
    <x v="26"/>
    <s v="Retail"/>
    <x v="3"/>
  </r>
  <r>
    <x v="736"/>
    <d v="2023-05-06T00:00:00"/>
    <x v="9"/>
    <x v="5"/>
    <n v="937"/>
    <n v="9"/>
    <n v="0"/>
    <x v="721"/>
    <n v="748.49"/>
    <n v="1696.62"/>
    <n v="0.20118818925649234"/>
    <x v="2"/>
    <x v="0"/>
    <n v="18"/>
    <x v="124"/>
    <s v="Retail"/>
    <x v="3"/>
  </r>
  <r>
    <x v="737"/>
    <d v="2023-06-18T00:00:00"/>
    <x v="4"/>
    <x v="3"/>
    <n v="2489"/>
    <n v="4"/>
    <n v="15"/>
    <x v="722"/>
    <n v="1546.8"/>
    <n v="2275.39"/>
    <n v="0.26887599555692099"/>
    <x v="10"/>
    <x v="0"/>
    <n v="25"/>
    <x v="364"/>
    <s v="Retail"/>
    <x v="0"/>
  </r>
  <r>
    <x v="738"/>
    <d v="2023-09-06T00:00:00"/>
    <x v="0"/>
    <x v="0"/>
    <n v="1273"/>
    <n v="7"/>
    <n v="5"/>
    <x v="723"/>
    <n v="752.62"/>
    <n v="3197.11"/>
    <n v="0.37766568817960061"/>
    <x v="8"/>
    <x v="0"/>
    <n v="36"/>
    <x v="375"/>
    <s v="Retail"/>
    <x v="3"/>
  </r>
  <r>
    <x v="739"/>
    <d v="2023-05-24T00:00:00"/>
    <x v="5"/>
    <x v="4"/>
    <n v="1210"/>
    <n v="7"/>
    <n v="0"/>
    <x v="724"/>
    <n v="933.14"/>
    <n v="1938"/>
    <n v="0.22880755608028336"/>
    <x v="2"/>
    <x v="0"/>
    <n v="21"/>
    <x v="124"/>
    <s v="Retail"/>
    <x v="2"/>
  </r>
  <r>
    <x v="740"/>
    <d v="2023-06-01T00:00:00"/>
    <x v="1"/>
    <x v="1"/>
    <n v="1059"/>
    <n v="8"/>
    <n v="0"/>
    <x v="725"/>
    <n v="605.62"/>
    <n v="3627.03"/>
    <n v="0.42811968838526915"/>
    <x v="10"/>
    <x v="0"/>
    <n v="22"/>
    <x v="287"/>
    <s v="Retail"/>
    <x v="3"/>
  </r>
  <r>
    <x v="741"/>
    <d v="2023-05-08T00:00:00"/>
    <x v="4"/>
    <x v="3"/>
    <n v="1884"/>
    <n v="5"/>
    <n v="10"/>
    <x v="726"/>
    <n v="1350.52"/>
    <n v="1725.39"/>
    <n v="0.20351380042462847"/>
    <x v="2"/>
    <x v="0"/>
    <n v="19"/>
    <x v="63"/>
    <s v="Retail"/>
    <x v="0"/>
  </r>
  <r>
    <x v="742"/>
    <d v="2023-05-19T00:00:00"/>
    <x v="2"/>
    <x v="2"/>
    <n v="4245"/>
    <n v="2"/>
    <n v="0"/>
    <x v="727"/>
    <n v="3251.01"/>
    <n v="1987.99"/>
    <n v="0.23415665488810367"/>
    <x v="2"/>
    <x v="0"/>
    <n v="20"/>
    <x v="140"/>
    <s v="Retail"/>
    <x v="0"/>
  </r>
  <r>
    <x v="743"/>
    <d v="2023-03-07T00:00:00"/>
    <x v="4"/>
    <x v="3"/>
    <n v="4474"/>
    <n v="2"/>
    <n v="5"/>
    <x v="728"/>
    <n v="3033.32"/>
    <n v="2433.96"/>
    <n v="0.28632802390419498"/>
    <x v="5"/>
    <x v="0"/>
    <n v="10"/>
    <x v="364"/>
    <s v="Retail"/>
    <x v="2"/>
  </r>
  <r>
    <x v="744"/>
    <d v="2023-08-21T00:00:00"/>
    <x v="8"/>
    <x v="2"/>
    <n v="3335"/>
    <n v="3"/>
    <n v="15"/>
    <x v="729"/>
    <n v="2321.4299999999998"/>
    <n v="1539.96"/>
    <n v="0.18108122409383545"/>
    <x v="6"/>
    <x v="0"/>
    <n v="34"/>
    <x v="376"/>
    <s v="Retail"/>
    <x v="1"/>
  </r>
  <r>
    <x v="745"/>
    <d v="2023-03-14T00:00:00"/>
    <x v="8"/>
    <x v="2"/>
    <n v="2987"/>
    <n v="3"/>
    <n v="5"/>
    <x v="730"/>
    <n v="1725.72"/>
    <n v="3335.78"/>
    <n v="0.39184771436458571"/>
    <x v="5"/>
    <x v="0"/>
    <n v="11"/>
    <x v="187"/>
    <s v="Wholesale"/>
    <x v="3"/>
  </r>
  <r>
    <x v="746"/>
    <d v="2023-09-01T00:00:00"/>
    <x v="5"/>
    <x v="4"/>
    <n v="2007"/>
    <n v="5"/>
    <n v="15"/>
    <x v="731"/>
    <n v="1319.26"/>
    <n v="1933.46"/>
    <n v="0.22667252850318004"/>
    <x v="8"/>
    <x v="0"/>
    <n v="35"/>
    <x v="319"/>
    <s v="Wholesale"/>
    <x v="2"/>
  </r>
  <r>
    <x v="747"/>
    <d v="2023-06-17T00:00:00"/>
    <x v="7"/>
    <x v="1"/>
    <n v="1434"/>
    <n v="7"/>
    <n v="15"/>
    <x v="732"/>
    <n v="1118.9100000000001"/>
    <n v="699.96"/>
    <n v="8.2036496607011011E-2"/>
    <x v="10"/>
    <x v="0"/>
    <n v="24"/>
    <x v="22"/>
    <s v="Wholesale"/>
    <x v="0"/>
  </r>
  <r>
    <x v="748"/>
    <d v="2023-08-24T00:00:00"/>
    <x v="5"/>
    <x v="4"/>
    <n v="2995"/>
    <n v="3"/>
    <n v="5"/>
    <x v="733"/>
    <n v="1835.1"/>
    <n v="3030.46"/>
    <n v="0.3550314852239112"/>
    <x v="6"/>
    <x v="0"/>
    <n v="34"/>
    <x v="25"/>
    <s v="Wholesale"/>
    <x v="0"/>
  </r>
  <r>
    <x v="749"/>
    <d v="2023-06-23T00:00:00"/>
    <x v="9"/>
    <x v="5"/>
    <n v="2846"/>
    <n v="3"/>
    <n v="0"/>
    <x v="734"/>
    <n v="2047.91"/>
    <n v="2394.2600000000002"/>
    <n v="0.28042398688217385"/>
    <x v="10"/>
    <x v="0"/>
    <n v="25"/>
    <x v="365"/>
    <s v="Retail"/>
    <x v="0"/>
  </r>
  <r>
    <x v="750"/>
    <d v="2023-02-15T00:00:00"/>
    <x v="2"/>
    <x v="2"/>
    <n v="2141"/>
    <n v="4"/>
    <n v="0"/>
    <x v="735"/>
    <n v="1274.73"/>
    <n v="3465.07"/>
    <n v="0.40460882765063055"/>
    <x v="3"/>
    <x v="0"/>
    <n v="7"/>
    <x v="50"/>
    <s v="Retail"/>
    <x v="2"/>
  </r>
  <r>
    <x v="751"/>
    <d v="2023-08-10T00:00:00"/>
    <x v="5"/>
    <x v="4"/>
    <n v="1587"/>
    <n v="6"/>
    <n v="10"/>
    <x v="736"/>
    <n v="1184.3"/>
    <n v="1464.02"/>
    <n v="0.17083479194380266"/>
    <x v="6"/>
    <x v="0"/>
    <n v="32"/>
    <x v="377"/>
    <s v="Retail"/>
    <x v="1"/>
  </r>
  <r>
    <x v="752"/>
    <d v="2023-02-23T00:00:00"/>
    <x v="7"/>
    <x v="1"/>
    <n v="1905"/>
    <n v="5"/>
    <n v="10"/>
    <x v="737"/>
    <n v="1227.5899999999999"/>
    <n v="2434.5300000000002"/>
    <n v="0.28399300087489066"/>
    <x v="3"/>
    <x v="0"/>
    <n v="8"/>
    <x v="116"/>
    <s v="Wholesale"/>
    <x v="1"/>
  </r>
  <r>
    <x v="753"/>
    <d v="2023-11-18T00:00:00"/>
    <x v="2"/>
    <x v="2"/>
    <n v="1128"/>
    <n v="8"/>
    <n v="5"/>
    <x v="738"/>
    <n v="748.91"/>
    <n v="2581.5300000000002"/>
    <n v="0.30113031914893623"/>
    <x v="4"/>
    <x v="0"/>
    <n v="46"/>
    <x v="246"/>
    <s v="Wholesale"/>
    <x v="0"/>
  </r>
  <r>
    <x v="754"/>
    <d v="2023-12-22T00:00:00"/>
    <x v="6"/>
    <x v="0"/>
    <n v="1430"/>
    <n v="6"/>
    <n v="0"/>
    <x v="739"/>
    <n v="901.73"/>
    <n v="3169.65"/>
    <n v="0.36942307692307691"/>
    <x v="9"/>
    <x v="0"/>
    <n v="51"/>
    <x v="92"/>
    <s v="Wholesale"/>
    <x v="1"/>
  </r>
  <r>
    <x v="755"/>
    <d v="2023-02-14T00:00:00"/>
    <x v="9"/>
    <x v="5"/>
    <n v="1911"/>
    <n v="5"/>
    <n v="10"/>
    <x v="740"/>
    <n v="1518.1"/>
    <n v="1009.02"/>
    <n v="0.11733472876330019"/>
    <x v="3"/>
    <x v="0"/>
    <n v="7"/>
    <x v="238"/>
    <s v="Wholesale"/>
    <x v="2"/>
  </r>
  <r>
    <x v="756"/>
    <d v="2023-08-05T00:00:00"/>
    <x v="8"/>
    <x v="2"/>
    <n v="1915"/>
    <n v="5"/>
    <n v="10"/>
    <x v="741"/>
    <n v="1004.77"/>
    <n v="3593.63"/>
    <n v="0.41701537568900493"/>
    <x v="6"/>
    <x v="0"/>
    <n v="31"/>
    <x v="111"/>
    <s v="Retail"/>
    <x v="1"/>
  </r>
  <r>
    <x v="757"/>
    <d v="2023-08-16T00:00:00"/>
    <x v="4"/>
    <x v="3"/>
    <n v="4538"/>
    <n v="2"/>
    <n v="5"/>
    <x v="742"/>
    <n v="2935.6"/>
    <n v="2751"/>
    <n v="0.3190601006703625"/>
    <x v="6"/>
    <x v="0"/>
    <n v="33"/>
    <x v="337"/>
    <s v="Retail"/>
    <x v="0"/>
  </r>
  <r>
    <x v="758"/>
    <d v="2023-09-14T00:00:00"/>
    <x v="2"/>
    <x v="2"/>
    <n v="4540"/>
    <n v="2"/>
    <n v="5"/>
    <x v="743"/>
    <n v="3196.21"/>
    <n v="2233.59"/>
    <n v="0.25893693484813357"/>
    <x v="8"/>
    <x v="0"/>
    <n v="37"/>
    <x v="360"/>
    <s v="Retail"/>
    <x v="3"/>
  </r>
  <r>
    <x v="759"/>
    <d v="2023-02-13T00:00:00"/>
    <x v="0"/>
    <x v="0"/>
    <n v="1010"/>
    <n v="9"/>
    <n v="5"/>
    <x v="744"/>
    <n v="794.42"/>
    <n v="1485.76"/>
    <n v="0.17205257367842047"/>
    <x v="3"/>
    <x v="0"/>
    <n v="7"/>
    <x v="378"/>
    <s v="Wholesale"/>
    <x v="0"/>
  </r>
  <r>
    <x v="760"/>
    <d v="2023-06-30T00:00:00"/>
    <x v="5"/>
    <x v="4"/>
    <n v="2543"/>
    <n v="4"/>
    <n v="15"/>
    <x v="745"/>
    <n v="1693.39"/>
    <n v="1872.64"/>
    <n v="0.21658532071892855"/>
    <x v="10"/>
    <x v="0"/>
    <n v="26"/>
    <x v="70"/>
    <s v="Retail"/>
    <x v="2"/>
  </r>
  <r>
    <x v="761"/>
    <d v="2023-08-19T00:00:00"/>
    <x v="0"/>
    <x v="0"/>
    <n v="1702"/>
    <n v="6"/>
    <n v="15"/>
    <x v="746"/>
    <n v="898.83"/>
    <n v="3287.21"/>
    <n v="0.37870210363816498"/>
    <x v="6"/>
    <x v="0"/>
    <n v="33"/>
    <x v="379"/>
    <s v="Retail"/>
    <x v="3"/>
  </r>
  <r>
    <x v="762"/>
    <d v="2023-08-09T00:00:00"/>
    <x v="1"/>
    <x v="1"/>
    <n v="4826"/>
    <n v="2"/>
    <n v="10"/>
    <x v="747"/>
    <n v="3009.71"/>
    <n v="2667.38"/>
    <n v="0.30706128839158264"/>
    <x v="6"/>
    <x v="0"/>
    <n v="32"/>
    <x v="47"/>
    <s v="Wholesale"/>
    <x v="3"/>
  </r>
  <r>
    <x v="763"/>
    <d v="2023-03-13T00:00:00"/>
    <x v="8"/>
    <x v="2"/>
    <n v="4574"/>
    <n v="2"/>
    <n v="5"/>
    <x v="748"/>
    <n v="2465.56"/>
    <n v="3759.48"/>
    <n v="0.43259153568223135"/>
    <x v="5"/>
    <x v="0"/>
    <n v="11"/>
    <x v="375"/>
    <s v="Retail"/>
    <x v="0"/>
  </r>
  <r>
    <x v="764"/>
    <d v="2023-08-28T00:00:00"/>
    <x v="5"/>
    <x v="4"/>
    <n v="2898"/>
    <n v="3"/>
    <n v="0"/>
    <x v="749"/>
    <n v="2034.68"/>
    <n v="2589.96"/>
    <n v="0.29790200138026224"/>
    <x v="6"/>
    <x v="0"/>
    <n v="35"/>
    <x v="157"/>
    <s v="Wholesale"/>
    <x v="3"/>
  </r>
  <r>
    <x v="765"/>
    <d v="2023-08-26T00:00:00"/>
    <x v="0"/>
    <x v="0"/>
    <n v="4832"/>
    <n v="2"/>
    <n v="10"/>
    <x v="750"/>
    <n v="3855.87"/>
    <n v="985.86"/>
    <n v="0.11334850993377484"/>
    <x v="6"/>
    <x v="0"/>
    <n v="34"/>
    <x v="22"/>
    <s v="Retail"/>
    <x v="2"/>
  </r>
  <r>
    <x v="766"/>
    <d v="2023-02-20T00:00:00"/>
    <x v="2"/>
    <x v="2"/>
    <n v="1832"/>
    <n v="5"/>
    <n v="5"/>
    <x v="751"/>
    <n v="958.7"/>
    <n v="3908.52"/>
    <n v="0.44915191909905766"/>
    <x v="3"/>
    <x v="0"/>
    <n v="8"/>
    <x v="33"/>
    <s v="Wholesale"/>
    <x v="3"/>
  </r>
  <r>
    <x v="767"/>
    <d v="2023-08-13T00:00:00"/>
    <x v="6"/>
    <x v="0"/>
    <n v="1244"/>
    <n v="7"/>
    <n v="0"/>
    <x v="752"/>
    <n v="733.4"/>
    <n v="3574.22"/>
    <n v="0.41045245751033532"/>
    <x v="6"/>
    <x v="0"/>
    <n v="33"/>
    <x v="82"/>
    <s v="Wholesale"/>
    <x v="2"/>
  </r>
  <r>
    <x v="768"/>
    <d v="2023-09-27T00:00:00"/>
    <x v="9"/>
    <x v="5"/>
    <n v="2426"/>
    <n v="4"/>
    <n v="10"/>
    <x v="753"/>
    <n v="1622.74"/>
    <n v="2242.62"/>
    <n v="0.25678070898598515"/>
    <x v="8"/>
    <x v="0"/>
    <n v="39"/>
    <x v="14"/>
    <s v="Retail"/>
    <x v="0"/>
  </r>
  <r>
    <x v="769"/>
    <d v="2023-06-03T00:00:00"/>
    <x v="7"/>
    <x v="1"/>
    <n v="1023"/>
    <n v="9"/>
    <n v="5"/>
    <x v="754"/>
    <n v="734.92"/>
    <n v="2132.35"/>
    <n v="0.24379047978368862"/>
    <x v="10"/>
    <x v="0"/>
    <n v="22"/>
    <x v="44"/>
    <s v="Wholesale"/>
    <x v="0"/>
  </r>
  <r>
    <x v="770"/>
    <d v="2023-09-28T00:00:00"/>
    <x v="3"/>
    <x v="3"/>
    <n v="4604"/>
    <n v="2"/>
    <n v="5"/>
    <x v="755"/>
    <n v="2714.52"/>
    <n v="3318.57"/>
    <n v="0.37936919840870637"/>
    <x v="8"/>
    <x v="0"/>
    <n v="39"/>
    <x v="335"/>
    <s v="Wholesale"/>
    <x v="2"/>
  </r>
  <r>
    <x v="771"/>
    <d v="2023-07-27T00:00:00"/>
    <x v="2"/>
    <x v="2"/>
    <n v="2917"/>
    <n v="3"/>
    <n v="0"/>
    <x v="756"/>
    <n v="2023.84"/>
    <n v="2679.49"/>
    <n v="0.3061924351502685"/>
    <x v="1"/>
    <x v="0"/>
    <n v="30"/>
    <x v="358"/>
    <s v="Retail"/>
    <x v="2"/>
  </r>
  <r>
    <x v="772"/>
    <d v="2023-04-15T00:00:00"/>
    <x v="3"/>
    <x v="3"/>
    <n v="2575"/>
    <n v="4"/>
    <n v="15"/>
    <x v="757"/>
    <n v="1508.1"/>
    <n v="2722.59"/>
    <n v="0.31097544260422616"/>
    <x v="7"/>
    <x v="0"/>
    <n v="15"/>
    <x v="380"/>
    <s v="Wholesale"/>
    <x v="3"/>
  </r>
  <r>
    <x v="773"/>
    <d v="2023-11-21T00:00:00"/>
    <x v="9"/>
    <x v="5"/>
    <n v="2577"/>
    <n v="4"/>
    <n v="15"/>
    <x v="758"/>
    <n v="1868.99"/>
    <n v="1285.8499999999999"/>
    <n v="0.14675637426099661"/>
    <x v="4"/>
    <x v="0"/>
    <n v="47"/>
    <x v="381"/>
    <s v="Wholesale"/>
    <x v="0"/>
  </r>
  <r>
    <x v="774"/>
    <d v="2023-09-13T00:00:00"/>
    <x v="3"/>
    <x v="3"/>
    <n v="1153"/>
    <n v="8"/>
    <n v="5"/>
    <x v="759"/>
    <n v="840.71"/>
    <n v="2037.12"/>
    <n v="0.23247363856301639"/>
    <x v="8"/>
    <x v="0"/>
    <n v="37"/>
    <x v="306"/>
    <s v="Retail"/>
    <x v="0"/>
  </r>
  <r>
    <x v="775"/>
    <d v="2023-06-11T00:00:00"/>
    <x v="6"/>
    <x v="0"/>
    <n v="2579"/>
    <n v="4"/>
    <n v="15"/>
    <x v="760"/>
    <n v="1469.67"/>
    <n v="2889.93"/>
    <n v="0.32957712747759044"/>
    <x v="10"/>
    <x v="0"/>
    <n v="24"/>
    <x v="382"/>
    <s v="Retail"/>
    <x v="0"/>
  </r>
  <r>
    <x v="776"/>
    <d v="2023-10-29T00:00:00"/>
    <x v="9"/>
    <x v="5"/>
    <n v="1256"/>
    <n v="7"/>
    <n v="0"/>
    <x v="761"/>
    <n v="669.67"/>
    <n v="4104.33"/>
    <n v="0.46682552320291171"/>
    <x v="11"/>
    <x v="0"/>
    <n v="44"/>
    <x v="140"/>
    <s v="Wholesale"/>
    <x v="1"/>
  </r>
  <r>
    <x v="777"/>
    <d v="2023-09-11T00:00:00"/>
    <x v="4"/>
    <x v="3"/>
    <n v="2936"/>
    <n v="3"/>
    <n v="0"/>
    <x v="762"/>
    <n v="2085.4"/>
    <n v="2551.81"/>
    <n v="0.28971503178928248"/>
    <x v="8"/>
    <x v="0"/>
    <n v="37"/>
    <x v="323"/>
    <s v="Wholesale"/>
    <x v="2"/>
  </r>
  <r>
    <x v="778"/>
    <d v="2023-10-12T00:00:00"/>
    <x v="7"/>
    <x v="1"/>
    <n v="2939"/>
    <n v="3"/>
    <n v="0"/>
    <x v="763"/>
    <n v="1723.29"/>
    <n v="3647.12"/>
    <n v="0.41364636497674945"/>
    <x v="11"/>
    <x v="0"/>
    <n v="41"/>
    <x v="322"/>
    <s v="Retail"/>
    <x v="3"/>
  </r>
  <r>
    <x v="779"/>
    <d v="2023-09-22T00:00:00"/>
    <x v="3"/>
    <x v="3"/>
    <n v="2323"/>
    <n v="4"/>
    <n v="5"/>
    <x v="764"/>
    <n v="1811.22"/>
    <n v="1582.51"/>
    <n v="0.17927249246663798"/>
    <x v="8"/>
    <x v="0"/>
    <n v="38"/>
    <x v="383"/>
    <s v="Wholesale"/>
    <x v="3"/>
  </r>
  <r>
    <x v="780"/>
    <d v="2023-10-22T00:00:00"/>
    <x v="1"/>
    <x v="1"/>
    <n v="1862"/>
    <n v="5"/>
    <n v="5"/>
    <x v="765"/>
    <n v="978.35"/>
    <n v="3952.74"/>
    <n v="0.4469150319407541"/>
    <x v="11"/>
    <x v="0"/>
    <n v="43"/>
    <x v="134"/>
    <s v="Retail"/>
    <x v="2"/>
  </r>
  <r>
    <x v="781"/>
    <d v="2023-08-13T00:00:00"/>
    <x v="5"/>
    <x v="4"/>
    <n v="1332"/>
    <n v="7"/>
    <n v="5"/>
    <x v="766"/>
    <n v="1042.3800000000001"/>
    <n v="1561.15"/>
    <n v="0.17624579466684731"/>
    <x v="6"/>
    <x v="0"/>
    <n v="33"/>
    <x v="280"/>
    <s v="Retail"/>
    <x v="1"/>
  </r>
  <r>
    <x v="782"/>
    <d v="2023-11-05T00:00:00"/>
    <x v="9"/>
    <x v="5"/>
    <n v="985"/>
    <n v="10"/>
    <n v="10"/>
    <x v="767"/>
    <n v="731.4"/>
    <n v="1551.04"/>
    <n v="0.17496221094190637"/>
    <x v="4"/>
    <x v="0"/>
    <n v="45"/>
    <x v="373"/>
    <s v="Wholesale"/>
    <x v="2"/>
  </r>
  <r>
    <x v="783"/>
    <d v="2023-02-09T00:00:00"/>
    <x v="5"/>
    <x v="4"/>
    <n v="4675"/>
    <n v="2"/>
    <n v="5"/>
    <x v="768"/>
    <n v="3588.24"/>
    <n v="1706.01"/>
    <n v="0.19206417112299465"/>
    <x v="3"/>
    <x v="0"/>
    <n v="6"/>
    <x v="247"/>
    <s v="Wholesale"/>
    <x v="1"/>
  </r>
  <r>
    <x v="784"/>
    <d v="2023-08-30T00:00:00"/>
    <x v="2"/>
    <x v="2"/>
    <n v="2092"/>
    <n v="5"/>
    <n v="15"/>
    <x v="769"/>
    <n v="1132.33"/>
    <n v="3229.36"/>
    <n v="0.36321673602519405"/>
    <x v="6"/>
    <x v="0"/>
    <n v="35"/>
    <x v="384"/>
    <s v="Retail"/>
    <x v="3"/>
  </r>
  <r>
    <x v="785"/>
    <d v="2023-07-25T00:00:00"/>
    <x v="8"/>
    <x v="2"/>
    <n v="2096"/>
    <n v="5"/>
    <n v="15"/>
    <x v="770"/>
    <n v="1516.46"/>
    <n v="1325.72"/>
    <n v="0.14882352941176472"/>
    <x v="1"/>
    <x v="0"/>
    <n v="30"/>
    <x v="321"/>
    <s v="Wholesale"/>
    <x v="1"/>
  </r>
  <r>
    <x v="786"/>
    <d v="2023-01-21T00:00:00"/>
    <x v="4"/>
    <x v="3"/>
    <n v="1342"/>
    <n v="7"/>
    <n v="5"/>
    <x v="771"/>
    <n v="751.58"/>
    <n v="3663.25"/>
    <n v="0.41048037381083113"/>
    <x v="0"/>
    <x v="0"/>
    <n v="3"/>
    <x v="221"/>
    <s v="Retail"/>
    <x v="2"/>
  </r>
  <r>
    <x v="787"/>
    <d v="2023-04-16T00:00:00"/>
    <x v="9"/>
    <x v="5"/>
    <n v="1988"/>
    <n v="5"/>
    <n v="10"/>
    <x v="772"/>
    <n v="1096.83"/>
    <n v="3461.85"/>
    <n v="0.38697183098591548"/>
    <x v="7"/>
    <x v="0"/>
    <n v="16"/>
    <x v="293"/>
    <s v="Retail"/>
    <x v="3"/>
  </r>
  <r>
    <x v="788"/>
    <d v="2023-02-13T00:00:00"/>
    <x v="2"/>
    <x v="2"/>
    <n v="4972"/>
    <n v="2"/>
    <n v="10"/>
    <x v="773"/>
    <n v="3873.2"/>
    <n v="1203.21"/>
    <n v="0.13444288012872083"/>
    <x v="3"/>
    <x v="0"/>
    <n v="7"/>
    <x v="22"/>
    <s v="Wholesale"/>
    <x v="1"/>
  </r>
  <r>
    <x v="789"/>
    <d v="2023-08-21T00:00:00"/>
    <x v="4"/>
    <x v="3"/>
    <n v="1319"/>
    <n v="8"/>
    <n v="15"/>
    <x v="774"/>
    <n v="952.01"/>
    <n v="1353.08"/>
    <n v="0.15085849351112696"/>
    <x v="6"/>
    <x v="0"/>
    <n v="34"/>
    <x v="57"/>
    <s v="Wholesale"/>
    <x v="3"/>
  </r>
  <r>
    <x v="790"/>
    <d v="2023-12-24T00:00:00"/>
    <x v="2"/>
    <x v="2"/>
    <n v="2362"/>
    <n v="4"/>
    <n v="5"/>
    <x v="775"/>
    <n v="1886.24"/>
    <n v="1430.62"/>
    <n v="0.15938990151076249"/>
    <x v="9"/>
    <x v="0"/>
    <n v="52"/>
    <x v="82"/>
    <s v="Retail"/>
    <x v="3"/>
  </r>
  <r>
    <x v="791"/>
    <d v="2023-01-29T00:00:00"/>
    <x v="1"/>
    <x v="1"/>
    <n v="1184"/>
    <n v="8"/>
    <n v="5"/>
    <x v="776"/>
    <n v="809.67"/>
    <n v="2521.0300000000002"/>
    <n v="0.28016425142247514"/>
    <x v="0"/>
    <x v="0"/>
    <n v="5"/>
    <x v="350"/>
    <s v="Wholesale"/>
    <x v="2"/>
  </r>
  <r>
    <x v="792"/>
    <d v="2023-01-07T00:00:00"/>
    <x v="3"/>
    <x v="3"/>
    <n v="1179"/>
    <n v="9"/>
    <n v="15"/>
    <x v="777"/>
    <n v="619.57000000000005"/>
    <n v="3443.22"/>
    <n v="0.38175921768198368"/>
    <x v="0"/>
    <x v="0"/>
    <n v="1"/>
    <x v="293"/>
    <s v="Wholesale"/>
    <x v="3"/>
  </r>
  <r>
    <x v="793"/>
    <d v="2023-11-23T00:00:00"/>
    <x v="6"/>
    <x v="0"/>
    <n v="2123"/>
    <n v="5"/>
    <n v="15"/>
    <x v="778"/>
    <n v="1545.92"/>
    <n v="1293.1500000000001"/>
    <n v="0.14332104956914468"/>
    <x v="4"/>
    <x v="0"/>
    <n v="47"/>
    <x v="11"/>
    <s v="Retail"/>
    <x v="0"/>
  </r>
  <r>
    <x v="794"/>
    <d v="2023-03-18T00:00:00"/>
    <x v="3"/>
    <x v="3"/>
    <n v="2128"/>
    <n v="5"/>
    <n v="15"/>
    <x v="779"/>
    <n v="1333.26"/>
    <n v="2377.6799999999998"/>
    <n v="0.26290137107474565"/>
    <x v="5"/>
    <x v="0"/>
    <n v="11"/>
    <x v="385"/>
    <s v="Wholesale"/>
    <x v="2"/>
  </r>
  <r>
    <x v="795"/>
    <d v="2023-12-25T00:00:00"/>
    <x v="2"/>
    <x v="2"/>
    <n v="1183"/>
    <n v="9"/>
    <n v="15"/>
    <x v="780"/>
    <n v="690.23"/>
    <n v="2837.85"/>
    <n v="0.31357631810120495"/>
    <x v="9"/>
    <x v="0"/>
    <n v="52"/>
    <x v="386"/>
    <s v="Wholesale"/>
    <x v="2"/>
  </r>
  <r>
    <x v="796"/>
    <d v="2023-11-30T00:00:00"/>
    <x v="9"/>
    <x v="5"/>
    <n v="1589"/>
    <n v="6"/>
    <n v="5"/>
    <x v="781"/>
    <n v="1108.26"/>
    <n v="2407.75"/>
    <n v="0.26583529307851128"/>
    <x v="4"/>
    <x v="0"/>
    <n v="48"/>
    <x v="387"/>
    <s v="Retail"/>
    <x v="0"/>
  </r>
  <r>
    <x v="797"/>
    <d v="2023-12-27T00:00:00"/>
    <x v="3"/>
    <x v="3"/>
    <n v="1066"/>
    <n v="10"/>
    <n v="15"/>
    <x v="782"/>
    <n v="647.05999999999995"/>
    <n v="2590.4"/>
    <n v="0.28588456020306813"/>
    <x v="9"/>
    <x v="0"/>
    <n v="52"/>
    <x v="172"/>
    <s v="Retail"/>
    <x v="1"/>
  </r>
  <r>
    <x v="798"/>
    <d v="2023-07-04T00:00:00"/>
    <x v="2"/>
    <x v="2"/>
    <n v="1336"/>
    <n v="8"/>
    <n v="15"/>
    <x v="783"/>
    <n v="949.27"/>
    <n v="1490.62"/>
    <n v="0.16407846072560761"/>
    <x v="1"/>
    <x v="0"/>
    <n v="27"/>
    <x v="261"/>
    <s v="Wholesale"/>
    <x v="1"/>
  </r>
  <r>
    <x v="799"/>
    <d v="2023-07-29T00:00:00"/>
    <x v="1"/>
    <x v="1"/>
    <n v="2672"/>
    <n v="4"/>
    <n v="15"/>
    <x v="783"/>
    <n v="2110.7600000000002"/>
    <n v="641.76"/>
    <n v="7.0641070799577321E-2"/>
    <x v="1"/>
    <x v="0"/>
    <n v="30"/>
    <x v="381"/>
    <s v="Retail"/>
    <x v="1"/>
  </r>
  <r>
    <x v="800"/>
    <d v="2023-09-20T00:00:00"/>
    <x v="2"/>
    <x v="2"/>
    <n v="1010"/>
    <n v="10"/>
    <n v="10"/>
    <x v="784"/>
    <n v="617.57000000000005"/>
    <n v="2914.34"/>
    <n v="0.3206094609460946"/>
    <x v="8"/>
    <x v="0"/>
    <n v="38"/>
    <x v="133"/>
    <s v="Wholesale"/>
    <x v="1"/>
  </r>
  <r>
    <x v="801"/>
    <d v="2023-06-23T00:00:00"/>
    <x v="9"/>
    <x v="5"/>
    <n v="958"/>
    <n v="10"/>
    <n v="5"/>
    <x v="785"/>
    <n v="521.58000000000004"/>
    <n v="3885.22"/>
    <n v="0.42690034062190968"/>
    <x v="10"/>
    <x v="0"/>
    <n v="25"/>
    <x v="115"/>
    <s v="Retail"/>
    <x v="3"/>
  </r>
  <r>
    <x v="802"/>
    <d v="2023-09-12T00:00:00"/>
    <x v="8"/>
    <x v="2"/>
    <n v="3373"/>
    <n v="3"/>
    <n v="10"/>
    <x v="786"/>
    <n v="2608.46"/>
    <n v="1281.71"/>
    <n v="0.14073744660759188"/>
    <x v="8"/>
    <x v="0"/>
    <n v="37"/>
    <x v="24"/>
    <s v="Retail"/>
    <x v="1"/>
  </r>
  <r>
    <x v="803"/>
    <d v="2023-07-29T00:00:00"/>
    <x v="8"/>
    <x v="2"/>
    <n v="3573"/>
    <n v="3"/>
    <n v="15"/>
    <x v="787"/>
    <n v="2163.2600000000002"/>
    <n v="2621.37"/>
    <n v="0.28771011343244268"/>
    <x v="1"/>
    <x v="0"/>
    <n v="30"/>
    <x v="42"/>
    <s v="Wholesale"/>
    <x v="3"/>
  </r>
  <r>
    <x v="804"/>
    <d v="2023-07-25T00:00:00"/>
    <x v="6"/>
    <x v="0"/>
    <n v="1919"/>
    <n v="5"/>
    <n v="5"/>
    <x v="788"/>
    <n v="1388.64"/>
    <n v="2172.0300000000002"/>
    <n v="0.23828529113299143"/>
    <x v="1"/>
    <x v="0"/>
    <n v="30"/>
    <x v="5"/>
    <s v="Retail"/>
    <x v="3"/>
  </r>
  <r>
    <x v="805"/>
    <d v="2023-01-11T00:00:00"/>
    <x v="9"/>
    <x v="5"/>
    <n v="3204"/>
    <n v="3"/>
    <n v="5"/>
    <x v="789"/>
    <n v="1869.79"/>
    <n v="3522.03"/>
    <n v="0.38570536828963797"/>
    <x v="0"/>
    <x v="0"/>
    <n v="2"/>
    <x v="388"/>
    <s v="Wholesale"/>
    <x v="0"/>
  </r>
  <r>
    <x v="806"/>
    <d v="2023-04-29T00:00:00"/>
    <x v="3"/>
    <x v="3"/>
    <n v="3582"/>
    <n v="3"/>
    <n v="15"/>
    <x v="790"/>
    <n v="2574.77"/>
    <n v="1409.78"/>
    <n v="0.15434251869368629"/>
    <x v="7"/>
    <x v="0"/>
    <n v="17"/>
    <x v="339"/>
    <s v="Retail"/>
    <x v="0"/>
  </r>
  <r>
    <x v="807"/>
    <d v="2023-03-21T00:00:00"/>
    <x v="6"/>
    <x v="0"/>
    <n v="2690"/>
    <n v="4"/>
    <n v="15"/>
    <x v="791"/>
    <n v="1797.77"/>
    <n v="1954.9"/>
    <n v="0.21374371309862236"/>
    <x v="5"/>
    <x v="0"/>
    <n v="12"/>
    <x v="389"/>
    <s v="Wholesale"/>
    <x v="0"/>
  </r>
  <r>
    <x v="808"/>
    <d v="2023-04-17T00:00:00"/>
    <x v="3"/>
    <x v="3"/>
    <n v="3592"/>
    <n v="3"/>
    <n v="15"/>
    <x v="792"/>
    <n v="2699.83"/>
    <n v="1060.0999999999999"/>
    <n v="0.11573649504345167"/>
    <x v="7"/>
    <x v="0"/>
    <n v="16"/>
    <x v="390"/>
    <s v="Retail"/>
    <x v="0"/>
  </r>
  <r>
    <x v="809"/>
    <d v="2023-11-27T00:00:00"/>
    <x v="7"/>
    <x v="1"/>
    <n v="2411"/>
    <n v="4"/>
    <n v="5"/>
    <x v="793"/>
    <n v="1722.13"/>
    <n v="2273.27"/>
    <n v="0.24812482263310706"/>
    <x v="4"/>
    <x v="0"/>
    <n v="48"/>
    <x v="391"/>
    <s v="Retail"/>
    <x v="2"/>
  </r>
  <r>
    <x v="810"/>
    <d v="2023-07-22T00:00:00"/>
    <x v="5"/>
    <x v="4"/>
    <n v="4581"/>
    <n v="2"/>
    <n v="0"/>
    <x v="794"/>
    <n v="2856.43"/>
    <n v="3449.13"/>
    <n v="0.37646037982973152"/>
    <x v="1"/>
    <x v="0"/>
    <n v="29"/>
    <x v="392"/>
    <s v="Wholesale"/>
    <x v="0"/>
  </r>
  <r>
    <x v="811"/>
    <d v="2023-12-08T00:00:00"/>
    <x v="4"/>
    <x v="3"/>
    <n v="3408"/>
    <n v="3"/>
    <n v="10"/>
    <x v="795"/>
    <n v="2011.98"/>
    <n v="3165.66"/>
    <n v="0.34403364632237871"/>
    <x v="9"/>
    <x v="0"/>
    <n v="49"/>
    <x v="263"/>
    <s v="Retail"/>
    <x v="0"/>
  </r>
  <r>
    <x v="812"/>
    <d v="2023-02-18T00:00:00"/>
    <x v="3"/>
    <x v="3"/>
    <n v="1315"/>
    <n v="7"/>
    <n v="0"/>
    <x v="796"/>
    <n v="774"/>
    <n v="3786.97"/>
    <n v="0.41140358500814772"/>
    <x v="3"/>
    <x v="0"/>
    <n v="7"/>
    <x v="173"/>
    <s v="Retail"/>
    <x v="3"/>
  </r>
  <r>
    <x v="813"/>
    <d v="2023-02-21T00:00:00"/>
    <x v="0"/>
    <x v="0"/>
    <n v="1355"/>
    <n v="8"/>
    <n v="15"/>
    <x v="797"/>
    <n v="748.92"/>
    <n v="3222.63"/>
    <n v="0.34975363577165186"/>
    <x v="3"/>
    <x v="0"/>
    <n v="8"/>
    <x v="319"/>
    <s v="Retail"/>
    <x v="2"/>
  </r>
  <r>
    <x v="814"/>
    <d v="2023-02-14T00:00:00"/>
    <x v="9"/>
    <x v="5"/>
    <n v="3413"/>
    <n v="3"/>
    <n v="10"/>
    <x v="798"/>
    <n v="2263.9"/>
    <n v="2423.41"/>
    <n v="0.26298249612049784"/>
    <x v="3"/>
    <x v="0"/>
    <n v="7"/>
    <x v="393"/>
    <s v="Wholesale"/>
    <x v="3"/>
  </r>
  <r>
    <x v="815"/>
    <d v="2023-01-14T00:00:00"/>
    <x v="2"/>
    <x v="2"/>
    <n v="1024"/>
    <n v="9"/>
    <n v="0"/>
    <x v="799"/>
    <n v="690.94"/>
    <n v="2997.57"/>
    <n v="0.32525716145833333"/>
    <x v="0"/>
    <x v="0"/>
    <n v="2"/>
    <x v="311"/>
    <s v="Retail"/>
    <x v="3"/>
  </r>
  <r>
    <x v="816"/>
    <d v="2023-03-20T00:00:00"/>
    <x v="6"/>
    <x v="0"/>
    <n v="1617"/>
    <n v="6"/>
    <n v="5"/>
    <x v="800"/>
    <n v="1026.3499999999999"/>
    <n v="3058.79"/>
    <n v="0.33186754765702137"/>
    <x v="5"/>
    <x v="0"/>
    <n v="12"/>
    <x v="65"/>
    <s v="Wholesale"/>
    <x v="1"/>
  </r>
  <r>
    <x v="817"/>
    <d v="2023-10-11T00:00:00"/>
    <x v="6"/>
    <x v="0"/>
    <n v="1029"/>
    <n v="10"/>
    <n v="10"/>
    <x v="801"/>
    <n v="580.14"/>
    <n v="3459.61"/>
    <n v="0.37356764928193503"/>
    <x v="11"/>
    <x v="0"/>
    <n v="41"/>
    <x v="357"/>
    <s v="Wholesale"/>
    <x v="3"/>
  </r>
  <r>
    <x v="818"/>
    <d v="2023-08-05T00:00:00"/>
    <x v="5"/>
    <x v="4"/>
    <n v="1161"/>
    <n v="8"/>
    <n v="0"/>
    <x v="802"/>
    <n v="644.82000000000005"/>
    <n v="4129.4399999999996"/>
    <n v="0.44459948320413434"/>
    <x v="6"/>
    <x v="0"/>
    <n v="31"/>
    <x v="106"/>
    <s v="Wholesale"/>
    <x v="0"/>
  </r>
  <r>
    <x v="819"/>
    <d v="2023-06-23T00:00:00"/>
    <x v="8"/>
    <x v="2"/>
    <n v="1860"/>
    <n v="5"/>
    <n v="0"/>
    <x v="803"/>
    <n v="1446.97"/>
    <n v="2065.16"/>
    <n v="0.22206021505376342"/>
    <x v="10"/>
    <x v="0"/>
    <n v="25"/>
    <x v="188"/>
    <s v="Wholesale"/>
    <x v="0"/>
  </r>
  <r>
    <x v="820"/>
    <d v="2023-06-05T00:00:00"/>
    <x v="0"/>
    <x v="0"/>
    <n v="4659"/>
    <n v="2"/>
    <n v="0"/>
    <x v="804"/>
    <n v="2516.69"/>
    <n v="4284.6099999999997"/>
    <n v="0.45982077699077051"/>
    <x v="10"/>
    <x v="0"/>
    <n v="23"/>
    <x v="123"/>
    <s v="Retail"/>
    <x v="0"/>
  </r>
  <r>
    <x v="821"/>
    <d v="2023-10-28T00:00:00"/>
    <x v="2"/>
    <x v="2"/>
    <n v="2591"/>
    <n v="4"/>
    <n v="10"/>
    <x v="805"/>
    <n v="1541.04"/>
    <n v="3163.45"/>
    <n v="0.33914940606372485"/>
    <x v="11"/>
    <x v="0"/>
    <n v="43"/>
    <x v="124"/>
    <s v="Retail"/>
    <x v="0"/>
  </r>
  <r>
    <x v="822"/>
    <d v="2023-03-13T00:00:00"/>
    <x v="8"/>
    <x v="2"/>
    <n v="3110"/>
    <n v="3"/>
    <n v="0"/>
    <x v="806"/>
    <n v="2343.91"/>
    <n v="2298.2600000000002"/>
    <n v="0.24633011789924975"/>
    <x v="5"/>
    <x v="0"/>
    <n v="11"/>
    <x v="371"/>
    <s v="Retail"/>
    <x v="0"/>
  </r>
  <r>
    <x v="823"/>
    <d v="2023-05-10T00:00:00"/>
    <x v="8"/>
    <x v="2"/>
    <n v="1222"/>
    <n v="9"/>
    <n v="15"/>
    <x v="807"/>
    <n v="684.29"/>
    <n v="3189.67"/>
    <n v="0.34120321341848253"/>
    <x v="2"/>
    <x v="0"/>
    <n v="19"/>
    <x v="2"/>
    <s v="Retail"/>
    <x v="0"/>
  </r>
  <r>
    <x v="824"/>
    <d v="2023-09-08T00:00:00"/>
    <x v="9"/>
    <x v="5"/>
    <n v="2751"/>
    <n v="4"/>
    <n v="15"/>
    <x v="808"/>
    <n v="2037.49"/>
    <n v="1203.43"/>
    <n v="0.1286623046165031"/>
    <x v="8"/>
    <x v="0"/>
    <n v="36"/>
    <x v="234"/>
    <s v="Retail"/>
    <x v="3"/>
  </r>
  <r>
    <x v="825"/>
    <d v="2023-12-09T00:00:00"/>
    <x v="8"/>
    <x v="2"/>
    <n v="1157"/>
    <n v="9"/>
    <n v="10"/>
    <x v="809"/>
    <n v="750"/>
    <n v="2621.7"/>
    <n v="0.27974647075770664"/>
    <x v="9"/>
    <x v="0"/>
    <n v="49"/>
    <x v="20"/>
    <s v="Wholesale"/>
    <x v="0"/>
  </r>
  <r>
    <x v="826"/>
    <d v="2023-08-12T00:00:00"/>
    <x v="3"/>
    <x v="3"/>
    <n v="1228"/>
    <n v="9"/>
    <n v="15"/>
    <x v="810"/>
    <n v="843.56"/>
    <n v="1802.13"/>
    <n v="0.19183432330586958"/>
    <x v="6"/>
    <x v="0"/>
    <n v="32"/>
    <x v="97"/>
    <s v="Wholesale"/>
    <x v="1"/>
  </r>
  <r>
    <x v="827"/>
    <d v="2023-08-13T00:00:00"/>
    <x v="1"/>
    <x v="1"/>
    <n v="2217"/>
    <n v="5"/>
    <n v="15"/>
    <x v="811"/>
    <n v="1226.8399999999999"/>
    <n v="3288.03"/>
    <n v="0.348964419326594"/>
    <x v="6"/>
    <x v="0"/>
    <n v="33"/>
    <x v="279"/>
    <s v="Wholesale"/>
    <x v="1"/>
  </r>
  <r>
    <x v="828"/>
    <d v="2023-07-12T00:00:00"/>
    <x v="9"/>
    <x v="5"/>
    <n v="2618"/>
    <n v="4"/>
    <n v="10"/>
    <x v="812"/>
    <n v="1317.36"/>
    <n v="4155.3599999999997"/>
    <n v="0.44089635854341735"/>
    <x v="1"/>
    <x v="0"/>
    <n v="28"/>
    <x v="97"/>
    <s v="Retail"/>
    <x v="3"/>
  </r>
  <r>
    <x v="829"/>
    <d v="2023-03-21T00:00:00"/>
    <x v="5"/>
    <x v="4"/>
    <n v="2358"/>
    <n v="4"/>
    <n v="0"/>
    <x v="813"/>
    <n v="1520.74"/>
    <n v="3349.02"/>
    <n v="0.3550699745547074"/>
    <x v="5"/>
    <x v="0"/>
    <n v="12"/>
    <x v="394"/>
    <s v="Retail"/>
    <x v="0"/>
  </r>
  <r>
    <x v="830"/>
    <d v="2023-08-24T00:00:00"/>
    <x v="9"/>
    <x v="5"/>
    <n v="1242"/>
    <n v="8"/>
    <n v="5"/>
    <x v="814"/>
    <n v="673.72"/>
    <n v="4049.42"/>
    <n v="0.42900033901178064"/>
    <x v="6"/>
    <x v="0"/>
    <n v="34"/>
    <x v="136"/>
    <s v="Wholesale"/>
    <x v="1"/>
  </r>
  <r>
    <x v="831"/>
    <d v="2023-04-16T00:00:00"/>
    <x v="4"/>
    <x v="3"/>
    <n v="2361"/>
    <n v="4"/>
    <n v="0"/>
    <x v="815"/>
    <n v="1833.36"/>
    <n v="2110.5700000000002"/>
    <n v="0.22348263447691658"/>
    <x v="7"/>
    <x v="0"/>
    <n v="16"/>
    <x v="189"/>
    <s v="Wholesale"/>
    <x v="2"/>
  </r>
  <r>
    <x v="832"/>
    <d v="2023-03-01T00:00:00"/>
    <x v="5"/>
    <x v="4"/>
    <n v="3710"/>
    <n v="3"/>
    <n v="15"/>
    <x v="816"/>
    <n v="2932.19"/>
    <n v="663.94"/>
    <n v="7.0180223032609276E-2"/>
    <x v="5"/>
    <x v="0"/>
    <n v="9"/>
    <x v="383"/>
    <s v="Retail"/>
    <x v="2"/>
  </r>
  <r>
    <x v="833"/>
    <d v="2023-03-09T00:00:00"/>
    <x v="9"/>
    <x v="5"/>
    <n v="1109"/>
    <n v="9"/>
    <n v="5"/>
    <x v="817"/>
    <n v="880.85"/>
    <n v="1554.27"/>
    <n v="0.16391881416797177"/>
    <x v="5"/>
    <x v="0"/>
    <n v="10"/>
    <x v="395"/>
    <s v="Wholesale"/>
    <x v="2"/>
  </r>
  <r>
    <x v="834"/>
    <d v="2023-06-25T00:00:00"/>
    <x v="3"/>
    <x v="3"/>
    <n v="1171"/>
    <n v="9"/>
    <n v="10"/>
    <x v="818"/>
    <n v="897.43"/>
    <n v="1408.26"/>
    <n v="0.14847075940158774"/>
    <x v="10"/>
    <x v="0"/>
    <n v="26"/>
    <x v="47"/>
    <s v="Wholesale"/>
    <x v="3"/>
  </r>
  <r>
    <x v="835"/>
    <d v="2023-08-29T00:00:00"/>
    <x v="7"/>
    <x v="1"/>
    <n v="1506"/>
    <n v="7"/>
    <n v="10"/>
    <x v="819"/>
    <n v="1086.17"/>
    <n v="1884.6"/>
    <n v="0.19863403528742174"/>
    <x v="6"/>
    <x v="0"/>
    <n v="35"/>
    <x v="147"/>
    <s v="Wholesale"/>
    <x v="1"/>
  </r>
  <r>
    <x v="836"/>
    <d v="2023-04-19T00:00:00"/>
    <x v="7"/>
    <x v="1"/>
    <n v="1506"/>
    <n v="7"/>
    <n v="10"/>
    <x v="819"/>
    <n v="1087.19"/>
    <n v="1877.5"/>
    <n v="0.19788570585383336"/>
    <x v="7"/>
    <x v="0"/>
    <n v="16"/>
    <x v="237"/>
    <s v="Retail"/>
    <x v="2"/>
  </r>
  <r>
    <x v="837"/>
    <d v="2023-12-07T00:00:00"/>
    <x v="7"/>
    <x v="1"/>
    <n v="2794"/>
    <n v="4"/>
    <n v="15"/>
    <x v="820"/>
    <n v="2063.25"/>
    <n v="1246.5899999999999"/>
    <n v="0.13122552528527515"/>
    <x v="9"/>
    <x v="0"/>
    <n v="49"/>
    <x v="161"/>
    <s v="Retail"/>
    <x v="3"/>
  </r>
  <r>
    <x v="838"/>
    <d v="2023-03-13T00:00:00"/>
    <x v="5"/>
    <x v="4"/>
    <n v="2378"/>
    <n v="4"/>
    <n v="0"/>
    <x v="821"/>
    <n v="1708.37"/>
    <n v="2678.52"/>
    <n v="0.28159377628259041"/>
    <x v="5"/>
    <x v="0"/>
    <n v="11"/>
    <x v="10"/>
    <s v="Wholesale"/>
    <x v="0"/>
  </r>
  <r>
    <x v="839"/>
    <d v="2023-07-03T00:00:00"/>
    <x v="7"/>
    <x v="1"/>
    <n v="4767"/>
    <n v="2"/>
    <n v="0"/>
    <x v="822"/>
    <n v="3218.85"/>
    <n v="3096.3"/>
    <n v="0.32476400251730653"/>
    <x v="1"/>
    <x v="0"/>
    <n v="27"/>
    <x v="141"/>
    <s v="Wholesale"/>
    <x v="0"/>
  </r>
  <r>
    <x v="840"/>
    <d v="2023-02-02T00:00:00"/>
    <x v="5"/>
    <x v="4"/>
    <n v="2805"/>
    <n v="4"/>
    <n v="15"/>
    <x v="823"/>
    <n v="1544.71"/>
    <n v="3358.14"/>
    <n v="0.3521170179301667"/>
    <x v="3"/>
    <x v="0"/>
    <n v="5"/>
    <x v="66"/>
    <s v="Retail"/>
    <x v="1"/>
  </r>
  <r>
    <x v="841"/>
    <d v="2023-08-12T00:00:00"/>
    <x v="7"/>
    <x v="1"/>
    <n v="3540"/>
    <n v="3"/>
    <n v="10"/>
    <x v="824"/>
    <n v="2708.67"/>
    <n v="1432"/>
    <n v="0.14982213852270349"/>
    <x v="6"/>
    <x v="0"/>
    <n v="32"/>
    <x v="66"/>
    <s v="Retail"/>
    <x v="3"/>
  </r>
  <r>
    <x v="842"/>
    <d v="2023-04-19T00:00:00"/>
    <x v="9"/>
    <x v="5"/>
    <n v="3541"/>
    <n v="3"/>
    <n v="10"/>
    <x v="825"/>
    <n v="2480.87"/>
    <n v="2118.09"/>
    <n v="0.22154130973673475"/>
    <x v="7"/>
    <x v="0"/>
    <n v="16"/>
    <x v="348"/>
    <s v="Retail"/>
    <x v="3"/>
  </r>
  <r>
    <x v="843"/>
    <d v="2023-06-28T00:00:00"/>
    <x v="3"/>
    <x v="3"/>
    <n v="4832"/>
    <n v="2"/>
    <n v="0"/>
    <x v="826"/>
    <n v="3512.09"/>
    <n v="2639.81"/>
    <n v="0.27315914735099339"/>
    <x v="10"/>
    <x v="0"/>
    <n v="26"/>
    <x v="283"/>
    <s v="Retail"/>
    <x v="2"/>
  </r>
  <r>
    <x v="844"/>
    <d v="2023-01-28T00:00:00"/>
    <x v="6"/>
    <x v="0"/>
    <n v="3224"/>
    <n v="3"/>
    <n v="0"/>
    <x v="827"/>
    <n v="2204.3000000000002"/>
    <n v="3059.11"/>
    <n v="0.31628515301902399"/>
    <x v="0"/>
    <x v="0"/>
    <n v="4"/>
    <x v="396"/>
    <s v="Wholesale"/>
    <x v="1"/>
  </r>
  <r>
    <x v="845"/>
    <d v="2023-01-13T00:00:00"/>
    <x v="6"/>
    <x v="0"/>
    <n v="3225"/>
    <n v="3"/>
    <n v="0"/>
    <x v="828"/>
    <n v="2466.67"/>
    <n v="2274.9899999999998"/>
    <n v="0.2351410852713178"/>
    <x v="0"/>
    <x v="0"/>
    <n v="2"/>
    <x v="158"/>
    <s v="Wholesale"/>
    <x v="3"/>
  </r>
  <r>
    <x v="846"/>
    <d v="2023-12-05T00:00:00"/>
    <x v="5"/>
    <x v="4"/>
    <n v="2151"/>
    <n v="5"/>
    <n v="10"/>
    <x v="829"/>
    <n v="1351.6"/>
    <n v="2921.5"/>
    <n v="0.30182344129345523"/>
    <x v="9"/>
    <x v="0"/>
    <n v="49"/>
    <x v="397"/>
    <s v="Retail"/>
    <x v="3"/>
  </r>
  <r>
    <x v="847"/>
    <d v="2023-06-12T00:00:00"/>
    <x v="8"/>
    <x v="2"/>
    <n v="968"/>
    <n v="10"/>
    <n v="0"/>
    <x v="830"/>
    <n v="653.39"/>
    <n v="3146.11"/>
    <n v="0.32501136363636363"/>
    <x v="10"/>
    <x v="0"/>
    <n v="24"/>
    <x v="306"/>
    <s v="Wholesale"/>
    <x v="2"/>
  </r>
  <r>
    <x v="848"/>
    <d v="2023-12-27T00:00:00"/>
    <x v="8"/>
    <x v="2"/>
    <n v="3586"/>
    <n v="3"/>
    <n v="10"/>
    <x v="831"/>
    <n v="2182.63"/>
    <n v="3134.31"/>
    <n v="0.3237187829212369"/>
    <x v="9"/>
    <x v="0"/>
    <n v="52"/>
    <x v="315"/>
    <s v="Retail"/>
    <x v="2"/>
  </r>
  <r>
    <x v="849"/>
    <d v="2023-12-02T00:00:00"/>
    <x v="4"/>
    <x v="3"/>
    <n v="1079"/>
    <n v="10"/>
    <n v="10"/>
    <x v="832"/>
    <n v="591.02"/>
    <n v="3800.76"/>
    <n v="0.3913870868087736"/>
    <x v="9"/>
    <x v="0"/>
    <n v="48"/>
    <x v="19"/>
    <s v="Wholesale"/>
    <x v="2"/>
  </r>
  <r>
    <x v="850"/>
    <d v="2023-06-05T00:00:00"/>
    <x v="4"/>
    <x v="3"/>
    <n v="2047"/>
    <n v="5"/>
    <n v="5"/>
    <x v="833"/>
    <n v="1596.52"/>
    <n v="1740.67"/>
    <n v="0.17902141773583935"/>
    <x v="10"/>
    <x v="0"/>
    <n v="23"/>
    <x v="385"/>
    <s v="Wholesale"/>
    <x v="3"/>
  </r>
  <r>
    <x v="851"/>
    <d v="2023-04-26T00:00:00"/>
    <x v="3"/>
    <x v="3"/>
    <n v="1805"/>
    <n v="6"/>
    <n v="10"/>
    <x v="834"/>
    <n v="1251.5"/>
    <n v="2238.0100000000002"/>
    <n v="0.22961013645224174"/>
    <x v="7"/>
    <x v="0"/>
    <n v="17"/>
    <x v="329"/>
    <s v="Wholesale"/>
    <x v="2"/>
  </r>
  <r>
    <x v="852"/>
    <d v="2023-04-13T00:00:00"/>
    <x v="4"/>
    <x v="3"/>
    <n v="1630"/>
    <n v="6"/>
    <n v="0"/>
    <x v="835"/>
    <n v="867.99"/>
    <n v="4572.0600000000004"/>
    <n v="0.4674907975460123"/>
    <x v="7"/>
    <x v="0"/>
    <n v="15"/>
    <x v="198"/>
    <s v="Wholesale"/>
    <x v="1"/>
  </r>
  <r>
    <x v="853"/>
    <d v="2023-09-27T00:00:00"/>
    <x v="6"/>
    <x v="0"/>
    <n v="1288"/>
    <n v="8"/>
    <n v="5"/>
    <x v="836"/>
    <n v="918.78"/>
    <n v="2438.58"/>
    <n v="0.24911940176528277"/>
    <x v="8"/>
    <x v="0"/>
    <n v="39"/>
    <x v="91"/>
    <s v="Wholesale"/>
    <x v="2"/>
  </r>
  <r>
    <x v="854"/>
    <d v="2023-04-02T00:00:00"/>
    <x v="7"/>
    <x v="1"/>
    <n v="1147"/>
    <n v="9"/>
    <n v="5"/>
    <x v="837"/>
    <n v="781.75"/>
    <n v="2771.12"/>
    <n v="0.28256983638987032"/>
    <x v="7"/>
    <x v="0"/>
    <n v="14"/>
    <x v="398"/>
    <s v="Retail"/>
    <x v="0"/>
  </r>
  <r>
    <x v="855"/>
    <d v="2023-11-07T00:00:00"/>
    <x v="8"/>
    <x v="2"/>
    <n v="3449"/>
    <n v="3"/>
    <n v="5"/>
    <x v="838"/>
    <n v="1899.4"/>
    <n v="4131.45"/>
    <n v="0.42030489386702474"/>
    <x v="4"/>
    <x v="0"/>
    <n v="45"/>
    <x v="393"/>
    <s v="Retail"/>
    <x v="2"/>
  </r>
  <r>
    <x v="856"/>
    <d v="2023-06-18T00:00:00"/>
    <x v="4"/>
    <x v="3"/>
    <n v="3277"/>
    <n v="3"/>
    <n v="0"/>
    <x v="839"/>
    <n v="2165.06"/>
    <n v="3335.81"/>
    <n v="0.33931543078018511"/>
    <x v="10"/>
    <x v="0"/>
    <n v="25"/>
    <x v="399"/>
    <s v="Retail"/>
    <x v="3"/>
  </r>
  <r>
    <x v="857"/>
    <d v="2023-03-29T00:00:00"/>
    <x v="6"/>
    <x v="0"/>
    <n v="1481"/>
    <n v="7"/>
    <n v="5"/>
    <x v="840"/>
    <n v="997.98"/>
    <n v="2862.8"/>
    <n v="0.29067943322181217"/>
    <x v="5"/>
    <x v="0"/>
    <n v="13"/>
    <x v="400"/>
    <s v="Retail"/>
    <x v="2"/>
  </r>
  <r>
    <x v="858"/>
    <d v="2023-11-24T00:00:00"/>
    <x v="2"/>
    <x v="2"/>
    <n v="1407"/>
    <n v="7"/>
    <n v="0"/>
    <x v="841"/>
    <n v="767.05"/>
    <n v="4479.6499999999996"/>
    <n v="0.45483297796730626"/>
    <x v="4"/>
    <x v="0"/>
    <n v="47"/>
    <x v="178"/>
    <s v="Retail"/>
    <x v="1"/>
  </r>
  <r>
    <x v="859"/>
    <d v="2023-06-28T00:00:00"/>
    <x v="8"/>
    <x v="2"/>
    <n v="1152"/>
    <n v="9"/>
    <n v="5"/>
    <x v="842"/>
    <n v="626.32000000000005"/>
    <n v="4212.7299999999996"/>
    <n v="0.42770569363222866"/>
    <x v="10"/>
    <x v="0"/>
    <n v="26"/>
    <x v="401"/>
    <s v="Retail"/>
    <x v="0"/>
  </r>
  <r>
    <x v="860"/>
    <d v="2023-03-01T00:00:00"/>
    <x v="0"/>
    <x v="0"/>
    <n v="2328"/>
    <n v="5"/>
    <n v="15"/>
    <x v="843"/>
    <n v="1348.3"/>
    <n v="3152.49"/>
    <n v="0.31862644026682835"/>
    <x v="5"/>
    <x v="0"/>
    <n v="9"/>
    <x v="365"/>
    <s v="Wholesale"/>
    <x v="0"/>
  </r>
  <r>
    <x v="861"/>
    <d v="2023-02-10T00:00:00"/>
    <x v="5"/>
    <x v="4"/>
    <n v="3888"/>
    <n v="3"/>
    <n v="15"/>
    <x v="844"/>
    <n v="2456.56"/>
    <n v="2544.7199999999998"/>
    <n v="0.25666908738804162"/>
    <x v="3"/>
    <x v="0"/>
    <n v="6"/>
    <x v="150"/>
    <s v="Retail"/>
    <x v="2"/>
  </r>
  <r>
    <x v="862"/>
    <d v="2023-08-09T00:00:00"/>
    <x v="6"/>
    <x v="0"/>
    <n v="4964"/>
    <n v="2"/>
    <n v="0"/>
    <x v="845"/>
    <n v="3302.31"/>
    <n v="3323.38"/>
    <n v="0.33474818694601127"/>
    <x v="6"/>
    <x v="0"/>
    <n v="32"/>
    <x v="402"/>
    <s v="Wholesale"/>
    <x v="3"/>
  </r>
  <r>
    <x v="863"/>
    <d v="2023-01-29T00:00:00"/>
    <x v="9"/>
    <x v="5"/>
    <n v="994"/>
    <n v="10"/>
    <n v="0"/>
    <x v="846"/>
    <n v="507.65"/>
    <n v="4863.51"/>
    <n v="0.4892867203219316"/>
    <x v="0"/>
    <x v="0"/>
    <n v="5"/>
    <x v="343"/>
    <s v="Retail"/>
    <x v="2"/>
  </r>
  <r>
    <x v="864"/>
    <d v="2023-02-19T00:00:00"/>
    <x v="0"/>
    <x v="0"/>
    <n v="3899"/>
    <n v="3"/>
    <n v="15"/>
    <x v="847"/>
    <n v="2025.45"/>
    <n v="3866.09"/>
    <n v="0.38884681341118132"/>
    <x v="3"/>
    <x v="0"/>
    <n v="8"/>
    <x v="210"/>
    <s v="Retail"/>
    <x v="2"/>
  </r>
  <r>
    <x v="865"/>
    <d v="2023-07-25T00:00:00"/>
    <x v="9"/>
    <x v="5"/>
    <n v="1464"/>
    <n v="8"/>
    <n v="15"/>
    <x v="848"/>
    <n v="734.81"/>
    <n v="4076.74"/>
    <n v="0.40950859852137572"/>
    <x v="1"/>
    <x v="0"/>
    <n v="30"/>
    <x v="403"/>
    <s v="Retail"/>
    <x v="3"/>
  </r>
  <r>
    <x v="866"/>
    <d v="2023-08-31T00:00:00"/>
    <x v="5"/>
    <x v="4"/>
    <n v="3904"/>
    <n v="3"/>
    <n v="15"/>
    <x v="848"/>
    <n v="3034.19"/>
    <n v="852.62"/>
    <n v="8.5645692703310822E-2"/>
    <x v="6"/>
    <x v="0"/>
    <n v="35"/>
    <x v="354"/>
    <s v="Retail"/>
    <x v="2"/>
  </r>
  <r>
    <x v="867"/>
    <d v="2023-04-10T00:00:00"/>
    <x v="7"/>
    <x v="1"/>
    <n v="3319"/>
    <n v="3"/>
    <n v="0"/>
    <x v="849"/>
    <n v="2531.64"/>
    <n v="2362.09"/>
    <n v="0.23722908506578289"/>
    <x v="7"/>
    <x v="0"/>
    <n v="15"/>
    <x v="266"/>
    <s v="Retail"/>
    <x v="2"/>
  </r>
  <r>
    <x v="868"/>
    <d v="2023-01-11T00:00:00"/>
    <x v="3"/>
    <x v="3"/>
    <n v="2766"/>
    <n v="4"/>
    <n v="10"/>
    <x v="850"/>
    <n v="1792.12"/>
    <n v="2789.13"/>
    <n v="0.28010062665702579"/>
    <x v="0"/>
    <x v="0"/>
    <n v="2"/>
    <x v="354"/>
    <s v="Wholesale"/>
    <x v="1"/>
  </r>
  <r>
    <x v="869"/>
    <d v="2023-01-21T00:00:00"/>
    <x v="2"/>
    <x v="2"/>
    <n v="2346"/>
    <n v="5"/>
    <n v="15"/>
    <x v="851"/>
    <n v="1714.88"/>
    <n v="1396.12"/>
    <n v="0.14002507396820621"/>
    <x v="0"/>
    <x v="0"/>
    <n v="3"/>
    <x v="59"/>
    <s v="Retail"/>
    <x v="0"/>
  </r>
  <r>
    <x v="870"/>
    <d v="2023-06-04T00:00:00"/>
    <x v="3"/>
    <x v="3"/>
    <n v="4990"/>
    <n v="2"/>
    <n v="0"/>
    <x v="852"/>
    <n v="2840.37"/>
    <n v="4299.25"/>
    <n v="0.4307865731462926"/>
    <x v="10"/>
    <x v="0"/>
    <n v="23"/>
    <x v="322"/>
    <s v="Wholesale"/>
    <x v="1"/>
  </r>
  <r>
    <x v="871"/>
    <d v="2023-05-05T00:00:00"/>
    <x v="5"/>
    <x v="4"/>
    <n v="2223"/>
    <n v="5"/>
    <n v="10"/>
    <x v="853"/>
    <n v="1444.39"/>
    <n v="2781.53"/>
    <n v="0.27805568051182089"/>
    <x v="2"/>
    <x v="0"/>
    <n v="18"/>
    <x v="313"/>
    <s v="Retail"/>
    <x v="2"/>
  </r>
  <r>
    <x v="872"/>
    <d v="2023-01-14T00:00:00"/>
    <x v="9"/>
    <x v="5"/>
    <n v="2108"/>
    <n v="5"/>
    <n v="5"/>
    <x v="854"/>
    <n v="1625.16"/>
    <n v="1887.2"/>
    <n v="0.18847498252272046"/>
    <x v="0"/>
    <x v="0"/>
    <n v="2"/>
    <x v="18"/>
    <s v="Wholesale"/>
    <x v="3"/>
  </r>
  <r>
    <x v="873"/>
    <d v="2023-02-19T00:00:00"/>
    <x v="0"/>
    <x v="0"/>
    <n v="2789"/>
    <n v="4"/>
    <n v="10"/>
    <x v="855"/>
    <n v="2081.9"/>
    <n v="1712.81"/>
    <n v="0.17059180909127125"/>
    <x v="3"/>
    <x v="0"/>
    <n v="8"/>
    <x v="385"/>
    <s v="Retail"/>
    <x v="2"/>
  </r>
  <r>
    <x v="874"/>
    <d v="2023-05-02T00:00:00"/>
    <x v="4"/>
    <x v="3"/>
    <n v="3944"/>
    <n v="3"/>
    <n v="15"/>
    <x v="856"/>
    <n v="2523.0700000000002"/>
    <n v="2487.98"/>
    <n v="0.2473829694149465"/>
    <x v="2"/>
    <x v="0"/>
    <n v="18"/>
    <x v="247"/>
    <s v="Wholesale"/>
    <x v="2"/>
  </r>
  <r>
    <x v="875"/>
    <d v="2023-07-21T00:00:00"/>
    <x v="1"/>
    <x v="1"/>
    <n v="1520"/>
    <n v="7"/>
    <n v="5"/>
    <x v="857"/>
    <n v="1013.19"/>
    <n v="3015.68"/>
    <n v="0.29834586466165414"/>
    <x v="1"/>
    <x v="0"/>
    <n v="29"/>
    <x v="116"/>
    <s v="Wholesale"/>
    <x v="2"/>
  </r>
  <r>
    <x v="876"/>
    <d v="2023-01-01T00:00:00"/>
    <x v="5"/>
    <x v="4"/>
    <n v="1685"/>
    <n v="6"/>
    <n v="0"/>
    <x v="858"/>
    <n v="985.08"/>
    <n v="4199.51"/>
    <n v="0.41538180019782395"/>
    <x v="0"/>
    <x v="0"/>
    <n v="1"/>
    <x v="90"/>
    <s v="Wholesale"/>
    <x v="2"/>
  </r>
  <r>
    <x v="877"/>
    <d v="2023-07-13T00:00:00"/>
    <x v="6"/>
    <x v="0"/>
    <n v="1487"/>
    <n v="8"/>
    <n v="15"/>
    <x v="859"/>
    <n v="1163.9000000000001"/>
    <n v="800.43"/>
    <n v="7.9159579097274405E-2"/>
    <x v="1"/>
    <x v="0"/>
    <n v="28"/>
    <x v="158"/>
    <s v="Retail"/>
    <x v="1"/>
  </r>
  <r>
    <x v="878"/>
    <d v="2023-06-17T00:00:00"/>
    <x v="8"/>
    <x v="2"/>
    <n v="1445"/>
    <n v="7"/>
    <n v="0"/>
    <x v="860"/>
    <n v="883.41"/>
    <n v="3931.12"/>
    <n v="0.38864260998517053"/>
    <x v="10"/>
    <x v="0"/>
    <n v="24"/>
    <x v="293"/>
    <s v="Wholesale"/>
    <x v="0"/>
  </r>
  <r>
    <x v="879"/>
    <d v="2023-01-19T00:00:00"/>
    <x v="2"/>
    <x v="2"/>
    <n v="1268"/>
    <n v="8"/>
    <n v="0"/>
    <x v="861"/>
    <n v="683.06"/>
    <n v="4679.53"/>
    <n v="0.46131013406940058"/>
    <x v="0"/>
    <x v="0"/>
    <n v="3"/>
    <x v="404"/>
    <s v="Retail"/>
    <x v="2"/>
  </r>
  <r>
    <x v="880"/>
    <d v="2023-01-29T00:00:00"/>
    <x v="8"/>
    <x v="2"/>
    <n v="2540"/>
    <n v="4"/>
    <n v="0"/>
    <x v="862"/>
    <n v="1701.26"/>
    <n v="3354.96"/>
    <n v="0.33021259842519685"/>
    <x v="0"/>
    <x v="0"/>
    <n v="5"/>
    <x v="140"/>
    <s v="Wholesale"/>
    <x v="2"/>
  </r>
  <r>
    <x v="881"/>
    <d v="2023-05-26T00:00:00"/>
    <x v="2"/>
    <x v="2"/>
    <n v="1694"/>
    <n v="6"/>
    <n v="0"/>
    <x v="863"/>
    <n v="1299.82"/>
    <n v="2365.1"/>
    <n v="0.23269382133018496"/>
    <x v="2"/>
    <x v="0"/>
    <n v="21"/>
    <x v="49"/>
    <s v="Wholesale"/>
    <x v="3"/>
  </r>
  <r>
    <x v="882"/>
    <d v="2023-06-09T00:00:00"/>
    <x v="9"/>
    <x v="5"/>
    <n v="1256"/>
    <n v="9"/>
    <n v="10"/>
    <x v="864"/>
    <n v="893.53"/>
    <n v="2131.8200000000002"/>
    <n v="0.20954431076511756"/>
    <x v="10"/>
    <x v="0"/>
    <n v="23"/>
    <x v="99"/>
    <s v="Retail"/>
    <x v="2"/>
  </r>
  <r>
    <x v="883"/>
    <d v="2023-10-03T00:00:00"/>
    <x v="7"/>
    <x v="1"/>
    <n v="2038"/>
    <n v="5"/>
    <n v="0"/>
    <x v="865"/>
    <n v="1220.49"/>
    <n v="4087.54"/>
    <n v="0.40113248282630032"/>
    <x v="11"/>
    <x v="0"/>
    <n v="40"/>
    <x v="357"/>
    <s v="Retail"/>
    <x v="3"/>
  </r>
  <r>
    <x v="884"/>
    <d v="2023-05-05T00:00:00"/>
    <x v="9"/>
    <x v="5"/>
    <n v="1888"/>
    <n v="6"/>
    <n v="10"/>
    <x v="866"/>
    <n v="1414.8"/>
    <n v="1706.42"/>
    <n v="0.16737484306340239"/>
    <x v="2"/>
    <x v="0"/>
    <n v="18"/>
    <x v="175"/>
    <s v="Wholesale"/>
    <x v="1"/>
  </r>
  <r>
    <x v="885"/>
    <d v="2023-11-08T00:00:00"/>
    <x v="9"/>
    <x v="5"/>
    <n v="1458"/>
    <n v="7"/>
    <n v="0"/>
    <x v="867"/>
    <n v="1056.26"/>
    <n v="2812.19"/>
    <n v="0.27554281795022534"/>
    <x v="4"/>
    <x v="0"/>
    <n v="45"/>
    <x v="85"/>
    <s v="Wholesale"/>
    <x v="3"/>
  </r>
  <r>
    <x v="886"/>
    <d v="2023-03-16T00:00:00"/>
    <x v="2"/>
    <x v="2"/>
    <n v="4003"/>
    <n v="3"/>
    <n v="15"/>
    <x v="868"/>
    <n v="2495.23"/>
    <n v="2721.96"/>
    <n v="0.26665882940735625"/>
    <x v="5"/>
    <x v="0"/>
    <n v="11"/>
    <x v="74"/>
    <s v="Wholesale"/>
    <x v="2"/>
  </r>
  <r>
    <x v="887"/>
    <d v="2023-04-24T00:00:00"/>
    <x v="9"/>
    <x v="5"/>
    <n v="1539"/>
    <n v="7"/>
    <n v="5"/>
    <x v="869"/>
    <n v="961.57"/>
    <n v="3503.37"/>
    <n v="0.34231485145612567"/>
    <x v="7"/>
    <x v="0"/>
    <n v="17"/>
    <x v="376"/>
    <s v="Wholesale"/>
    <x v="1"/>
  </r>
  <r>
    <x v="888"/>
    <d v="2023-11-03T00:00:00"/>
    <x v="5"/>
    <x v="4"/>
    <n v="1507"/>
    <n v="8"/>
    <n v="15"/>
    <x v="870"/>
    <n v="1155.03"/>
    <n v="1007.38"/>
    <n v="9.8303993130098757E-2"/>
    <x v="4"/>
    <x v="0"/>
    <n v="44"/>
    <x v="244"/>
    <s v="Retail"/>
    <x v="1"/>
  </r>
  <r>
    <x v="889"/>
    <d v="2023-06-01T00:00:00"/>
    <x v="2"/>
    <x v="2"/>
    <n v="3416"/>
    <n v="3"/>
    <n v="0"/>
    <x v="871"/>
    <n v="1953.89"/>
    <n v="4386.34"/>
    <n v="0.42801912568306011"/>
    <x v="10"/>
    <x v="0"/>
    <n v="22"/>
    <x v="300"/>
    <s v="Retail"/>
    <x v="1"/>
  </r>
  <r>
    <x v="890"/>
    <d v="2023-12-10T00:00:00"/>
    <x v="7"/>
    <x v="1"/>
    <n v="3015"/>
    <n v="4"/>
    <n v="15"/>
    <x v="872"/>
    <n v="2173.81"/>
    <n v="1555.78"/>
    <n v="0.15176860794068872"/>
    <x v="9"/>
    <x v="0"/>
    <n v="50"/>
    <x v="43"/>
    <s v="Retail"/>
    <x v="2"/>
  </r>
  <r>
    <x v="891"/>
    <d v="2023-09-16T00:00:00"/>
    <x v="7"/>
    <x v="1"/>
    <n v="1026"/>
    <n v="10"/>
    <n v="0"/>
    <x v="873"/>
    <n v="817.62"/>
    <n v="2083.7600000000002"/>
    <n v="0.2030955165692008"/>
    <x v="8"/>
    <x v="0"/>
    <n v="37"/>
    <x v="174"/>
    <s v="Retail"/>
    <x v="2"/>
  </r>
  <r>
    <x v="892"/>
    <d v="2023-03-04T00:00:00"/>
    <x v="4"/>
    <x v="3"/>
    <n v="1352"/>
    <n v="8"/>
    <n v="5"/>
    <x v="874"/>
    <n v="930.03"/>
    <n v="2834.98"/>
    <n v="0.27590509187169104"/>
    <x v="5"/>
    <x v="0"/>
    <n v="9"/>
    <x v="405"/>
    <s v="Retail"/>
    <x v="0"/>
  </r>
  <r>
    <x v="893"/>
    <d v="2023-01-24T00:00:00"/>
    <x v="5"/>
    <x v="4"/>
    <n v="1904"/>
    <n v="6"/>
    <n v="10"/>
    <x v="875"/>
    <n v="1513.67"/>
    <n v="1199.5999999999999"/>
    <n v="0.11667444755680048"/>
    <x v="0"/>
    <x v="0"/>
    <n v="4"/>
    <x v="307"/>
    <s v="Wholesale"/>
    <x v="0"/>
  </r>
  <r>
    <x v="894"/>
    <d v="2023-05-13T00:00:00"/>
    <x v="9"/>
    <x v="5"/>
    <n v="2425"/>
    <n v="5"/>
    <n v="15"/>
    <x v="876"/>
    <n v="1852.4"/>
    <n v="1044.27"/>
    <n v="0.10132395391146148"/>
    <x v="2"/>
    <x v="0"/>
    <n v="19"/>
    <x v="161"/>
    <s v="Wholesale"/>
    <x v="0"/>
  </r>
  <r>
    <x v="895"/>
    <d v="2023-09-03T00:00:00"/>
    <x v="0"/>
    <x v="0"/>
    <n v="3827"/>
    <n v="3"/>
    <n v="10"/>
    <x v="877"/>
    <n v="2725.06"/>
    <n v="2157.73"/>
    <n v="0.20882133766899902"/>
    <x v="8"/>
    <x v="0"/>
    <n v="36"/>
    <x v="375"/>
    <s v="Retail"/>
    <x v="1"/>
  </r>
  <r>
    <x v="896"/>
    <d v="2023-08-02T00:00:00"/>
    <x v="3"/>
    <x v="3"/>
    <n v="1363"/>
    <n v="8"/>
    <n v="5"/>
    <x v="878"/>
    <n v="758.21"/>
    <n v="4293.1000000000004"/>
    <n v="0.4144398965131097"/>
    <x v="6"/>
    <x v="0"/>
    <n v="31"/>
    <x v="59"/>
    <s v="Retail"/>
    <x v="0"/>
  </r>
  <r>
    <x v="897"/>
    <d v="2023-12-13T00:00:00"/>
    <x v="0"/>
    <x v="0"/>
    <n v="1741"/>
    <n v="7"/>
    <n v="15"/>
    <x v="879"/>
    <n v="1088.08"/>
    <n v="2742.41"/>
    <n v="0.26473822153789717"/>
    <x v="9"/>
    <x v="0"/>
    <n v="50"/>
    <x v="398"/>
    <s v="Wholesale"/>
    <x v="1"/>
  </r>
  <r>
    <x v="898"/>
    <d v="2023-09-20T00:00:00"/>
    <x v="1"/>
    <x v="1"/>
    <n v="1036"/>
    <n v="10"/>
    <n v="0"/>
    <x v="880"/>
    <n v="784.65"/>
    <n v="2513.4899999999998"/>
    <n v="0.24261486486486483"/>
    <x v="8"/>
    <x v="0"/>
    <n v="38"/>
    <x v="290"/>
    <s v="Retail"/>
    <x v="1"/>
  </r>
  <r>
    <x v="899"/>
    <d v="2023-04-18T00:00:00"/>
    <x v="7"/>
    <x v="1"/>
    <n v="2879"/>
    <n v="4"/>
    <n v="10"/>
    <x v="881"/>
    <n v="2106.12"/>
    <n v="1939.92"/>
    <n v="0.18717147157577865"/>
    <x v="7"/>
    <x v="0"/>
    <n v="16"/>
    <x v="225"/>
    <s v="Retail"/>
    <x v="3"/>
  </r>
  <r>
    <x v="900"/>
    <d v="2023-08-19T00:00:00"/>
    <x v="6"/>
    <x v="0"/>
    <n v="2074"/>
    <n v="5"/>
    <n v="0"/>
    <x v="882"/>
    <n v="1565.7"/>
    <n v="2541.5"/>
    <n v="0.24508196721311476"/>
    <x v="6"/>
    <x v="0"/>
    <n v="33"/>
    <x v="206"/>
    <s v="Wholesale"/>
    <x v="0"/>
  </r>
  <r>
    <x v="901"/>
    <d v="2023-07-24T00:00:00"/>
    <x v="5"/>
    <x v="4"/>
    <n v="2893"/>
    <n v="4"/>
    <n v="10"/>
    <x v="883"/>
    <n v="2152.6799999999998"/>
    <n v="1804.06"/>
    <n v="0.17322080116756924"/>
    <x v="1"/>
    <x v="0"/>
    <n v="30"/>
    <x v="0"/>
    <s v="Retail"/>
    <x v="1"/>
  </r>
  <r>
    <x v="902"/>
    <d v="2023-01-25T00:00:00"/>
    <x v="2"/>
    <x v="2"/>
    <n v="1488"/>
    <n v="7"/>
    <n v="0"/>
    <x v="884"/>
    <n v="1181.9000000000001"/>
    <n v="2142.69"/>
    <n v="0.20571140552995393"/>
    <x v="0"/>
    <x v="0"/>
    <n v="4"/>
    <x v="312"/>
    <s v="Retail"/>
    <x v="3"/>
  </r>
  <r>
    <x v="903"/>
    <d v="2023-04-18T00:00:00"/>
    <x v="1"/>
    <x v="1"/>
    <n v="1832"/>
    <n v="6"/>
    <n v="5"/>
    <x v="885"/>
    <n v="1046.07"/>
    <n v="4165.9799999999996"/>
    <n v="0.39894851758216499"/>
    <x v="7"/>
    <x v="0"/>
    <n v="16"/>
    <x v="130"/>
    <s v="Retail"/>
    <x v="1"/>
  </r>
  <r>
    <x v="904"/>
    <d v="2023-01-27T00:00:00"/>
    <x v="0"/>
    <x v="0"/>
    <n v="1836"/>
    <n v="6"/>
    <n v="5"/>
    <x v="886"/>
    <n v="929.02"/>
    <n v="4891.09"/>
    <n v="0.46736708328555593"/>
    <x v="0"/>
    <x v="0"/>
    <n v="4"/>
    <x v="152"/>
    <s v="Wholesale"/>
    <x v="2"/>
  </r>
  <r>
    <x v="905"/>
    <d v="2023-07-09T00:00:00"/>
    <x v="5"/>
    <x v="4"/>
    <n v="1163"/>
    <n v="9"/>
    <n v="0"/>
    <x v="887"/>
    <n v="649.35"/>
    <n v="4622.8500000000004"/>
    <n v="0.44165950128976789"/>
    <x v="1"/>
    <x v="0"/>
    <n v="28"/>
    <x v="114"/>
    <s v="Wholesale"/>
    <x v="1"/>
  </r>
  <r>
    <x v="906"/>
    <d v="2023-12-01T00:00:00"/>
    <x v="5"/>
    <x v="4"/>
    <n v="1371"/>
    <n v="9"/>
    <n v="15"/>
    <x v="888"/>
    <n v="825.28"/>
    <n v="3060.61"/>
    <n v="0.29181600186877571"/>
    <x v="9"/>
    <x v="0"/>
    <n v="48"/>
    <x v="127"/>
    <s v="Retail"/>
    <x v="0"/>
  </r>
  <r>
    <x v="907"/>
    <d v="2023-11-06T00:00:00"/>
    <x v="1"/>
    <x v="1"/>
    <n v="3500"/>
    <n v="3"/>
    <n v="0"/>
    <x v="889"/>
    <n v="2331.98"/>
    <n v="3504.05"/>
    <n v="0.33371904761904764"/>
    <x v="4"/>
    <x v="0"/>
    <n v="45"/>
    <x v="406"/>
    <s v="Retail"/>
    <x v="1"/>
  </r>
  <r>
    <x v="908"/>
    <d v="2023-04-08T00:00:00"/>
    <x v="7"/>
    <x v="1"/>
    <n v="1751"/>
    <n v="6"/>
    <n v="0"/>
    <x v="890"/>
    <n v="992.44"/>
    <n v="4551.37"/>
    <n v="0.43321625737673708"/>
    <x v="7"/>
    <x v="0"/>
    <n v="14"/>
    <x v="364"/>
    <s v="Wholesale"/>
    <x v="3"/>
  </r>
  <r>
    <x v="909"/>
    <d v="2023-02-17T00:00:00"/>
    <x v="7"/>
    <x v="1"/>
    <n v="1107"/>
    <n v="10"/>
    <n v="5"/>
    <x v="891"/>
    <n v="774.89"/>
    <n v="2767.64"/>
    <n v="0.263171207150668"/>
    <x v="3"/>
    <x v="0"/>
    <n v="7"/>
    <x v="307"/>
    <s v="Wholesale"/>
    <x v="0"/>
  </r>
  <r>
    <x v="910"/>
    <d v="2023-05-17T00:00:00"/>
    <x v="9"/>
    <x v="5"/>
    <n v="1547"/>
    <n v="8"/>
    <n v="15"/>
    <x v="892"/>
    <n v="776.07"/>
    <n v="4311.04"/>
    <n v="0.40981025894520701"/>
    <x v="2"/>
    <x v="0"/>
    <n v="20"/>
    <x v="407"/>
    <s v="Wholesale"/>
    <x v="2"/>
  </r>
  <r>
    <x v="911"/>
    <d v="2023-12-24T00:00:00"/>
    <x v="1"/>
    <x v="1"/>
    <n v="3901"/>
    <n v="3"/>
    <n v="10"/>
    <x v="893"/>
    <n v="2325.4699999999998"/>
    <n v="3556.29"/>
    <n v="0.33764276966020107"/>
    <x v="9"/>
    <x v="0"/>
    <n v="52"/>
    <x v="226"/>
    <s v="Retail"/>
    <x v="3"/>
  </r>
  <r>
    <x v="912"/>
    <d v="2023-03-14T00:00:00"/>
    <x v="8"/>
    <x v="2"/>
    <n v="3701"/>
    <n v="3"/>
    <n v="5"/>
    <x v="894"/>
    <n v="1973.14"/>
    <n v="4628.4399999999996"/>
    <n v="0.43880411647871365"/>
    <x v="5"/>
    <x v="0"/>
    <n v="11"/>
    <x v="408"/>
    <s v="Wholesale"/>
    <x v="0"/>
  </r>
  <r>
    <x v="913"/>
    <d v="2023-07-16T00:00:00"/>
    <x v="2"/>
    <x v="2"/>
    <n v="3525"/>
    <n v="3"/>
    <n v="0"/>
    <x v="895"/>
    <n v="2680.6"/>
    <n v="2533.1999999999998"/>
    <n v="0.23954609929078013"/>
    <x v="1"/>
    <x v="0"/>
    <n v="29"/>
    <x v="325"/>
    <s v="Wholesale"/>
    <x v="0"/>
  </r>
  <r>
    <x v="914"/>
    <d v="2023-10-19T00:00:00"/>
    <x v="9"/>
    <x v="5"/>
    <n v="2116"/>
    <n v="5"/>
    <n v="0"/>
    <x v="896"/>
    <n v="1086.48"/>
    <n v="5147.59"/>
    <n v="0.48653969754253312"/>
    <x v="11"/>
    <x v="0"/>
    <n v="42"/>
    <x v="409"/>
    <s v="Retail"/>
    <x v="3"/>
  </r>
  <r>
    <x v="915"/>
    <d v="2023-01-25T00:00:00"/>
    <x v="3"/>
    <x v="3"/>
    <n v="2076"/>
    <n v="6"/>
    <n v="15"/>
    <x v="897"/>
    <n v="1575.45"/>
    <n v="1134.92"/>
    <n v="0.10719332048811818"/>
    <x v="0"/>
    <x v="0"/>
    <n v="4"/>
    <x v="410"/>
    <s v="Retail"/>
    <x v="1"/>
  </r>
  <r>
    <x v="916"/>
    <d v="2023-09-21T00:00:00"/>
    <x v="4"/>
    <x v="3"/>
    <n v="4156"/>
    <n v="3"/>
    <n v="15"/>
    <x v="898"/>
    <n v="2740.7"/>
    <n v="2375.71"/>
    <n v="0.2241701107777086"/>
    <x v="8"/>
    <x v="0"/>
    <n v="38"/>
    <x v="358"/>
    <s v="Retail"/>
    <x v="0"/>
  </r>
  <r>
    <x v="917"/>
    <d v="2023-06-22T00:00:00"/>
    <x v="3"/>
    <x v="3"/>
    <n v="2789"/>
    <n v="4"/>
    <n v="5"/>
    <x v="899"/>
    <n v="1548.51"/>
    <n v="4404.16"/>
    <n v="0.41555735879677674"/>
    <x v="10"/>
    <x v="0"/>
    <n v="25"/>
    <x v="26"/>
    <s v="Retail"/>
    <x v="3"/>
  </r>
  <r>
    <x v="918"/>
    <d v="2023-05-06T00:00:00"/>
    <x v="9"/>
    <x v="5"/>
    <n v="1559"/>
    <n v="8"/>
    <n v="15"/>
    <x v="900"/>
    <n v="1156.17"/>
    <n v="1351.83"/>
    <n v="0.12751669622306908"/>
    <x v="2"/>
    <x v="0"/>
    <n v="18"/>
    <x v="366"/>
    <s v="Wholesale"/>
    <x v="3"/>
  </r>
  <r>
    <x v="919"/>
    <d v="2023-01-01T00:00:00"/>
    <x v="8"/>
    <x v="2"/>
    <n v="2235"/>
    <n v="5"/>
    <n v="5"/>
    <x v="901"/>
    <n v="1427.6"/>
    <n v="3478.24"/>
    <n v="0.32763358059578473"/>
    <x v="0"/>
    <x v="0"/>
    <n v="1"/>
    <x v="201"/>
    <s v="Wholesale"/>
    <x v="0"/>
  </r>
  <r>
    <x v="920"/>
    <d v="2023-04-12T00:00:00"/>
    <x v="2"/>
    <x v="2"/>
    <n v="2498"/>
    <n v="5"/>
    <n v="15"/>
    <x v="902"/>
    <n v="1264.05"/>
    <n v="4296.26"/>
    <n v="0.40467762445250322"/>
    <x v="7"/>
    <x v="0"/>
    <n v="15"/>
    <x v="411"/>
    <s v="Wholesale"/>
    <x v="2"/>
  </r>
  <r>
    <x v="921"/>
    <d v="2023-12-01T00:00:00"/>
    <x v="1"/>
    <x v="1"/>
    <n v="3549"/>
    <n v="3"/>
    <n v="0"/>
    <x v="903"/>
    <n v="2571.64"/>
    <n v="2932.09"/>
    <n v="0.27539119000657464"/>
    <x v="9"/>
    <x v="0"/>
    <n v="48"/>
    <x v="169"/>
    <s v="Wholesale"/>
    <x v="1"/>
  </r>
  <r>
    <x v="922"/>
    <d v="2023-07-27T00:00:00"/>
    <x v="8"/>
    <x v="2"/>
    <n v="2663"/>
    <n v="4"/>
    <n v="0"/>
    <x v="904"/>
    <n v="1677.59"/>
    <n v="3941.64"/>
    <n v="0.37003755163349605"/>
    <x v="1"/>
    <x v="0"/>
    <n v="30"/>
    <x v="271"/>
    <s v="Retail"/>
    <x v="2"/>
  </r>
  <r>
    <x v="923"/>
    <d v="2023-05-27T00:00:00"/>
    <x v="7"/>
    <x v="1"/>
    <n v="1694"/>
    <n v="7"/>
    <n v="10"/>
    <x v="905"/>
    <n v="1037.0899999999999"/>
    <n v="3412.58"/>
    <n v="0.3197634976855756"/>
    <x v="2"/>
    <x v="0"/>
    <n v="21"/>
    <x v="20"/>
    <s v="Retail"/>
    <x v="0"/>
  </r>
  <r>
    <x v="924"/>
    <d v="2023-05-10T00:00:00"/>
    <x v="6"/>
    <x v="0"/>
    <n v="2971"/>
    <n v="4"/>
    <n v="10"/>
    <x v="906"/>
    <n v="1926.99"/>
    <n v="2987.64"/>
    <n v="0.27933355772467183"/>
    <x v="2"/>
    <x v="0"/>
    <n v="19"/>
    <x v="213"/>
    <s v="Retail"/>
    <x v="2"/>
  </r>
  <r>
    <x v="925"/>
    <d v="2023-06-27T00:00:00"/>
    <x v="4"/>
    <x v="3"/>
    <n v="4199"/>
    <n v="3"/>
    <n v="15"/>
    <x v="907"/>
    <n v="2147.38"/>
    <n v="4265.32"/>
    <n v="0.3983506810678546"/>
    <x v="10"/>
    <x v="0"/>
    <n v="26"/>
    <x v="311"/>
    <s v="Retail"/>
    <x v="0"/>
  </r>
  <r>
    <x v="926"/>
    <d v="2023-09-23T00:00:00"/>
    <x v="2"/>
    <x v="2"/>
    <n v="2681"/>
    <n v="4"/>
    <n v="0"/>
    <x v="908"/>
    <n v="1362.07"/>
    <n v="5275.73"/>
    <n v="0.49195542707944795"/>
    <x v="8"/>
    <x v="0"/>
    <n v="38"/>
    <x v="366"/>
    <s v="Wholesale"/>
    <x v="3"/>
  </r>
  <r>
    <x v="927"/>
    <d v="2023-09-21T00:00:00"/>
    <x v="0"/>
    <x v="0"/>
    <n v="1342"/>
    <n v="8"/>
    <n v="0"/>
    <x v="909"/>
    <n v="889.45"/>
    <n v="3620.4"/>
    <n v="0.337220566318927"/>
    <x v="8"/>
    <x v="0"/>
    <n v="38"/>
    <x v="201"/>
    <s v="Retail"/>
    <x v="1"/>
  </r>
  <r>
    <x v="928"/>
    <d v="2023-07-27T00:00:00"/>
    <x v="3"/>
    <x v="3"/>
    <n v="1493"/>
    <n v="8"/>
    <n v="10"/>
    <x v="910"/>
    <n v="1075.47"/>
    <n v="2145.8200000000002"/>
    <n v="0.19961859045917987"/>
    <x v="1"/>
    <x v="0"/>
    <n v="30"/>
    <x v="412"/>
    <s v="Wholesale"/>
    <x v="2"/>
  </r>
  <r>
    <x v="929"/>
    <d v="2023-10-18T00:00:00"/>
    <x v="2"/>
    <x v="2"/>
    <n v="2988"/>
    <n v="4"/>
    <n v="10"/>
    <x v="911"/>
    <n v="1724.42"/>
    <n v="3859.12"/>
    <n v="0.35876096980514655"/>
    <x v="11"/>
    <x v="0"/>
    <n v="42"/>
    <x v="413"/>
    <s v="Wholesale"/>
    <x v="2"/>
  </r>
  <r>
    <x v="930"/>
    <d v="2023-04-10T00:00:00"/>
    <x v="0"/>
    <x v="0"/>
    <n v="1495"/>
    <n v="8"/>
    <n v="10"/>
    <x v="912"/>
    <n v="853.24"/>
    <n v="3938.05"/>
    <n v="0.36585377183203271"/>
    <x v="7"/>
    <x v="0"/>
    <n v="15"/>
    <x v="352"/>
    <s v="Retail"/>
    <x v="0"/>
  </r>
  <r>
    <x v="931"/>
    <d v="2023-09-04T00:00:00"/>
    <x v="9"/>
    <x v="5"/>
    <n v="1710"/>
    <n v="7"/>
    <n v="10"/>
    <x v="913"/>
    <n v="1209.49"/>
    <n v="2306.6"/>
    <n v="0.21410934744268076"/>
    <x v="8"/>
    <x v="0"/>
    <n v="36"/>
    <x v="342"/>
    <s v="Wholesale"/>
    <x v="3"/>
  </r>
  <r>
    <x v="932"/>
    <d v="2023-06-14T00:00:00"/>
    <x v="4"/>
    <x v="3"/>
    <n v="1999"/>
    <n v="6"/>
    <n v="10"/>
    <x v="914"/>
    <n v="1267.3599999999999"/>
    <n v="3190.42"/>
    <n v="0.29555703777814835"/>
    <x v="10"/>
    <x v="0"/>
    <n v="24"/>
    <x v="414"/>
    <s v="Wholesale"/>
    <x v="1"/>
  </r>
  <r>
    <x v="933"/>
    <d v="2023-02-17T00:00:00"/>
    <x v="6"/>
    <x v="0"/>
    <n v="2541"/>
    <n v="5"/>
    <n v="15"/>
    <x v="915"/>
    <n v="1887.5"/>
    <n v="1361.75"/>
    <n v="0.12609671967960737"/>
    <x v="3"/>
    <x v="0"/>
    <n v="7"/>
    <x v="330"/>
    <s v="Retail"/>
    <x v="2"/>
  </r>
  <r>
    <x v="934"/>
    <d v="2023-07-16T00:00:00"/>
    <x v="1"/>
    <x v="1"/>
    <n v="3181"/>
    <n v="4"/>
    <n v="15"/>
    <x v="916"/>
    <n v="2433.4"/>
    <n v="1081.8"/>
    <n v="0.10002403979510698"/>
    <x v="1"/>
    <x v="0"/>
    <n v="29"/>
    <x v="188"/>
    <s v="Retail"/>
    <x v="1"/>
  </r>
  <r>
    <x v="935"/>
    <d v="2023-03-30T00:00:00"/>
    <x v="9"/>
    <x v="5"/>
    <n v="2279"/>
    <n v="5"/>
    <n v="5"/>
    <x v="917"/>
    <n v="1611.03"/>
    <n v="2770.09"/>
    <n v="0.2558915498487333"/>
    <x v="5"/>
    <x v="0"/>
    <n v="13"/>
    <x v="29"/>
    <s v="Wholesale"/>
    <x v="3"/>
  </r>
  <r>
    <x v="936"/>
    <d v="2023-04-04T00:00:00"/>
    <x v="8"/>
    <x v="2"/>
    <n v="1427"/>
    <n v="8"/>
    <n v="5"/>
    <x v="918"/>
    <n v="872.23"/>
    <n v="3867.4"/>
    <n v="0.35660015490724006"/>
    <x v="7"/>
    <x v="0"/>
    <n v="14"/>
    <x v="320"/>
    <s v="Wholesale"/>
    <x v="3"/>
  </r>
  <r>
    <x v="937"/>
    <d v="2023-12-10T00:00:00"/>
    <x v="6"/>
    <x v="0"/>
    <n v="1906"/>
    <n v="6"/>
    <n v="5"/>
    <x v="919"/>
    <n v="1207.55"/>
    <n v="3618.91"/>
    <n v="0.33310414020360446"/>
    <x v="9"/>
    <x v="0"/>
    <n v="50"/>
    <x v="337"/>
    <s v="Wholesale"/>
    <x v="1"/>
  </r>
  <r>
    <x v="938"/>
    <d v="2023-10-29T00:00:00"/>
    <x v="4"/>
    <x v="3"/>
    <n v="2718"/>
    <n v="4"/>
    <n v="0"/>
    <x v="920"/>
    <n v="2102.1999999999998"/>
    <n v="2463.21"/>
    <n v="0.22656456953642384"/>
    <x v="11"/>
    <x v="0"/>
    <n v="44"/>
    <x v="317"/>
    <s v="Wholesale"/>
    <x v="0"/>
  </r>
  <r>
    <x v="939"/>
    <d v="2023-01-10T00:00:00"/>
    <x v="3"/>
    <x v="3"/>
    <n v="1208"/>
    <n v="10"/>
    <n v="10"/>
    <x v="920"/>
    <n v="810.59"/>
    <n v="2766.14"/>
    <n v="0.25442788815305373"/>
    <x v="0"/>
    <x v="0"/>
    <n v="2"/>
    <x v="121"/>
    <s v="Wholesale"/>
    <x v="2"/>
  </r>
  <r>
    <x v="940"/>
    <d v="2023-09-09T00:00:00"/>
    <x v="8"/>
    <x v="2"/>
    <n v="2022"/>
    <n v="6"/>
    <n v="10"/>
    <x v="921"/>
    <n v="1255.6400000000001"/>
    <n v="3384.96"/>
    <n v="0.31001208924057594"/>
    <x v="8"/>
    <x v="0"/>
    <n v="36"/>
    <x v="415"/>
    <s v="Wholesale"/>
    <x v="3"/>
  </r>
  <r>
    <x v="941"/>
    <d v="2023-06-16T00:00:00"/>
    <x v="0"/>
    <x v="0"/>
    <n v="3036"/>
    <n v="4"/>
    <n v="10"/>
    <x v="922"/>
    <n v="1668.77"/>
    <n v="4254.51"/>
    <n v="0.3892649319279754"/>
    <x v="10"/>
    <x v="0"/>
    <n v="24"/>
    <x v="416"/>
    <s v="Wholesale"/>
    <x v="1"/>
  </r>
  <r>
    <x v="942"/>
    <d v="2023-09-28T00:00:00"/>
    <x v="9"/>
    <x v="5"/>
    <n v="3835"/>
    <n v="3"/>
    <n v="5"/>
    <x v="923"/>
    <n v="2924.97"/>
    <n v="2154.83"/>
    <n v="0.19715272535968342"/>
    <x v="8"/>
    <x v="0"/>
    <n v="39"/>
    <x v="120"/>
    <s v="Retail"/>
    <x v="2"/>
  </r>
  <r>
    <x v="943"/>
    <d v="2023-04-11T00:00:00"/>
    <x v="0"/>
    <x v="0"/>
    <n v="2025"/>
    <n v="6"/>
    <n v="10"/>
    <x v="924"/>
    <n v="1326.03"/>
    <n v="2978.82"/>
    <n v="0.27241152263374485"/>
    <x v="7"/>
    <x v="0"/>
    <n v="15"/>
    <x v="157"/>
    <s v="Retail"/>
    <x v="3"/>
  </r>
  <r>
    <x v="944"/>
    <d v="2023-10-04T00:00:00"/>
    <x v="0"/>
    <x v="0"/>
    <n v="3218"/>
    <n v="4"/>
    <n v="15"/>
    <x v="925"/>
    <n v="2435.89"/>
    <n v="1197.6400000000001"/>
    <n v="0.10946148502906446"/>
    <x v="11"/>
    <x v="0"/>
    <n v="40"/>
    <x v="175"/>
    <s v="Wholesale"/>
    <x v="3"/>
  </r>
  <r>
    <x v="945"/>
    <d v="2023-12-09T00:00:00"/>
    <x v="4"/>
    <x v="3"/>
    <n v="1921"/>
    <n v="6"/>
    <n v="5"/>
    <x v="926"/>
    <n v="1476.62"/>
    <n v="2089.9899999999998"/>
    <n v="0.19087189603368127"/>
    <x v="9"/>
    <x v="0"/>
    <n v="49"/>
    <x v="69"/>
    <s v="Retail"/>
    <x v="1"/>
  </r>
  <r>
    <x v="946"/>
    <d v="2023-06-24T00:00:00"/>
    <x v="7"/>
    <x v="1"/>
    <n v="1446"/>
    <n v="8"/>
    <n v="5"/>
    <x v="927"/>
    <n v="816.95"/>
    <n v="4454"/>
    <n v="0.40529227633398851"/>
    <x v="10"/>
    <x v="0"/>
    <n v="25"/>
    <x v="417"/>
    <s v="Wholesale"/>
    <x v="0"/>
  </r>
  <r>
    <x v="947"/>
    <d v="2023-12-11T00:00:00"/>
    <x v="2"/>
    <x v="2"/>
    <n v="1448"/>
    <n v="8"/>
    <n v="5"/>
    <x v="928"/>
    <n v="737.4"/>
    <n v="5105.58"/>
    <n v="0.46394118929921491"/>
    <x v="9"/>
    <x v="0"/>
    <n v="50"/>
    <x v="54"/>
    <s v="Wholesale"/>
    <x v="0"/>
  </r>
  <r>
    <x v="948"/>
    <d v="2023-11-02T00:00:00"/>
    <x v="5"/>
    <x v="4"/>
    <n v="2902"/>
    <n v="4"/>
    <n v="5"/>
    <x v="929"/>
    <n v="2236.96"/>
    <n v="2079.7600000000002"/>
    <n v="0.18859588668431937"/>
    <x v="4"/>
    <x v="0"/>
    <n v="44"/>
    <x v="374"/>
    <s v="Wholesale"/>
    <x v="1"/>
  </r>
  <r>
    <x v="949"/>
    <d v="2023-02-03T00:00:00"/>
    <x v="8"/>
    <x v="2"/>
    <n v="1623"/>
    <n v="8"/>
    <n v="15"/>
    <x v="930"/>
    <n v="1046.94"/>
    <n v="2660.89"/>
    <n v="0.24110126490522271"/>
    <x v="3"/>
    <x v="0"/>
    <n v="5"/>
    <x v="402"/>
    <s v="Wholesale"/>
    <x v="0"/>
  </r>
  <r>
    <x v="950"/>
    <d v="2023-04-25T00:00:00"/>
    <x v="3"/>
    <x v="3"/>
    <n v="3067"/>
    <n v="4"/>
    <n v="10"/>
    <x v="931"/>
    <n v="1809.39"/>
    <n v="3803.63"/>
    <n v="0.34449425787052129"/>
    <x v="7"/>
    <x v="0"/>
    <n v="17"/>
    <x v="405"/>
    <s v="Wholesale"/>
    <x v="0"/>
  </r>
  <r>
    <x v="951"/>
    <d v="2023-06-03T00:00:00"/>
    <x v="4"/>
    <x v="3"/>
    <n v="4092"/>
    <n v="3"/>
    <n v="10"/>
    <x v="932"/>
    <n v="2901.97"/>
    <n v="2342.5"/>
    <n v="0.21202165019369321"/>
    <x v="10"/>
    <x v="0"/>
    <n v="22"/>
    <x v="176"/>
    <s v="Retail"/>
    <x v="0"/>
  </r>
  <r>
    <x v="952"/>
    <d v="2023-01-21T00:00:00"/>
    <x v="4"/>
    <x v="3"/>
    <n v="3877"/>
    <n v="3"/>
    <n v="5"/>
    <x v="933"/>
    <n v="2029.16"/>
    <n v="4961.96"/>
    <n v="0.449068505672228"/>
    <x v="0"/>
    <x v="0"/>
    <n v="3"/>
    <x v="2"/>
    <s v="Retail"/>
    <x v="0"/>
  </r>
  <r>
    <x v="953"/>
    <d v="2023-12-26T00:00:00"/>
    <x v="1"/>
    <x v="1"/>
    <n v="4335"/>
    <n v="3"/>
    <n v="15"/>
    <x v="934"/>
    <n v="2339.83"/>
    <n v="4034.77"/>
    <n v="0.36499717303299634"/>
    <x v="9"/>
    <x v="0"/>
    <n v="52"/>
    <x v="270"/>
    <s v="Wholesale"/>
    <x v="2"/>
  </r>
  <r>
    <x v="954"/>
    <d v="2023-04-15T00:00:00"/>
    <x v="2"/>
    <x v="2"/>
    <n v="1293"/>
    <n v="9"/>
    <n v="5"/>
    <x v="935"/>
    <n v="932.31"/>
    <n v="2664.38"/>
    <n v="0.24100803697824094"/>
    <x v="7"/>
    <x v="0"/>
    <n v="15"/>
    <x v="340"/>
    <s v="Retail"/>
    <x v="0"/>
  </r>
  <r>
    <x v="955"/>
    <d v="2023-11-08T00:00:00"/>
    <x v="8"/>
    <x v="2"/>
    <n v="3695"/>
    <n v="3"/>
    <n v="0"/>
    <x v="936"/>
    <n v="2125.85"/>
    <n v="4707.4399999999996"/>
    <n v="0.42466756878664857"/>
    <x v="4"/>
    <x v="0"/>
    <n v="45"/>
    <x v="130"/>
    <s v="Retail"/>
    <x v="3"/>
  </r>
  <r>
    <x v="956"/>
    <d v="2023-09-14T00:00:00"/>
    <x v="4"/>
    <x v="3"/>
    <n v="1235"/>
    <n v="9"/>
    <n v="0"/>
    <x v="937"/>
    <n v="865.29"/>
    <n v="3327.37"/>
    <n v="0.29935852451641926"/>
    <x v="8"/>
    <x v="0"/>
    <n v="37"/>
    <x v="66"/>
    <s v="Retail"/>
    <x v="1"/>
  </r>
  <r>
    <x v="957"/>
    <d v="2023-06-22T00:00:00"/>
    <x v="9"/>
    <x v="5"/>
    <n v="1464"/>
    <n v="8"/>
    <n v="5"/>
    <x v="938"/>
    <n v="1124.54"/>
    <n v="2130.0500000000002"/>
    <n v="0.19144107707794078"/>
    <x v="10"/>
    <x v="0"/>
    <n v="25"/>
    <x v="87"/>
    <s v="Retail"/>
    <x v="2"/>
  </r>
  <r>
    <x v="958"/>
    <d v="2023-07-24T00:00:00"/>
    <x v="2"/>
    <x v="2"/>
    <n v="1641"/>
    <n v="8"/>
    <n v="15"/>
    <x v="939"/>
    <n v="1252.51"/>
    <n v="1138.73"/>
    <n v="0.10204771122342905"/>
    <x v="1"/>
    <x v="0"/>
    <n v="30"/>
    <x v="161"/>
    <s v="Wholesale"/>
    <x v="3"/>
  </r>
  <r>
    <x v="959"/>
    <d v="2023-09-14T00:00:00"/>
    <x v="0"/>
    <x v="0"/>
    <n v="3289"/>
    <n v="4"/>
    <n v="15"/>
    <x v="940"/>
    <n v="2044.14"/>
    <n v="3006.04"/>
    <n v="0.26881405039972811"/>
    <x v="8"/>
    <x v="0"/>
    <n v="37"/>
    <x v="112"/>
    <s v="Retail"/>
    <x v="1"/>
  </r>
  <r>
    <x v="960"/>
    <d v="2023-02-20T00:00:00"/>
    <x v="3"/>
    <x v="3"/>
    <n v="3108"/>
    <n v="4"/>
    <n v="10"/>
    <x v="941"/>
    <n v="1945.43"/>
    <n v="3407.1"/>
    <n v="0.30450986700986704"/>
    <x v="3"/>
    <x v="0"/>
    <n v="8"/>
    <x v="343"/>
    <s v="Wholesale"/>
    <x v="0"/>
  </r>
  <r>
    <x v="961"/>
    <d v="2023-08-21T00:00:00"/>
    <x v="1"/>
    <x v="1"/>
    <n v="1475"/>
    <n v="8"/>
    <n v="5"/>
    <x v="942"/>
    <n v="881.12"/>
    <n v="4161"/>
    <n v="0.37118644067796608"/>
    <x v="6"/>
    <x v="0"/>
    <n v="34"/>
    <x v="308"/>
    <s v="Wholesale"/>
    <x v="2"/>
  </r>
  <r>
    <x v="962"/>
    <d v="2023-09-15T00:00:00"/>
    <x v="9"/>
    <x v="5"/>
    <n v="3942"/>
    <n v="3"/>
    <n v="5"/>
    <x v="943"/>
    <n v="2587.94"/>
    <n v="3470.89"/>
    <n v="0.30894371901341378"/>
    <x v="8"/>
    <x v="0"/>
    <n v="37"/>
    <x v="61"/>
    <s v="Wholesale"/>
    <x v="1"/>
  </r>
  <r>
    <x v="963"/>
    <d v="2023-09-29T00:00:00"/>
    <x v="9"/>
    <x v="5"/>
    <n v="1877"/>
    <n v="6"/>
    <n v="0"/>
    <x v="944"/>
    <n v="1177.47"/>
    <n v="4197.1899999999996"/>
    <n v="0.37268602379683891"/>
    <x v="8"/>
    <x v="0"/>
    <n v="39"/>
    <x v="418"/>
    <s v="Retail"/>
    <x v="0"/>
  </r>
  <r>
    <x v="964"/>
    <d v="2023-11-15T00:00:00"/>
    <x v="0"/>
    <x v="0"/>
    <n v="2373"/>
    <n v="5"/>
    <n v="5"/>
    <x v="945"/>
    <n v="1769.76"/>
    <n v="2422.94"/>
    <n v="0.21495686117949742"/>
    <x v="4"/>
    <x v="0"/>
    <n v="46"/>
    <x v="209"/>
    <s v="Retail"/>
    <x v="1"/>
  </r>
  <r>
    <x v="965"/>
    <d v="2023-08-17T00:00:00"/>
    <x v="8"/>
    <x v="2"/>
    <n v="3133"/>
    <n v="4"/>
    <n v="10"/>
    <x v="946"/>
    <n v="1746.15"/>
    <n v="4294.1899999999996"/>
    <n v="0.38073110614604389"/>
    <x v="6"/>
    <x v="0"/>
    <n v="33"/>
    <x v="271"/>
    <s v="Wholesale"/>
    <x v="3"/>
  </r>
  <r>
    <x v="966"/>
    <d v="2023-09-02T00:00:00"/>
    <x v="1"/>
    <x v="1"/>
    <n v="2219"/>
    <n v="6"/>
    <n v="15"/>
    <x v="947"/>
    <n v="1627.64"/>
    <n v="1551.03"/>
    <n v="0.13705431699493678"/>
    <x v="8"/>
    <x v="0"/>
    <n v="35"/>
    <x v="388"/>
    <s v="Retail"/>
    <x v="3"/>
  </r>
  <r>
    <x v="967"/>
    <d v="2023-06-13T00:00:00"/>
    <x v="4"/>
    <x v="3"/>
    <n v="3337"/>
    <n v="4"/>
    <n v="15"/>
    <x v="948"/>
    <n v="2282.6"/>
    <n v="2215.42"/>
    <n v="0.19526344550406319"/>
    <x v="10"/>
    <x v="0"/>
    <n v="24"/>
    <x v="120"/>
    <s v="Wholesale"/>
    <x v="1"/>
  </r>
  <r>
    <x v="968"/>
    <d v="2023-07-07T00:00:00"/>
    <x v="7"/>
    <x v="1"/>
    <n v="1803"/>
    <n v="7"/>
    <n v="10"/>
    <x v="949"/>
    <n v="1118.51"/>
    <n v="3529.36"/>
    <n v="0.31071318525561459"/>
    <x v="1"/>
    <x v="0"/>
    <n v="27"/>
    <x v="411"/>
    <s v="Retail"/>
    <x v="1"/>
  </r>
  <r>
    <x v="969"/>
    <d v="2023-02-12T00:00:00"/>
    <x v="5"/>
    <x v="4"/>
    <n v="1712"/>
    <n v="7"/>
    <n v="5"/>
    <x v="950"/>
    <n v="1207.83"/>
    <n v="2930.01"/>
    <n v="0.25736156981238145"/>
    <x v="3"/>
    <x v="0"/>
    <n v="7"/>
    <x v="329"/>
    <s v="Retail"/>
    <x v="3"/>
  </r>
  <r>
    <x v="970"/>
    <d v="2023-04-28T00:00:00"/>
    <x v="5"/>
    <x v="4"/>
    <n v="1919"/>
    <n v="7"/>
    <n v="15"/>
    <x v="951"/>
    <n v="1106.17"/>
    <n v="3674.87"/>
    <n v="0.3218474257863646"/>
    <x v="7"/>
    <x v="0"/>
    <n v="17"/>
    <x v="210"/>
    <s v="Wholesale"/>
    <x v="2"/>
  </r>
  <r>
    <x v="971"/>
    <d v="2023-12-07T00:00:00"/>
    <x v="8"/>
    <x v="2"/>
    <n v="3359"/>
    <n v="4"/>
    <n v="15"/>
    <x v="952"/>
    <n v="2186.6999999999998"/>
    <n v="2673.81"/>
    <n v="0.23412167486822058"/>
    <x v="9"/>
    <x v="0"/>
    <n v="49"/>
    <x v="192"/>
    <s v="Retail"/>
    <x v="0"/>
  </r>
  <r>
    <x v="972"/>
    <d v="2023-02-12T00:00:00"/>
    <x v="0"/>
    <x v="0"/>
    <n v="4017"/>
    <n v="3"/>
    <n v="5"/>
    <x v="953"/>
    <n v="2059.73"/>
    <n v="5269.27"/>
    <n v="0.46026055928968551"/>
    <x v="3"/>
    <x v="0"/>
    <n v="7"/>
    <x v="419"/>
    <s v="Wholesale"/>
    <x v="3"/>
  </r>
  <r>
    <x v="973"/>
    <d v="2023-12-22T00:00:00"/>
    <x v="8"/>
    <x v="2"/>
    <n v="2009"/>
    <n v="6"/>
    <n v="5"/>
    <x v="954"/>
    <n v="1405.03"/>
    <n v="3021.09"/>
    <n v="0.26382070157973331"/>
    <x v="9"/>
    <x v="0"/>
    <n v="51"/>
    <x v="57"/>
    <s v="Retail"/>
    <x v="1"/>
  </r>
  <r>
    <x v="974"/>
    <d v="2023-12-22T00:00:00"/>
    <x v="6"/>
    <x v="0"/>
    <n v="1274"/>
    <n v="10"/>
    <n v="10"/>
    <x v="955"/>
    <n v="903.79"/>
    <n v="2428.12"/>
    <n v="0.21176696319553462"/>
    <x v="9"/>
    <x v="0"/>
    <n v="51"/>
    <x v="420"/>
    <s v="Retail"/>
    <x v="2"/>
  </r>
  <r>
    <x v="975"/>
    <d v="2023-08-23T00:00:00"/>
    <x v="9"/>
    <x v="5"/>
    <n v="3020"/>
    <n v="4"/>
    <n v="5"/>
    <x v="956"/>
    <n v="1549.16"/>
    <n v="5279.37"/>
    <n v="0.46003572673405368"/>
    <x v="6"/>
    <x v="0"/>
    <n v="34"/>
    <x v="111"/>
    <s v="Retail"/>
    <x v="0"/>
  </r>
  <r>
    <x v="976"/>
    <d v="2023-06-03T00:00:00"/>
    <x v="0"/>
    <x v="0"/>
    <n v="3380"/>
    <n v="4"/>
    <n v="15"/>
    <x v="957"/>
    <n v="2112.44"/>
    <n v="3042.22"/>
    <n v="0.26472502610511661"/>
    <x v="10"/>
    <x v="0"/>
    <n v="22"/>
    <x v="101"/>
    <s v="Retail"/>
    <x v="0"/>
  </r>
  <r>
    <x v="977"/>
    <d v="2023-11-13T00:00:00"/>
    <x v="0"/>
    <x v="0"/>
    <n v="2255"/>
    <n v="6"/>
    <n v="15"/>
    <x v="958"/>
    <n v="1652.56"/>
    <n v="1585.12"/>
    <n v="0.1378305291074301"/>
    <x v="4"/>
    <x v="0"/>
    <n v="46"/>
    <x v="382"/>
    <s v="Retail"/>
    <x v="2"/>
  </r>
  <r>
    <x v="978"/>
    <d v="2023-10-21T00:00:00"/>
    <x v="0"/>
    <x v="0"/>
    <n v="2259"/>
    <n v="6"/>
    <n v="15"/>
    <x v="959"/>
    <n v="1352.89"/>
    <n v="3403.54"/>
    <n v="0.29542310062581917"/>
    <x v="11"/>
    <x v="0"/>
    <n v="42"/>
    <x v="60"/>
    <s v="Retail"/>
    <x v="2"/>
  </r>
  <r>
    <x v="979"/>
    <d v="2023-09-03T00:00:00"/>
    <x v="3"/>
    <x v="3"/>
    <n v="1351"/>
    <n v="9"/>
    <n v="5"/>
    <x v="960"/>
    <n v="939.94"/>
    <n v="3091.57"/>
    <n v="0.26764406698958104"/>
    <x v="8"/>
    <x v="0"/>
    <n v="36"/>
    <x v="241"/>
    <s v="Retail"/>
    <x v="3"/>
  </r>
  <r>
    <x v="980"/>
    <d v="2023-09-26T00:00:00"/>
    <x v="8"/>
    <x v="2"/>
    <n v="3211"/>
    <n v="4"/>
    <n v="10"/>
    <x v="961"/>
    <n v="1772.41"/>
    <n v="4469.9399999999996"/>
    <n v="0.38668639053254433"/>
    <x v="8"/>
    <x v="0"/>
    <n v="39"/>
    <x v="220"/>
    <s v="Wholesale"/>
    <x v="1"/>
  </r>
  <r>
    <x v="981"/>
    <d v="2023-08-27T00:00:00"/>
    <x v="2"/>
    <x v="2"/>
    <n v="2899"/>
    <n v="4"/>
    <n v="0"/>
    <x v="962"/>
    <n v="1582.06"/>
    <n v="5267.76"/>
    <n v="0.45427388754743014"/>
    <x v="6"/>
    <x v="0"/>
    <n v="35"/>
    <x v="332"/>
    <s v="Wholesale"/>
    <x v="3"/>
  </r>
  <r>
    <x v="982"/>
    <d v="2023-12-04T00:00:00"/>
    <x v="8"/>
    <x v="2"/>
    <n v="4556"/>
    <n v="3"/>
    <n v="15"/>
    <x v="963"/>
    <n v="3607.31"/>
    <n v="795.86"/>
    <n v="6.8503503245020581E-2"/>
    <x v="9"/>
    <x v="0"/>
    <n v="49"/>
    <x v="320"/>
    <s v="Retail"/>
    <x v="0"/>
  </r>
  <r>
    <x v="983"/>
    <d v="2023-07-10T00:00:00"/>
    <x v="5"/>
    <x v="4"/>
    <n v="2155"/>
    <n v="6"/>
    <n v="10"/>
    <x v="964"/>
    <n v="1375.49"/>
    <n v="3384.06"/>
    <n v="0.29080175302913119"/>
    <x v="1"/>
    <x v="0"/>
    <n v="28"/>
    <x v="382"/>
    <s v="Retail"/>
    <x v="2"/>
  </r>
  <r>
    <x v="984"/>
    <d v="2023-08-29T00:00:00"/>
    <x v="5"/>
    <x v="4"/>
    <n v="4568"/>
    <n v="3"/>
    <n v="15"/>
    <x v="965"/>
    <n v="3169.89"/>
    <n v="2138.7199999999998"/>
    <n v="0.18360633220013048"/>
    <x v="6"/>
    <x v="0"/>
    <n v="35"/>
    <x v="421"/>
    <s v="Wholesale"/>
    <x v="3"/>
  </r>
  <r>
    <x v="985"/>
    <d v="2023-09-05T00:00:00"/>
    <x v="4"/>
    <x v="3"/>
    <n v="3437"/>
    <n v="4"/>
    <n v="15"/>
    <x v="966"/>
    <n v="2405.1799999999998"/>
    <n v="2065.06"/>
    <n v="0.17671532971640797"/>
    <x v="8"/>
    <x v="0"/>
    <n v="36"/>
    <x v="194"/>
    <s v="Retail"/>
    <x v="0"/>
  </r>
  <r>
    <x v="986"/>
    <d v="2023-06-15T00:00:00"/>
    <x v="0"/>
    <x v="0"/>
    <n v="1671"/>
    <n v="7"/>
    <n v="0"/>
    <x v="967"/>
    <n v="928.93"/>
    <n v="5194.5"/>
    <n v="0.44408822775070533"/>
    <x v="10"/>
    <x v="0"/>
    <n v="24"/>
    <x v="136"/>
    <s v="Wholesale"/>
    <x v="0"/>
  </r>
  <r>
    <x v="987"/>
    <d v="2023-04-24T00:00:00"/>
    <x v="2"/>
    <x v="2"/>
    <n v="3079"/>
    <n v="4"/>
    <n v="5"/>
    <x v="968"/>
    <n v="1711.88"/>
    <n v="4852.66"/>
    <n v="0.41475017521068014"/>
    <x v="7"/>
    <x v="0"/>
    <n v="17"/>
    <x v="1"/>
    <s v="Retail"/>
    <x v="1"/>
  </r>
  <r>
    <x v="988"/>
    <d v="2023-12-04T00:00:00"/>
    <x v="9"/>
    <x v="5"/>
    <n v="1673"/>
    <n v="7"/>
    <n v="0"/>
    <x v="969"/>
    <n v="1080.58"/>
    <n v="4146.97"/>
    <n v="0.35410895739048759"/>
    <x v="9"/>
    <x v="0"/>
    <n v="49"/>
    <x v="166"/>
    <s v="Wholesale"/>
    <x v="0"/>
  </r>
  <r>
    <x v="989"/>
    <d v="2023-03-29T00:00:00"/>
    <x v="7"/>
    <x v="1"/>
    <n v="1628"/>
    <n v="8"/>
    <n v="10"/>
    <x v="970"/>
    <n v="1161.69"/>
    <n v="2428.09"/>
    <n v="0.20714663527163527"/>
    <x v="5"/>
    <x v="0"/>
    <n v="13"/>
    <x v="350"/>
    <s v="Wholesale"/>
    <x v="3"/>
  </r>
  <r>
    <x v="990"/>
    <d v="2023-03-15T00:00:00"/>
    <x v="8"/>
    <x v="2"/>
    <n v="4118"/>
    <n v="3"/>
    <n v="5"/>
    <x v="971"/>
    <n v="2658.38"/>
    <n v="3761.16"/>
    <n v="0.32047238056286903"/>
    <x v="5"/>
    <x v="0"/>
    <n v="11"/>
    <x v="364"/>
    <s v="Wholesale"/>
    <x v="1"/>
  </r>
  <r>
    <x v="991"/>
    <d v="2023-04-24T00:00:00"/>
    <x v="5"/>
    <x v="4"/>
    <n v="1766"/>
    <n v="7"/>
    <n v="5"/>
    <x v="972"/>
    <n v="904.13"/>
    <n v="5415.01"/>
    <n v="0.46109128994627002"/>
    <x v="7"/>
    <x v="0"/>
    <n v="17"/>
    <x v="183"/>
    <s v="Retail"/>
    <x v="3"/>
  </r>
  <r>
    <x v="992"/>
    <d v="2023-01-18T00:00:00"/>
    <x v="9"/>
    <x v="5"/>
    <n v="1176"/>
    <n v="10"/>
    <n v="0"/>
    <x v="973"/>
    <n v="725.13"/>
    <n v="4508.6499999999996"/>
    <n v="0.38338860544217684"/>
    <x v="0"/>
    <x v="0"/>
    <n v="3"/>
    <x v="339"/>
    <s v="Retail"/>
    <x v="2"/>
  </r>
  <r>
    <x v="993"/>
    <d v="2023-02-25T00:00:00"/>
    <x v="2"/>
    <x v="2"/>
    <n v="3268"/>
    <n v="4"/>
    <n v="10"/>
    <x v="974"/>
    <n v="2612.73"/>
    <n v="1313.9"/>
    <n v="0.11168060655514757"/>
    <x v="3"/>
    <x v="0"/>
    <n v="8"/>
    <x v="30"/>
    <s v="Wholesale"/>
    <x v="0"/>
  </r>
  <r>
    <x v="994"/>
    <d v="2023-06-22T00:00:00"/>
    <x v="6"/>
    <x v="0"/>
    <n v="3925"/>
    <n v="3"/>
    <n v="0"/>
    <x v="975"/>
    <n v="2258.63"/>
    <n v="4999.1099999999997"/>
    <n v="0.4245528662420382"/>
    <x v="10"/>
    <x v="0"/>
    <n v="25"/>
    <x v="353"/>
    <s v="Wholesale"/>
    <x v="2"/>
  </r>
  <r>
    <x v="995"/>
    <d v="2023-01-03T00:00:00"/>
    <x v="0"/>
    <x v="0"/>
    <n v="1309"/>
    <n v="10"/>
    <n v="10"/>
    <x v="976"/>
    <n v="1041.1400000000001"/>
    <n v="1369.57"/>
    <n v="0.11625244037008742"/>
    <x v="0"/>
    <x v="0"/>
    <n v="1"/>
    <x v="174"/>
    <s v="Wholesale"/>
    <x v="3"/>
  </r>
  <r>
    <x v="996"/>
    <d v="2023-01-27T00:00:00"/>
    <x v="9"/>
    <x v="5"/>
    <n v="2067"/>
    <n v="6"/>
    <n v="5"/>
    <x v="977"/>
    <n v="1066.78"/>
    <n v="5381.21"/>
    <n v="0.45673533131328564"/>
    <x v="0"/>
    <x v="0"/>
    <n v="4"/>
    <x v="270"/>
    <s v="Retail"/>
    <x v="1"/>
  </r>
  <r>
    <x v="997"/>
    <d v="2023-06-23T00:00:00"/>
    <x v="2"/>
    <x v="2"/>
    <n v="1688"/>
    <n v="7"/>
    <n v="0"/>
    <x v="978"/>
    <n v="1062.58"/>
    <n v="4377.97"/>
    <n v="0.37051201760324987"/>
    <x v="10"/>
    <x v="0"/>
    <n v="25"/>
    <x v="37"/>
    <s v="Retail"/>
    <x v="2"/>
  </r>
  <r>
    <x v="998"/>
    <d v="2023-07-30T00:00:00"/>
    <x v="7"/>
    <x v="1"/>
    <n v="2489"/>
    <n v="5"/>
    <n v="5"/>
    <x v="979"/>
    <n v="1735.62"/>
    <n v="3144.64"/>
    <n v="0.26598211076103273"/>
    <x v="1"/>
    <x v="0"/>
    <n v="31"/>
    <x v="55"/>
    <s v="Retail"/>
    <x v="1"/>
  </r>
  <r>
    <x v="999"/>
    <d v="2023-12-05T00:00:00"/>
    <x v="1"/>
    <x v="1"/>
    <n v="1383"/>
    <n v="9"/>
    <n v="5"/>
    <x v="980"/>
    <n v="1001.58"/>
    <n v="2810.4"/>
    <n v="0.23767299666374905"/>
    <x v="9"/>
    <x v="0"/>
    <n v="49"/>
    <x v="335"/>
    <s v="Retail"/>
    <x v="3"/>
  </r>
  <r>
    <x v="1000"/>
    <d v="2023-07-28T00:00:00"/>
    <x v="9"/>
    <x v="5"/>
    <n v="1878"/>
    <n v="7"/>
    <n v="10"/>
    <x v="981"/>
    <n v="1298.73"/>
    <n v="2740.29"/>
    <n v="0.23161164359247427"/>
    <x v="1"/>
    <x v="0"/>
    <n v="30"/>
    <x v="130"/>
    <s v="Retail"/>
    <x v="2"/>
  </r>
  <r>
    <x v="1001"/>
    <d v="2023-11-30T00:00:00"/>
    <x v="3"/>
    <x v="3"/>
    <n v="2192"/>
    <n v="6"/>
    <n v="10"/>
    <x v="982"/>
    <n v="1650.42"/>
    <n v="1934.28"/>
    <n v="0.16341240875912411"/>
    <x v="4"/>
    <x v="0"/>
    <n v="48"/>
    <x v="316"/>
    <s v="Retail"/>
    <x v="3"/>
  </r>
  <r>
    <x v="1002"/>
    <d v="2023-01-07T00:00:00"/>
    <x v="7"/>
    <x v="1"/>
    <n v="3953"/>
    <n v="3"/>
    <n v="0"/>
    <x v="983"/>
    <n v="2616.8200000000002"/>
    <n v="4008.53"/>
    <n v="0.33801585293869635"/>
    <x v="0"/>
    <x v="0"/>
    <n v="1"/>
    <x v="121"/>
    <s v="Retail"/>
    <x v="3"/>
  </r>
  <r>
    <x v="1003"/>
    <d v="2023-08-31T00:00:00"/>
    <x v="4"/>
    <x v="3"/>
    <n v="2374"/>
    <n v="5"/>
    <n v="0"/>
    <x v="984"/>
    <n v="1820.34"/>
    <n v="2768.3"/>
    <n v="0.23321819713563607"/>
    <x v="6"/>
    <x v="0"/>
    <n v="35"/>
    <x v="68"/>
    <s v="Retail"/>
    <x v="2"/>
  </r>
  <r>
    <x v="1004"/>
    <d v="2023-07-16T00:00:00"/>
    <x v="5"/>
    <x v="4"/>
    <n v="3963"/>
    <n v="3"/>
    <n v="0"/>
    <x v="985"/>
    <n v="3039.25"/>
    <n v="2771.24"/>
    <n v="0.23309277483388005"/>
    <x v="1"/>
    <x v="0"/>
    <n v="29"/>
    <x v="192"/>
    <s v="Retail"/>
    <x v="3"/>
  </r>
  <r>
    <x v="1005"/>
    <d v="2023-05-08T00:00:00"/>
    <x v="9"/>
    <x v="5"/>
    <n v="1983"/>
    <n v="6"/>
    <n v="0"/>
    <x v="986"/>
    <n v="1124.1199999999999"/>
    <n v="5153.26"/>
    <n v="0.43311985207597919"/>
    <x v="2"/>
    <x v="0"/>
    <n v="19"/>
    <x v="350"/>
    <s v="Retail"/>
    <x v="1"/>
  </r>
  <r>
    <x v="1006"/>
    <d v="2023-01-29T00:00:00"/>
    <x v="2"/>
    <x v="2"/>
    <n v="1325"/>
    <n v="10"/>
    <n v="10"/>
    <x v="987"/>
    <n v="902.44"/>
    <n v="2900.57"/>
    <n v="0.2432343815513627"/>
    <x v="0"/>
    <x v="0"/>
    <n v="5"/>
    <x v="280"/>
    <s v="Wholesale"/>
    <x v="1"/>
  </r>
  <r>
    <x v="1007"/>
    <d v="2023-05-23T00:00:00"/>
    <x v="2"/>
    <x v="2"/>
    <n v="3978"/>
    <n v="3"/>
    <n v="0"/>
    <x v="988"/>
    <n v="2042.18"/>
    <n v="5807.46"/>
    <n v="0.48663147310206134"/>
    <x v="2"/>
    <x v="0"/>
    <n v="21"/>
    <x v="422"/>
    <s v="Wholesale"/>
    <x v="2"/>
  </r>
  <r>
    <x v="1008"/>
    <d v="2023-03-02T00:00:00"/>
    <x v="6"/>
    <x v="0"/>
    <n v="1897"/>
    <n v="7"/>
    <n v="10"/>
    <x v="989"/>
    <n v="1414.94"/>
    <n v="2046.53"/>
    <n v="0.17124197772589969"/>
    <x v="5"/>
    <x v="0"/>
    <n v="9"/>
    <x v="403"/>
    <s v="Retail"/>
    <x v="2"/>
  </r>
  <r>
    <x v="1009"/>
    <d v="2023-12-06T00:00:00"/>
    <x v="2"/>
    <x v="2"/>
    <n v="1328"/>
    <n v="10"/>
    <n v="10"/>
    <x v="990"/>
    <n v="749.6"/>
    <n v="4456.05"/>
    <n v="0.37282881526104417"/>
    <x v="9"/>
    <x v="0"/>
    <n v="49"/>
    <x v="423"/>
    <s v="Wholesale"/>
    <x v="2"/>
  </r>
  <r>
    <x v="1010"/>
    <d v="2023-03-01T00:00:00"/>
    <x v="7"/>
    <x v="1"/>
    <n v="2814"/>
    <n v="5"/>
    <n v="15"/>
    <x v="991"/>
    <n v="1413.93"/>
    <n v="4889.87"/>
    <n v="0.40886909987875747"/>
    <x v="5"/>
    <x v="0"/>
    <n v="9"/>
    <x v="17"/>
    <s v="Wholesale"/>
    <x v="0"/>
  </r>
  <r>
    <x v="1011"/>
    <d v="2023-11-24T00:00:00"/>
    <x v="5"/>
    <x v="4"/>
    <n v="4001"/>
    <n v="3"/>
    <n v="0"/>
    <x v="992"/>
    <n v="2913.51"/>
    <n v="3262.47"/>
    <n v="0.27180454886278427"/>
    <x v="4"/>
    <x v="0"/>
    <n v="47"/>
    <x v="131"/>
    <s v="Wholesale"/>
    <x v="2"/>
  </r>
  <r>
    <x v="1012"/>
    <d v="2023-08-20T00:00:00"/>
    <x v="0"/>
    <x v="0"/>
    <n v="4009"/>
    <n v="3"/>
    <n v="0"/>
    <x v="993"/>
    <n v="2596.44"/>
    <n v="4237.67"/>
    <n v="0.35234638729525236"/>
    <x v="6"/>
    <x v="0"/>
    <n v="34"/>
    <x v="414"/>
    <s v="Retail"/>
    <x v="0"/>
  </r>
  <r>
    <x v="1013"/>
    <d v="2023-06-20T00:00:00"/>
    <x v="7"/>
    <x v="1"/>
    <n v="2409"/>
    <n v="5"/>
    <n v="0"/>
    <x v="994"/>
    <n v="1503.32"/>
    <n v="4528.3999999999996"/>
    <n v="0.37595682855956825"/>
    <x v="10"/>
    <x v="0"/>
    <n v="25"/>
    <x v="417"/>
    <s v="Retail"/>
    <x v="2"/>
  </r>
  <r>
    <x v="1014"/>
    <d v="2023-08-15T00:00:00"/>
    <x v="2"/>
    <x v="2"/>
    <n v="2010"/>
    <n v="6"/>
    <n v="0"/>
    <x v="995"/>
    <n v="1269.3599999999999"/>
    <n v="4443.8500000000004"/>
    <n v="0.3684784411276949"/>
    <x v="6"/>
    <x v="0"/>
    <n v="33"/>
    <x v="423"/>
    <s v="Wholesale"/>
    <x v="3"/>
  </r>
  <r>
    <x v="1015"/>
    <d v="2023-05-04T00:00:00"/>
    <x v="1"/>
    <x v="1"/>
    <n v="3352"/>
    <n v="4"/>
    <n v="10"/>
    <x v="996"/>
    <n v="1737.72"/>
    <n v="5116.3100000000004"/>
    <n v="0.42398485149827631"/>
    <x v="2"/>
    <x v="0"/>
    <n v="18"/>
    <x v="359"/>
    <s v="Retail"/>
    <x v="2"/>
  </r>
  <r>
    <x v="1016"/>
    <d v="2023-10-06T00:00:00"/>
    <x v="8"/>
    <x v="2"/>
    <n v="4475"/>
    <n v="3"/>
    <n v="10"/>
    <x v="997"/>
    <n v="3138.12"/>
    <n v="2668.14"/>
    <n v="0.2208268156424581"/>
    <x v="11"/>
    <x v="0"/>
    <n v="40"/>
    <x v="16"/>
    <s v="Retail"/>
    <x v="2"/>
  </r>
  <r>
    <x v="1017"/>
    <d v="2023-12-02T00:00:00"/>
    <x v="0"/>
    <x v="0"/>
    <n v="3023"/>
    <n v="4"/>
    <n v="0"/>
    <x v="998"/>
    <n v="2035.61"/>
    <n v="3949.56"/>
    <n v="0.32662586834270591"/>
    <x v="9"/>
    <x v="0"/>
    <n v="48"/>
    <x v="318"/>
    <s v="Retail"/>
    <x v="3"/>
  </r>
  <r>
    <x v="1018"/>
    <d v="2023-06-27T00:00:00"/>
    <x v="9"/>
    <x v="5"/>
    <n v="3194"/>
    <n v="4"/>
    <n v="5"/>
    <x v="999"/>
    <n v="1937.58"/>
    <n v="4386.87"/>
    <n v="0.36144003559305271"/>
    <x v="10"/>
    <x v="0"/>
    <n v="26"/>
    <x v="347"/>
    <s v="Wholesale"/>
    <x v="2"/>
  </r>
  <r>
    <x v="1019"/>
    <d v="2023-11-26T00:00:00"/>
    <x v="5"/>
    <x v="4"/>
    <n v="4259"/>
    <n v="3"/>
    <n v="5"/>
    <x v="1000"/>
    <n v="3117.89"/>
    <n v="2784.48"/>
    <n v="0.22939904351157303"/>
    <x v="4"/>
    <x v="0"/>
    <n v="48"/>
    <x v="175"/>
    <s v="Retail"/>
    <x v="2"/>
  </r>
  <r>
    <x v="1020"/>
    <d v="2023-11-23T00:00:00"/>
    <x v="9"/>
    <x v="5"/>
    <n v="1740"/>
    <n v="7"/>
    <n v="0"/>
    <x v="1001"/>
    <n v="960.86"/>
    <n v="5453.98"/>
    <n v="0.44778160919540227"/>
    <x v="4"/>
    <x v="0"/>
    <n v="47"/>
    <x v="234"/>
    <s v="Retail"/>
    <x v="3"/>
  </r>
  <r>
    <x v="1021"/>
    <d v="2023-12-22T00:00:00"/>
    <x v="4"/>
    <x v="3"/>
    <n v="3048"/>
    <n v="4"/>
    <n v="0"/>
    <x v="1002"/>
    <n v="2310.33"/>
    <n v="2950.69"/>
    <n v="0.24201853674540683"/>
    <x v="9"/>
    <x v="0"/>
    <n v="51"/>
    <x v="197"/>
    <s v="Wholesale"/>
    <x v="1"/>
  </r>
  <r>
    <x v="1022"/>
    <d v="2023-07-20T00:00:00"/>
    <x v="8"/>
    <x v="2"/>
    <n v="4519"/>
    <n v="3"/>
    <n v="10"/>
    <x v="1003"/>
    <n v="3496.63"/>
    <n v="1711.4"/>
    <n v="0.14026374238810621"/>
    <x v="1"/>
    <x v="0"/>
    <n v="29"/>
    <x v="102"/>
    <s v="Retail"/>
    <x v="1"/>
  </r>
  <r>
    <x v="1023"/>
    <d v="2023-10-17T00:00:00"/>
    <x v="8"/>
    <x v="2"/>
    <n v="2261"/>
    <n v="6"/>
    <n v="10"/>
    <x v="1004"/>
    <n v="1786.19"/>
    <n v="1492.25"/>
    <n v="0.12222140318115551"/>
    <x v="11"/>
    <x v="0"/>
    <n v="42"/>
    <x v="240"/>
    <s v="Wholesale"/>
    <x v="0"/>
  </r>
  <r>
    <x v="1024"/>
    <d v="2023-06-28T00:00:00"/>
    <x v="5"/>
    <x v="4"/>
    <n v="2035"/>
    <n v="6"/>
    <n v="0"/>
    <x v="1005"/>
    <n v="1134.06"/>
    <n v="5405.62"/>
    <n v="0.44272072072072072"/>
    <x v="10"/>
    <x v="0"/>
    <n v="26"/>
    <x v="143"/>
    <s v="Retail"/>
    <x v="1"/>
  </r>
  <r>
    <x v="1025"/>
    <d v="2023-10-24T00:00:00"/>
    <x v="9"/>
    <x v="5"/>
    <n v="3396"/>
    <n v="4"/>
    <n v="10"/>
    <x v="1006"/>
    <n v="2013.3"/>
    <n v="4172.3999999999996"/>
    <n v="0.341283863368669"/>
    <x v="11"/>
    <x v="0"/>
    <n v="43"/>
    <x v="107"/>
    <s v="Wholesale"/>
    <x v="3"/>
  </r>
  <r>
    <x v="1026"/>
    <d v="2023-06-12T00:00:00"/>
    <x v="4"/>
    <x v="3"/>
    <n v="2879"/>
    <n v="5"/>
    <n v="15"/>
    <x v="1007"/>
    <n v="1835.72"/>
    <n v="3057.15"/>
    <n v="0.24985391169319413"/>
    <x v="10"/>
    <x v="0"/>
    <n v="24"/>
    <x v="173"/>
    <s v="Retail"/>
    <x v="2"/>
  </r>
  <r>
    <x v="1027"/>
    <d v="2023-04-24T00:00:00"/>
    <x v="0"/>
    <x v="0"/>
    <n v="4554"/>
    <n v="3"/>
    <n v="10"/>
    <x v="1008"/>
    <n v="2759.87"/>
    <n v="4016.18"/>
    <n v="0.32663023146114933"/>
    <x v="7"/>
    <x v="0"/>
    <n v="17"/>
    <x v="81"/>
    <s v="Retail"/>
    <x v="0"/>
  </r>
  <r>
    <x v="1028"/>
    <d v="2023-07-04T00:00:00"/>
    <x v="5"/>
    <x v="4"/>
    <n v="1850"/>
    <n v="7"/>
    <n v="5"/>
    <x v="1009"/>
    <n v="1140.44"/>
    <n v="4319.3999999999996"/>
    <n v="0.35109937004673841"/>
    <x v="1"/>
    <x v="0"/>
    <n v="27"/>
    <x v="424"/>
    <s v="Retail"/>
    <x v="2"/>
  </r>
  <r>
    <x v="1029"/>
    <d v="2023-09-22T00:00:00"/>
    <x v="0"/>
    <x v="0"/>
    <n v="1710"/>
    <n v="8"/>
    <n v="10"/>
    <x v="1010"/>
    <n v="1285.23"/>
    <n v="2030.18"/>
    <n v="0.16489441195581547"/>
    <x v="8"/>
    <x v="0"/>
    <n v="38"/>
    <x v="425"/>
    <s v="Wholesale"/>
    <x v="0"/>
  </r>
  <r>
    <x v="1030"/>
    <d v="2023-01-21T00:00:00"/>
    <x v="6"/>
    <x v="0"/>
    <n v="4830"/>
    <n v="3"/>
    <n v="15"/>
    <x v="1011"/>
    <n v="3805.86"/>
    <n v="898.91"/>
    <n v="7.2984208176024024E-2"/>
    <x v="0"/>
    <x v="0"/>
    <n v="3"/>
    <x v="64"/>
    <s v="Retail"/>
    <x v="0"/>
  </r>
  <r>
    <x v="1031"/>
    <d v="2023-06-30T00:00:00"/>
    <x v="2"/>
    <x v="2"/>
    <n v="1297"/>
    <n v="10"/>
    <n v="5"/>
    <x v="1012"/>
    <n v="1012.58"/>
    <n v="2195.7399999999998"/>
    <n v="0.17820395244085541"/>
    <x v="10"/>
    <x v="0"/>
    <n v="26"/>
    <x v="412"/>
    <s v="Wholesale"/>
    <x v="0"/>
  </r>
  <r>
    <x v="1032"/>
    <d v="2023-03-19T00:00:00"/>
    <x v="3"/>
    <x v="3"/>
    <n v="2467"/>
    <n v="5"/>
    <n v="0"/>
    <x v="1013"/>
    <n v="1624.74"/>
    <n v="4211.32"/>
    <n v="0.34141224158897443"/>
    <x v="5"/>
    <x v="0"/>
    <n v="12"/>
    <x v="20"/>
    <s v="Retail"/>
    <x v="3"/>
  </r>
  <r>
    <x v="1033"/>
    <d v="2023-11-18T00:00:00"/>
    <x v="0"/>
    <x v="0"/>
    <n v="4112"/>
    <n v="3"/>
    <n v="0"/>
    <x v="1014"/>
    <n v="2069.15"/>
    <n v="6128.56"/>
    <n v="0.49680285343709474"/>
    <x v="4"/>
    <x v="0"/>
    <n v="46"/>
    <x v="426"/>
    <s v="Retail"/>
    <x v="2"/>
  </r>
  <r>
    <x v="1034"/>
    <d v="2023-04-03T00:00:00"/>
    <x v="8"/>
    <x v="2"/>
    <n v="2469"/>
    <n v="5"/>
    <n v="0"/>
    <x v="1015"/>
    <n v="1921.01"/>
    <n v="2739.94"/>
    <n v="0.22194734710409073"/>
    <x v="7"/>
    <x v="0"/>
    <n v="14"/>
    <x v="418"/>
    <s v="Retail"/>
    <x v="1"/>
  </r>
  <r>
    <x v="1035"/>
    <d v="2023-09-28T00:00:00"/>
    <x v="2"/>
    <x v="2"/>
    <n v="2905"/>
    <n v="5"/>
    <n v="15"/>
    <x v="1016"/>
    <n v="2058.44"/>
    <n v="2054.0500000000002"/>
    <n v="0.16637035537106409"/>
    <x v="8"/>
    <x v="0"/>
    <n v="39"/>
    <x v="427"/>
    <s v="Wholesale"/>
    <x v="0"/>
  </r>
  <r>
    <x v="1036"/>
    <d v="2023-08-01T00:00:00"/>
    <x v="7"/>
    <x v="1"/>
    <n v="2470"/>
    <n v="5"/>
    <n v="0"/>
    <x v="1017"/>
    <n v="1758.09"/>
    <n v="3559.57"/>
    <n v="0.28822429149797574"/>
    <x v="6"/>
    <x v="0"/>
    <n v="31"/>
    <x v="428"/>
    <s v="Retail"/>
    <x v="1"/>
  </r>
  <r>
    <x v="1037"/>
    <d v="2023-01-04T00:00:00"/>
    <x v="8"/>
    <x v="2"/>
    <n v="1970"/>
    <n v="7"/>
    <n v="10"/>
    <x v="1018"/>
    <n v="1415.04"/>
    <n v="2505.7399999999998"/>
    <n v="0.20189670453629843"/>
    <x v="0"/>
    <x v="0"/>
    <n v="1"/>
    <x v="144"/>
    <s v="Wholesale"/>
    <x v="2"/>
  </r>
  <r>
    <x v="1038"/>
    <d v="2023-04-30T00:00:00"/>
    <x v="9"/>
    <x v="5"/>
    <n v="3455"/>
    <n v="4"/>
    <n v="10"/>
    <x v="1019"/>
    <n v="2527.85"/>
    <n v="2326.58"/>
    <n v="0.18705418877633059"/>
    <x v="7"/>
    <x v="0"/>
    <n v="18"/>
    <x v="281"/>
    <s v="Retail"/>
    <x v="0"/>
  </r>
  <r>
    <x v="1039"/>
    <d v="2023-01-11T00:00:00"/>
    <x v="7"/>
    <x v="1"/>
    <n v="1626"/>
    <n v="9"/>
    <n v="15"/>
    <x v="1020"/>
    <n v="953.11"/>
    <n v="3860.92"/>
    <n v="0.31039079018241167"/>
    <x v="0"/>
    <x v="0"/>
    <n v="2"/>
    <x v="8"/>
    <s v="Retail"/>
    <x v="0"/>
  </r>
  <r>
    <x v="1040"/>
    <d v="2023-08-16T00:00:00"/>
    <x v="9"/>
    <x v="5"/>
    <n v="1555"/>
    <n v="8"/>
    <n v="0"/>
    <x v="1021"/>
    <n v="1133.76"/>
    <n v="3369.91"/>
    <n v="0.27089308681672025"/>
    <x v="6"/>
    <x v="0"/>
    <n v="33"/>
    <x v="375"/>
    <s v="Retail"/>
    <x v="3"/>
  </r>
  <r>
    <x v="1041"/>
    <d v="2023-09-12T00:00:00"/>
    <x v="1"/>
    <x v="1"/>
    <n v="2620"/>
    <n v="5"/>
    <n v="5"/>
    <x v="1022"/>
    <n v="1644.46"/>
    <n v="4222.6899999999996"/>
    <n v="0.33930815588589791"/>
    <x v="8"/>
    <x v="0"/>
    <n v="37"/>
    <x v="146"/>
    <s v="Retail"/>
    <x v="0"/>
  </r>
  <r>
    <x v="1042"/>
    <d v="2023-04-22T00:00:00"/>
    <x v="1"/>
    <x v="1"/>
    <n v="2309"/>
    <n v="6"/>
    <n v="10"/>
    <x v="1023"/>
    <n v="1828.58"/>
    <n v="1497.1"/>
    <n v="0.12006961487255986"/>
    <x v="7"/>
    <x v="0"/>
    <n v="16"/>
    <x v="184"/>
    <s v="Wholesale"/>
    <x v="2"/>
  </r>
  <r>
    <x v="1043"/>
    <d v="2023-11-18T00:00:00"/>
    <x v="0"/>
    <x v="0"/>
    <n v="1877"/>
    <n v="7"/>
    <n v="5"/>
    <x v="1024"/>
    <n v="1435.91"/>
    <n v="2430.6999999999998"/>
    <n v="0.19473564037958507"/>
    <x v="4"/>
    <x v="0"/>
    <n v="46"/>
    <x v="214"/>
    <s v="Wholesale"/>
    <x v="1"/>
  </r>
  <r>
    <x v="1044"/>
    <d v="2023-02-16T00:00:00"/>
    <x v="9"/>
    <x v="5"/>
    <n v="2100"/>
    <n v="7"/>
    <n v="15"/>
    <x v="1025"/>
    <n v="1172.6500000000001"/>
    <n v="4286.43"/>
    <n v="0.34305162064825934"/>
    <x v="3"/>
    <x v="0"/>
    <n v="7"/>
    <x v="429"/>
    <s v="Wholesale"/>
    <x v="0"/>
  </r>
  <r>
    <x v="1045"/>
    <d v="2023-08-06T00:00:00"/>
    <x v="2"/>
    <x v="2"/>
    <n v="3675"/>
    <n v="4"/>
    <n v="15"/>
    <x v="1025"/>
    <n v="2320.9899999999998"/>
    <n v="3211.02"/>
    <n v="0.25698439375750298"/>
    <x v="6"/>
    <x v="0"/>
    <n v="32"/>
    <x v="430"/>
    <s v="Retail"/>
    <x v="3"/>
  </r>
  <r>
    <x v="1046"/>
    <d v="2023-04-08T00:00:00"/>
    <x v="7"/>
    <x v="1"/>
    <n v="2456"/>
    <n v="6"/>
    <n v="15"/>
    <x v="1026"/>
    <n v="1421.46"/>
    <n v="3996.83"/>
    <n v="0.31909289774541738"/>
    <x v="7"/>
    <x v="0"/>
    <n v="14"/>
    <x v="197"/>
    <s v="Wholesale"/>
    <x v="3"/>
  </r>
  <r>
    <x v="1047"/>
    <d v="2023-07-25T00:00:00"/>
    <x v="5"/>
    <x v="4"/>
    <n v="1549"/>
    <n v="9"/>
    <n v="10"/>
    <x v="1027"/>
    <n v="892.35"/>
    <n v="4515.7299999999996"/>
    <n v="0.3599080250898628"/>
    <x v="1"/>
    <x v="0"/>
    <n v="30"/>
    <x v="247"/>
    <s v="Wholesale"/>
    <x v="1"/>
  </r>
  <r>
    <x v="1048"/>
    <d v="2023-09-26T00:00:00"/>
    <x v="1"/>
    <x v="1"/>
    <n v="3691"/>
    <n v="4"/>
    <n v="15"/>
    <x v="1028"/>
    <n v="2299.92"/>
    <n v="3349.71"/>
    <n v="0.26692192455416197"/>
    <x v="8"/>
    <x v="0"/>
    <n v="39"/>
    <x v="431"/>
    <s v="Wholesale"/>
    <x v="3"/>
  </r>
  <r>
    <x v="1049"/>
    <d v="2023-03-03T00:00:00"/>
    <x v="2"/>
    <x v="2"/>
    <n v="4415"/>
    <n v="3"/>
    <n v="5"/>
    <x v="1029"/>
    <n v="2486.5300000000002"/>
    <n v="5123.17"/>
    <n v="0.40715821263237367"/>
    <x v="5"/>
    <x v="0"/>
    <n v="9"/>
    <x v="240"/>
    <s v="Retail"/>
    <x v="2"/>
  </r>
  <r>
    <x v="1050"/>
    <d v="2023-07-22T00:00:00"/>
    <x v="8"/>
    <x v="2"/>
    <n v="3497"/>
    <n v="4"/>
    <n v="10"/>
    <x v="1030"/>
    <n v="1821.67"/>
    <n v="5302.5"/>
    <n v="0.42119435706796299"/>
    <x v="1"/>
    <x v="0"/>
    <n v="29"/>
    <x v="46"/>
    <s v="Retail"/>
    <x v="3"/>
  </r>
  <r>
    <x v="1051"/>
    <d v="2023-07-24T00:00:00"/>
    <x v="7"/>
    <x v="1"/>
    <n v="3704"/>
    <n v="4"/>
    <n v="15"/>
    <x v="1031"/>
    <n v="2184.37"/>
    <n v="3856.13"/>
    <n v="0.3061975924278999"/>
    <x v="1"/>
    <x v="0"/>
    <n v="30"/>
    <x v="106"/>
    <s v="Retail"/>
    <x v="2"/>
  </r>
  <r>
    <x v="1052"/>
    <d v="2023-09-14T00:00:00"/>
    <x v="6"/>
    <x v="0"/>
    <n v="4666"/>
    <n v="3"/>
    <n v="10"/>
    <x v="1032"/>
    <n v="2565.23"/>
    <n v="4902.51"/>
    <n v="0.38914368719340858"/>
    <x v="8"/>
    <x v="0"/>
    <n v="37"/>
    <x v="241"/>
    <s v="Retail"/>
    <x v="0"/>
  </r>
  <r>
    <x v="1053"/>
    <d v="2023-06-17T00:00:00"/>
    <x v="7"/>
    <x v="1"/>
    <n v="4428"/>
    <n v="3"/>
    <n v="5"/>
    <x v="1033"/>
    <n v="3363.08"/>
    <n v="2530.56"/>
    <n v="0.20052298768601723"/>
    <x v="10"/>
    <x v="0"/>
    <n v="24"/>
    <x v="432"/>
    <s v="Retail"/>
    <x v="3"/>
  </r>
  <r>
    <x v="1054"/>
    <d v="2023-12-26T00:00:00"/>
    <x v="3"/>
    <x v="3"/>
    <n v="2339"/>
    <n v="6"/>
    <n v="10"/>
    <x v="1034"/>
    <n v="1477.76"/>
    <n v="3764.01"/>
    <n v="0.29800722055959339"/>
    <x v="9"/>
    <x v="0"/>
    <n v="52"/>
    <x v="384"/>
    <s v="Wholesale"/>
    <x v="2"/>
  </r>
  <r>
    <x v="1055"/>
    <d v="2023-08-06T00:00:00"/>
    <x v="7"/>
    <x v="1"/>
    <n v="1810"/>
    <n v="7"/>
    <n v="0"/>
    <x v="1035"/>
    <n v="1226.6600000000001"/>
    <n v="4083.37"/>
    <n v="0.32228650355169691"/>
    <x v="6"/>
    <x v="0"/>
    <n v="32"/>
    <x v="433"/>
    <s v="Retail"/>
    <x v="3"/>
  </r>
  <r>
    <x v="1056"/>
    <d v="2023-10-25T00:00:00"/>
    <x v="6"/>
    <x v="0"/>
    <n v="2982"/>
    <n v="5"/>
    <n v="15"/>
    <x v="1036"/>
    <n v="1502.53"/>
    <n v="5160.83"/>
    <n v="0.40721426598808536"/>
    <x v="11"/>
    <x v="0"/>
    <n v="43"/>
    <x v="36"/>
    <s v="Retail"/>
    <x v="0"/>
  </r>
  <r>
    <x v="1057"/>
    <d v="2023-10-19T00:00:00"/>
    <x v="7"/>
    <x v="1"/>
    <n v="3337"/>
    <n v="4"/>
    <n v="5"/>
    <x v="1037"/>
    <n v="2261.89"/>
    <n v="3633.03"/>
    <n v="0.28650300458968819"/>
    <x v="11"/>
    <x v="0"/>
    <n v="42"/>
    <x v="319"/>
    <s v="Wholesale"/>
    <x v="3"/>
  </r>
  <r>
    <x v="1058"/>
    <d v="2023-01-11T00:00:00"/>
    <x v="7"/>
    <x v="1"/>
    <n v="2984"/>
    <n v="5"/>
    <n v="15"/>
    <x v="1038"/>
    <n v="1647.92"/>
    <n v="4442.42"/>
    <n v="0.35029332912789779"/>
    <x v="0"/>
    <x v="0"/>
    <n v="2"/>
    <x v="400"/>
    <s v="Wholesale"/>
    <x v="1"/>
  </r>
  <r>
    <x v="1059"/>
    <d v="2023-04-20T00:00:00"/>
    <x v="6"/>
    <x v="0"/>
    <n v="3732"/>
    <n v="4"/>
    <n v="15"/>
    <x v="1039"/>
    <n v="2492.5100000000002"/>
    <n v="2718.74"/>
    <n v="0.21426297206985687"/>
    <x v="7"/>
    <x v="0"/>
    <n v="16"/>
    <x v="293"/>
    <s v="Wholesale"/>
    <x v="0"/>
  </r>
  <r>
    <x v="1060"/>
    <d v="2023-08-03T00:00:00"/>
    <x v="4"/>
    <x v="3"/>
    <n v="1867"/>
    <n v="8"/>
    <n v="15"/>
    <x v="1040"/>
    <n v="1435.84"/>
    <n v="1208.8599999999999"/>
    <n v="9.5218815967736847E-2"/>
    <x v="6"/>
    <x v="0"/>
    <n v="31"/>
    <x v="163"/>
    <s v="Retail"/>
    <x v="0"/>
  </r>
  <r>
    <x v="1061"/>
    <d v="2023-07-18T00:00:00"/>
    <x v="8"/>
    <x v="2"/>
    <n v="3344"/>
    <n v="4"/>
    <n v="5"/>
    <x v="1041"/>
    <n v="2066.46"/>
    <n v="4441.37"/>
    <n v="0.34951602241249052"/>
    <x v="1"/>
    <x v="0"/>
    <n v="29"/>
    <x v="269"/>
    <s v="Wholesale"/>
    <x v="3"/>
  </r>
  <r>
    <x v="1062"/>
    <d v="2023-08-11T00:00:00"/>
    <x v="0"/>
    <x v="0"/>
    <n v="1870"/>
    <n v="8"/>
    <n v="15"/>
    <x v="1042"/>
    <n v="1434.14"/>
    <n v="1242.8599999999999"/>
    <n v="9.773985530040892E-2"/>
    <x v="6"/>
    <x v="0"/>
    <n v="32"/>
    <x v="361"/>
    <s v="Retail"/>
    <x v="2"/>
  </r>
  <r>
    <x v="1063"/>
    <d v="2023-12-08T00:00:00"/>
    <x v="7"/>
    <x v="1"/>
    <n v="1769"/>
    <n v="8"/>
    <n v="10"/>
    <x v="1043"/>
    <n v="1063.97"/>
    <n v="4225.0200000000004"/>
    <n v="0.33171754286791039"/>
    <x v="9"/>
    <x v="0"/>
    <n v="49"/>
    <x v="87"/>
    <s v="Wholesale"/>
    <x v="3"/>
  </r>
  <r>
    <x v="1064"/>
    <d v="2023-02-03T00:00:00"/>
    <x v="1"/>
    <x v="1"/>
    <n v="1677"/>
    <n v="8"/>
    <n v="5"/>
    <x v="1044"/>
    <n v="1104.6099999999999"/>
    <n v="3908.3"/>
    <n v="0.30664877757901016"/>
    <x v="3"/>
    <x v="0"/>
    <n v="5"/>
    <x v="76"/>
    <s v="Retail"/>
    <x v="1"/>
  </r>
  <r>
    <x v="1065"/>
    <d v="2023-08-26T00:00:00"/>
    <x v="3"/>
    <x v="3"/>
    <n v="1674"/>
    <n v="9"/>
    <n v="15"/>
    <x v="1045"/>
    <n v="1216.99"/>
    <n v="1853.15"/>
    <n v="0.14470838116210244"/>
    <x v="6"/>
    <x v="0"/>
    <n v="34"/>
    <x v="307"/>
    <s v="Wholesale"/>
    <x v="0"/>
  </r>
  <r>
    <x v="1066"/>
    <d v="2023-12-02T00:00:00"/>
    <x v="1"/>
    <x v="1"/>
    <n v="1780"/>
    <n v="8"/>
    <n v="10"/>
    <x v="1046"/>
    <n v="1364.93"/>
    <n v="1896.55"/>
    <n v="0.14798299001248438"/>
    <x v="9"/>
    <x v="0"/>
    <n v="48"/>
    <x v="220"/>
    <s v="Retail"/>
    <x v="0"/>
  </r>
  <r>
    <x v="1067"/>
    <d v="2023-01-24T00:00:00"/>
    <x v="0"/>
    <x v="0"/>
    <n v="4273"/>
    <n v="3"/>
    <n v="0"/>
    <x v="1047"/>
    <n v="2268.64"/>
    <n v="6013.08"/>
    <n v="0.4690755909197285"/>
    <x v="0"/>
    <x v="0"/>
    <n v="4"/>
    <x v="434"/>
    <s v="Wholesale"/>
    <x v="0"/>
  </r>
  <r>
    <x v="1068"/>
    <d v="2023-11-27T00:00:00"/>
    <x v="1"/>
    <x v="1"/>
    <n v="3018"/>
    <n v="5"/>
    <n v="15"/>
    <x v="1048"/>
    <n v="2380.9"/>
    <n v="921.99"/>
    <n v="7.1881651268857441E-2"/>
    <x v="4"/>
    <x v="0"/>
    <n v="48"/>
    <x v="330"/>
    <s v="Wholesale"/>
    <x v="0"/>
  </r>
  <r>
    <x v="1069"/>
    <d v="2023-04-21T00:00:00"/>
    <x v="0"/>
    <x v="0"/>
    <n v="4505"/>
    <n v="3"/>
    <n v="5"/>
    <x v="1049"/>
    <n v="2305.6799999999998"/>
    <n v="5922.22"/>
    <n v="0.46125902992776058"/>
    <x v="7"/>
    <x v="0"/>
    <n v="16"/>
    <x v="387"/>
    <s v="Retail"/>
    <x v="3"/>
  </r>
  <r>
    <x v="1070"/>
    <d v="2023-06-01T00:00:00"/>
    <x v="2"/>
    <x v="2"/>
    <n v="4506"/>
    <n v="3"/>
    <n v="5"/>
    <x v="1050"/>
    <n v="3225.99"/>
    <n v="3164.13"/>
    <n v="0.24638727310953817"/>
    <x v="10"/>
    <x v="0"/>
    <n v="22"/>
    <x v="427"/>
    <s v="Retail"/>
    <x v="1"/>
  </r>
  <r>
    <x v="1071"/>
    <d v="2023-05-19T00:00:00"/>
    <x v="9"/>
    <x v="5"/>
    <n v="2143"/>
    <n v="6"/>
    <n v="0"/>
    <x v="1051"/>
    <n v="1202.28"/>
    <n v="5644.31"/>
    <n v="0.43897262404728576"/>
    <x v="2"/>
    <x v="0"/>
    <n v="20"/>
    <x v="324"/>
    <s v="Wholesale"/>
    <x v="3"/>
  </r>
  <r>
    <x v="1072"/>
    <d v="2023-05-14T00:00:00"/>
    <x v="5"/>
    <x v="4"/>
    <n v="1506"/>
    <n v="9"/>
    <n v="5"/>
    <x v="1052"/>
    <n v="963.65"/>
    <n v="4203.43"/>
    <n v="0.32644703835729211"/>
    <x v="2"/>
    <x v="0"/>
    <n v="20"/>
    <x v="199"/>
    <s v="Wholesale"/>
    <x v="2"/>
  </r>
  <r>
    <x v="1073"/>
    <d v="2023-01-24T00:00:00"/>
    <x v="6"/>
    <x v="0"/>
    <n v="4782"/>
    <n v="3"/>
    <n v="10"/>
    <x v="1053"/>
    <n v="3096.76"/>
    <n v="3621.11"/>
    <n v="0.28045835463234042"/>
    <x v="0"/>
    <x v="0"/>
    <n v="4"/>
    <x v="379"/>
    <s v="Retail"/>
    <x v="0"/>
  </r>
  <r>
    <x v="1074"/>
    <d v="2023-04-15T00:00:00"/>
    <x v="2"/>
    <x v="2"/>
    <n v="3038"/>
    <n v="5"/>
    <n v="15"/>
    <x v="1054"/>
    <n v="2142.1799999999998"/>
    <n v="2200.6"/>
    <n v="0.17043720714092087"/>
    <x v="7"/>
    <x v="0"/>
    <n v="15"/>
    <x v="435"/>
    <s v="Wholesale"/>
    <x v="3"/>
  </r>
  <r>
    <x v="1075"/>
    <d v="2023-07-22T00:00:00"/>
    <x v="8"/>
    <x v="2"/>
    <n v="2720"/>
    <n v="5"/>
    <n v="5"/>
    <x v="1055"/>
    <n v="1563.84"/>
    <n v="5100.8100000000004"/>
    <n v="0.39479953560371522"/>
    <x v="1"/>
    <x v="0"/>
    <n v="29"/>
    <x v="210"/>
    <s v="Wholesale"/>
    <x v="0"/>
  </r>
  <r>
    <x v="1076"/>
    <d v="2023-07-20T00:00:00"/>
    <x v="9"/>
    <x v="5"/>
    <n v="2539"/>
    <n v="6"/>
    <n v="15"/>
    <x v="1056"/>
    <n v="1717.7"/>
    <n v="2642.7"/>
    <n v="0.20408683363065588"/>
    <x v="1"/>
    <x v="0"/>
    <n v="29"/>
    <x v="391"/>
    <s v="Wholesale"/>
    <x v="2"/>
  </r>
  <r>
    <x v="1077"/>
    <d v="2023-05-22T00:00:00"/>
    <x v="9"/>
    <x v="5"/>
    <n v="4796"/>
    <n v="3"/>
    <n v="10"/>
    <x v="1057"/>
    <n v="3527.11"/>
    <n v="2367.87"/>
    <n v="0.18285840051895097"/>
    <x v="2"/>
    <x v="0"/>
    <n v="21"/>
    <x v="350"/>
    <s v="Wholesale"/>
    <x v="2"/>
  </r>
  <r>
    <x v="1078"/>
    <d v="2023-06-07T00:00:00"/>
    <x v="4"/>
    <x v="3"/>
    <n v="1620"/>
    <n v="8"/>
    <n v="0"/>
    <x v="1058"/>
    <n v="1069.98"/>
    <n v="4400.1899999999996"/>
    <n v="0.33952083333333333"/>
    <x v="10"/>
    <x v="0"/>
    <n v="23"/>
    <x v="137"/>
    <s v="Wholesale"/>
    <x v="3"/>
  </r>
  <r>
    <x v="1079"/>
    <d v="2023-08-07T00:00:00"/>
    <x v="8"/>
    <x v="2"/>
    <n v="2596"/>
    <n v="5"/>
    <n v="0"/>
    <x v="1059"/>
    <n v="1723.95"/>
    <n v="4360.24"/>
    <n v="0.33591987673343604"/>
    <x v="6"/>
    <x v="0"/>
    <n v="32"/>
    <x v="418"/>
    <s v="Retail"/>
    <x v="2"/>
  </r>
  <r>
    <x v="1080"/>
    <d v="2023-07-04T00:00:00"/>
    <x v="8"/>
    <x v="2"/>
    <n v="3610"/>
    <n v="4"/>
    <n v="10"/>
    <x v="1060"/>
    <n v="2313.9699999999998"/>
    <n v="3740.12"/>
    <n v="0.28779008925823329"/>
    <x v="1"/>
    <x v="0"/>
    <n v="27"/>
    <x v="436"/>
    <s v="Wholesale"/>
    <x v="3"/>
  </r>
  <r>
    <x v="1081"/>
    <d v="2023-07-10T00:00:00"/>
    <x v="7"/>
    <x v="1"/>
    <n v="2064"/>
    <n v="7"/>
    <n v="10"/>
    <x v="1061"/>
    <n v="1588.07"/>
    <n v="1886.7"/>
    <n v="0.14509505352528607"/>
    <x v="1"/>
    <x v="0"/>
    <n v="28"/>
    <x v="155"/>
    <s v="Retail"/>
    <x v="1"/>
  </r>
  <r>
    <x v="1082"/>
    <d v="2023-04-24T00:00:00"/>
    <x v="8"/>
    <x v="2"/>
    <n v="4837"/>
    <n v="3"/>
    <n v="10"/>
    <x v="1062"/>
    <n v="2920.98"/>
    <n v="4296.97"/>
    <n v="0.32902013032259053"/>
    <x v="7"/>
    <x v="0"/>
    <n v="17"/>
    <x v="138"/>
    <s v="Wholesale"/>
    <x v="0"/>
  </r>
  <r>
    <x v="1083"/>
    <d v="2023-07-26T00:00:00"/>
    <x v="8"/>
    <x v="2"/>
    <n v="3439"/>
    <n v="4"/>
    <n v="5"/>
    <x v="1063"/>
    <n v="1921.66"/>
    <n v="5381.57"/>
    <n v="0.41180652270396839"/>
    <x v="1"/>
    <x v="0"/>
    <n v="30"/>
    <x v="437"/>
    <s v="Retail"/>
    <x v="3"/>
  </r>
  <r>
    <x v="1084"/>
    <d v="2023-08-24T00:00:00"/>
    <x v="4"/>
    <x v="3"/>
    <n v="2421"/>
    <n v="6"/>
    <n v="10"/>
    <x v="1064"/>
    <n v="1270.8599999999999"/>
    <n v="5448.25"/>
    <n v="0.41674315786253002"/>
    <x v="6"/>
    <x v="0"/>
    <n v="34"/>
    <x v="362"/>
    <s v="Retail"/>
    <x v="1"/>
  </r>
  <r>
    <x v="1085"/>
    <d v="2023-02-17T00:00:00"/>
    <x v="8"/>
    <x v="2"/>
    <n v="4842"/>
    <n v="3"/>
    <n v="10"/>
    <x v="1064"/>
    <n v="3074.64"/>
    <n v="3849.47"/>
    <n v="0.29445056374011352"/>
    <x v="3"/>
    <x v="0"/>
    <n v="7"/>
    <x v="434"/>
    <s v="Wholesale"/>
    <x v="0"/>
  </r>
  <r>
    <x v="1086"/>
    <d v="2023-05-04T00:00:00"/>
    <x v="2"/>
    <x v="2"/>
    <n v="4844"/>
    <n v="3"/>
    <n v="10"/>
    <x v="1065"/>
    <n v="3288.29"/>
    <n v="3213.92"/>
    <n v="0.24573508272930239"/>
    <x v="2"/>
    <x v="0"/>
    <n v="18"/>
    <x v="438"/>
    <s v="Retail"/>
    <x v="3"/>
  </r>
  <r>
    <x v="1087"/>
    <d v="2023-05-17T00:00:00"/>
    <x v="0"/>
    <x v="0"/>
    <n v="3271"/>
    <n v="4"/>
    <n v="0"/>
    <x v="1066"/>
    <n v="1937.71"/>
    <n v="5333.14"/>
    <n v="0.40760776520941611"/>
    <x v="2"/>
    <x v="0"/>
    <n v="20"/>
    <x v="388"/>
    <s v="Wholesale"/>
    <x v="3"/>
  </r>
  <r>
    <x v="1088"/>
    <d v="2023-01-04T00:00:00"/>
    <x v="3"/>
    <x v="3"/>
    <n v="1972"/>
    <n v="7"/>
    <n v="5"/>
    <x v="1067"/>
    <n v="1188.04"/>
    <n v="4797.54"/>
    <n v="0.36583903979014476"/>
    <x v="0"/>
    <x v="0"/>
    <n v="1"/>
    <x v="242"/>
    <s v="Wholesale"/>
    <x v="2"/>
  </r>
  <r>
    <x v="1089"/>
    <d v="2023-02-18T00:00:00"/>
    <x v="2"/>
    <x v="2"/>
    <n v="3280"/>
    <n v="4"/>
    <n v="0"/>
    <x v="1068"/>
    <n v="2124.73"/>
    <n v="4621.07"/>
    <n v="0.35221570121951218"/>
    <x v="3"/>
    <x v="0"/>
    <n v="7"/>
    <x v="224"/>
    <s v="Retail"/>
    <x v="3"/>
  </r>
  <r>
    <x v="1090"/>
    <d v="2023-07-11T00:00:00"/>
    <x v="1"/>
    <x v="1"/>
    <n v="4608"/>
    <n v="3"/>
    <n v="5"/>
    <x v="1069"/>
    <n v="3604.68"/>
    <n v="2318.77"/>
    <n v="0.17656326145224172"/>
    <x v="1"/>
    <x v="0"/>
    <n v="28"/>
    <x v="167"/>
    <s v="Retail"/>
    <x v="0"/>
  </r>
  <r>
    <x v="1091"/>
    <d v="2023-01-26T00:00:00"/>
    <x v="0"/>
    <x v="0"/>
    <n v="1461"/>
    <n v="10"/>
    <n v="10"/>
    <x v="1070"/>
    <n v="992.33"/>
    <n v="3225.67"/>
    <n v="0.24531675412578904"/>
    <x v="0"/>
    <x v="0"/>
    <n v="4"/>
    <x v="309"/>
    <s v="Retail"/>
    <x v="3"/>
  </r>
  <r>
    <x v="1092"/>
    <d v="2023-05-30T00:00:00"/>
    <x v="0"/>
    <x v="0"/>
    <n v="3288"/>
    <n v="4"/>
    <n v="0"/>
    <x v="1071"/>
    <n v="2289.19"/>
    <n v="3995.23"/>
    <n v="0.30377357055961068"/>
    <x v="2"/>
    <x v="0"/>
    <n v="22"/>
    <x v="111"/>
    <s v="Retail"/>
    <x v="0"/>
  </r>
  <r>
    <x v="1093"/>
    <d v="2023-02-25T00:00:00"/>
    <x v="2"/>
    <x v="2"/>
    <n v="2582"/>
    <n v="6"/>
    <n v="15"/>
    <x v="1072"/>
    <n v="1985.14"/>
    <n v="1257.3800000000001"/>
    <n v="9.5486095290168743E-2"/>
    <x v="3"/>
    <x v="0"/>
    <n v="8"/>
    <x v="154"/>
    <s v="Retail"/>
    <x v="1"/>
  </r>
  <r>
    <x v="1094"/>
    <d v="2023-02-05T00:00:00"/>
    <x v="3"/>
    <x v="3"/>
    <n v="3873"/>
    <n v="4"/>
    <n v="15"/>
    <x v="1072"/>
    <n v="2707.63"/>
    <n v="2337.69"/>
    <n v="0.17752540210507131"/>
    <x v="3"/>
    <x v="0"/>
    <n v="6"/>
    <x v="263"/>
    <s v="Wholesale"/>
    <x v="3"/>
  </r>
  <r>
    <x v="1095"/>
    <d v="2023-09-03T00:00:00"/>
    <x v="1"/>
    <x v="1"/>
    <n v="2929"/>
    <n v="5"/>
    <n v="10"/>
    <x v="1073"/>
    <n v="1598.34"/>
    <n v="5188.82"/>
    <n v="0.39367398808846399"/>
    <x v="8"/>
    <x v="0"/>
    <n v="36"/>
    <x v="439"/>
    <s v="Wholesale"/>
    <x v="1"/>
  </r>
  <r>
    <x v="1096"/>
    <d v="2023-08-11T00:00:00"/>
    <x v="0"/>
    <x v="0"/>
    <n v="3103"/>
    <n v="5"/>
    <n v="15"/>
    <x v="1074"/>
    <n v="1941.81"/>
    <n v="3478.72"/>
    <n v="0.26378419366457506"/>
    <x v="6"/>
    <x v="0"/>
    <n v="32"/>
    <x v="260"/>
    <s v="Wholesale"/>
    <x v="2"/>
  </r>
  <r>
    <x v="1097"/>
    <d v="2023-04-10T00:00:00"/>
    <x v="1"/>
    <x v="1"/>
    <n v="2936"/>
    <n v="5"/>
    <n v="10"/>
    <x v="1075"/>
    <n v="2318.37"/>
    <n v="1620.16"/>
    <n v="0.12262791401755981"/>
    <x v="7"/>
    <x v="0"/>
    <n v="15"/>
    <x v="165"/>
    <s v="Retail"/>
    <x v="2"/>
  </r>
  <r>
    <x v="1098"/>
    <d v="2023-12-20T00:00:00"/>
    <x v="1"/>
    <x v="1"/>
    <n v="4411"/>
    <n v="3"/>
    <n v="0"/>
    <x v="1076"/>
    <n v="3145.27"/>
    <n v="3797.19"/>
    <n v="0.28694853774654272"/>
    <x v="9"/>
    <x v="0"/>
    <n v="51"/>
    <x v="220"/>
    <s v="Wholesale"/>
    <x v="1"/>
  </r>
  <r>
    <x v="1099"/>
    <d v="2023-05-19T00:00:00"/>
    <x v="6"/>
    <x v="0"/>
    <n v="4906"/>
    <n v="3"/>
    <n v="10"/>
    <x v="1077"/>
    <n v="2910.15"/>
    <n v="4515.76"/>
    <n v="0.34090984584258127"/>
    <x v="2"/>
    <x v="0"/>
    <n v="20"/>
    <x v="333"/>
    <s v="Wholesale"/>
    <x v="1"/>
  </r>
  <r>
    <x v="1100"/>
    <d v="2023-05-26T00:00:00"/>
    <x v="6"/>
    <x v="0"/>
    <n v="3691"/>
    <n v="4"/>
    <n v="10"/>
    <x v="1078"/>
    <n v="2721.02"/>
    <n v="2403.5300000000002"/>
    <n v="0.18088518618862701"/>
    <x v="2"/>
    <x v="0"/>
    <n v="21"/>
    <x v="94"/>
    <s v="Retail"/>
    <x v="0"/>
  </r>
  <r>
    <x v="1101"/>
    <d v="2023-12-24T00:00:00"/>
    <x v="6"/>
    <x v="0"/>
    <n v="3133"/>
    <n v="5"/>
    <n v="15"/>
    <x v="1079"/>
    <n v="1862.52"/>
    <n v="4002.66"/>
    <n v="0.30060719851298323"/>
    <x v="9"/>
    <x v="0"/>
    <n v="52"/>
    <x v="272"/>
    <s v="Wholesale"/>
    <x v="2"/>
  </r>
  <r>
    <x v="1102"/>
    <d v="2023-10-01T00:00:00"/>
    <x v="5"/>
    <x v="4"/>
    <n v="2344"/>
    <n v="6"/>
    <n v="5"/>
    <x v="1080"/>
    <n v="1404.52"/>
    <n v="4933.68"/>
    <n v="0.36926531345428421"/>
    <x v="11"/>
    <x v="0"/>
    <n v="40"/>
    <x v="188"/>
    <s v="Wholesale"/>
    <x v="3"/>
  </r>
  <r>
    <x v="1103"/>
    <d v="2023-03-26T00:00:00"/>
    <x v="8"/>
    <x v="2"/>
    <n v="1909"/>
    <n v="7"/>
    <n v="0"/>
    <x v="1081"/>
    <n v="1311.12"/>
    <n v="4185.1899999999996"/>
    <n v="0.31319239691685996"/>
    <x v="5"/>
    <x v="0"/>
    <n v="13"/>
    <x v="440"/>
    <s v="Wholesale"/>
    <x v="3"/>
  </r>
  <r>
    <x v="1104"/>
    <d v="2023-06-26T00:00:00"/>
    <x v="8"/>
    <x v="2"/>
    <n v="2246"/>
    <n v="7"/>
    <n v="15"/>
    <x v="1082"/>
    <n v="1723.39"/>
    <n v="1300"/>
    <n v="9.7278448333919493E-2"/>
    <x v="10"/>
    <x v="0"/>
    <n v="26"/>
    <x v="27"/>
    <s v="Retail"/>
    <x v="2"/>
  </r>
  <r>
    <x v="1105"/>
    <d v="2023-07-22T00:00:00"/>
    <x v="7"/>
    <x v="1"/>
    <n v="4976"/>
    <n v="3"/>
    <n v="10"/>
    <x v="1083"/>
    <n v="3703.55"/>
    <n v="2324.54"/>
    <n v="0.17301863760866976"/>
    <x v="1"/>
    <x v="0"/>
    <n v="29"/>
    <x v="254"/>
    <s v="Retail"/>
    <x v="1"/>
  </r>
  <r>
    <x v="1106"/>
    <d v="2023-08-04T00:00:00"/>
    <x v="8"/>
    <x v="2"/>
    <n v="4718"/>
    <n v="3"/>
    <n v="5"/>
    <x v="1084"/>
    <n v="3645.46"/>
    <n v="2509.92"/>
    <n v="0.18666250195220993"/>
    <x v="6"/>
    <x v="0"/>
    <n v="31"/>
    <x v="178"/>
    <s v="Wholesale"/>
    <x v="0"/>
  </r>
  <r>
    <x v="1107"/>
    <d v="2023-05-09T00:00:00"/>
    <x v="4"/>
    <x v="3"/>
    <n v="1923"/>
    <n v="7"/>
    <n v="0"/>
    <x v="1085"/>
    <n v="1514.78"/>
    <n v="2857.54"/>
    <n v="0.21228289131565262"/>
    <x v="2"/>
    <x v="0"/>
    <n v="19"/>
    <x v="231"/>
    <s v="Wholesale"/>
    <x v="2"/>
  </r>
  <r>
    <x v="1108"/>
    <d v="2023-03-21T00:00:00"/>
    <x v="2"/>
    <x v="2"/>
    <n v="2138"/>
    <n v="7"/>
    <n v="10"/>
    <x v="1086"/>
    <n v="1368.52"/>
    <n v="3889.73"/>
    <n v="0.28878272231873731"/>
    <x v="5"/>
    <x v="0"/>
    <n v="12"/>
    <x v="60"/>
    <s v="Retail"/>
    <x v="3"/>
  </r>
  <r>
    <x v="1109"/>
    <d v="2023-09-24T00:00:00"/>
    <x v="8"/>
    <x v="2"/>
    <n v="1347"/>
    <n v="10"/>
    <n v="0"/>
    <x v="1087"/>
    <n v="714.23"/>
    <n v="6327.69"/>
    <n v="0.46976169265033407"/>
    <x v="8"/>
    <x v="0"/>
    <n v="39"/>
    <x v="170"/>
    <s v="Wholesale"/>
    <x v="0"/>
  </r>
  <r>
    <x v="1110"/>
    <d v="2023-08-30T00:00:00"/>
    <x v="7"/>
    <x v="1"/>
    <n v="3368"/>
    <n v="4"/>
    <n v="0"/>
    <x v="1088"/>
    <n v="1812.22"/>
    <n v="6223.11"/>
    <n v="0.46192918646080755"/>
    <x v="6"/>
    <x v="0"/>
    <n v="35"/>
    <x v="441"/>
    <s v="Retail"/>
    <x v="0"/>
  </r>
  <r>
    <x v="1111"/>
    <d v="2023-01-23T00:00:00"/>
    <x v="8"/>
    <x v="2"/>
    <n v="1687"/>
    <n v="8"/>
    <n v="0"/>
    <x v="1089"/>
    <n v="1123.77"/>
    <n v="4505.88"/>
    <n v="0.33386781268524007"/>
    <x v="0"/>
    <x v="0"/>
    <n v="4"/>
    <x v="88"/>
    <s v="Retail"/>
    <x v="1"/>
  </r>
  <r>
    <x v="1112"/>
    <d v="2023-02-25T00:00:00"/>
    <x v="3"/>
    <x v="3"/>
    <n v="3569"/>
    <n v="4"/>
    <n v="5"/>
    <x v="1090"/>
    <n v="1800.85"/>
    <n v="6358.81"/>
    <n v="0.46886272138738555"/>
    <x v="3"/>
    <x v="0"/>
    <n v="8"/>
    <x v="349"/>
    <s v="Wholesale"/>
    <x v="3"/>
  </r>
  <r>
    <x v="1113"/>
    <d v="2023-03-12T00:00:00"/>
    <x v="2"/>
    <x v="2"/>
    <n v="4765"/>
    <n v="3"/>
    <n v="5"/>
    <x v="1091"/>
    <n v="3406.29"/>
    <n v="3361.37"/>
    <n v="0.24751900738204377"/>
    <x v="5"/>
    <x v="0"/>
    <n v="11"/>
    <x v="305"/>
    <s v="Retail"/>
    <x v="2"/>
  </r>
  <r>
    <x v="1114"/>
    <d v="2023-04-21T00:00:00"/>
    <x v="2"/>
    <x v="2"/>
    <n v="2000"/>
    <n v="8"/>
    <n v="15"/>
    <x v="1092"/>
    <n v="1085.74"/>
    <n v="4914.1000000000004"/>
    <n v="0.3613308823529412"/>
    <x v="7"/>
    <x v="0"/>
    <n v="16"/>
    <x v="269"/>
    <s v="Wholesale"/>
    <x v="2"/>
  </r>
  <r>
    <x v="1115"/>
    <d v="2023-09-17T00:00:00"/>
    <x v="0"/>
    <x v="0"/>
    <n v="2047"/>
    <n v="7"/>
    <n v="5"/>
    <x v="1093"/>
    <n v="1240.92"/>
    <n v="4926.13"/>
    <n v="0.36188149905785472"/>
    <x v="8"/>
    <x v="0"/>
    <n v="38"/>
    <x v="209"/>
    <s v="Wholesale"/>
    <x v="0"/>
  </r>
  <r>
    <x v="1116"/>
    <d v="2023-02-01T00:00:00"/>
    <x v="0"/>
    <x v="0"/>
    <n v="3206"/>
    <n v="5"/>
    <n v="15"/>
    <x v="1094"/>
    <n v="2222.14"/>
    <n v="2514.81"/>
    <n v="0.18456643792888333"/>
    <x v="3"/>
    <x v="0"/>
    <n v="5"/>
    <x v="442"/>
    <s v="Retail"/>
    <x v="2"/>
  </r>
  <r>
    <x v="1117"/>
    <d v="2023-03-31T00:00:00"/>
    <x v="5"/>
    <x v="4"/>
    <n v="1363"/>
    <n v="10"/>
    <n v="0"/>
    <x v="1095"/>
    <n v="1040.29"/>
    <n v="3227.12"/>
    <n v="0.23676595744680851"/>
    <x v="5"/>
    <x v="0"/>
    <n v="13"/>
    <x v="136"/>
    <s v="Wholesale"/>
    <x v="2"/>
  </r>
  <r>
    <x v="1118"/>
    <d v="2023-01-02T00:00:00"/>
    <x v="8"/>
    <x v="2"/>
    <n v="1516"/>
    <n v="9"/>
    <n v="0"/>
    <x v="1096"/>
    <n v="1120.17"/>
    <n v="3562.45"/>
    <n v="0.26110011726766341"/>
    <x v="0"/>
    <x v="0"/>
    <n v="1"/>
    <x v="207"/>
    <s v="Retail"/>
    <x v="3"/>
  </r>
  <r>
    <x v="1119"/>
    <d v="2023-11-05T00:00:00"/>
    <x v="0"/>
    <x v="0"/>
    <n v="2680"/>
    <n v="6"/>
    <n v="15"/>
    <x v="1097"/>
    <n v="1755.41"/>
    <n v="3135.54"/>
    <n v="0.22940737489025462"/>
    <x v="4"/>
    <x v="0"/>
    <n v="45"/>
    <x v="355"/>
    <s v="Retail"/>
    <x v="1"/>
  </r>
  <r>
    <x v="1120"/>
    <d v="2023-10-07T00:00:00"/>
    <x v="8"/>
    <x v="2"/>
    <n v="2535"/>
    <n v="6"/>
    <n v="10"/>
    <x v="1098"/>
    <n v="1492.59"/>
    <n v="4733.43"/>
    <n v="0.34578347578347579"/>
    <x v="11"/>
    <x v="0"/>
    <n v="40"/>
    <x v="356"/>
    <s v="Wholesale"/>
    <x v="3"/>
  </r>
  <r>
    <x v="1121"/>
    <d v="2023-12-23T00:00:00"/>
    <x v="7"/>
    <x v="1"/>
    <n v="1371"/>
    <n v="10"/>
    <n v="0"/>
    <x v="1099"/>
    <n v="969.84"/>
    <n v="4011.62"/>
    <n v="0.29260539752005832"/>
    <x v="9"/>
    <x v="0"/>
    <n v="51"/>
    <x v="234"/>
    <s v="Retail"/>
    <x v="3"/>
  </r>
  <r>
    <x v="1122"/>
    <d v="2023-11-03T00:00:00"/>
    <x v="5"/>
    <x v="4"/>
    <n v="2406"/>
    <n v="6"/>
    <n v="5"/>
    <x v="1100"/>
    <n v="1772.33"/>
    <n v="3080.19"/>
    <n v="0.22459859124119524"/>
    <x v="4"/>
    <x v="0"/>
    <n v="44"/>
    <x v="430"/>
    <s v="Wholesale"/>
    <x v="3"/>
  </r>
  <r>
    <x v="1123"/>
    <d v="2023-10-27T00:00:00"/>
    <x v="0"/>
    <x v="0"/>
    <n v="1694"/>
    <n v="9"/>
    <n v="10"/>
    <x v="1101"/>
    <n v="1297.42"/>
    <n v="2044.63"/>
    <n v="0.14901030507091115"/>
    <x v="11"/>
    <x v="0"/>
    <n v="43"/>
    <x v="344"/>
    <s v="Wholesale"/>
    <x v="1"/>
  </r>
  <r>
    <x v="1124"/>
    <d v="2023-04-07T00:00:00"/>
    <x v="9"/>
    <x v="5"/>
    <n v="1961"/>
    <n v="7"/>
    <n v="0"/>
    <x v="1102"/>
    <n v="1360.93"/>
    <n v="4200.5200000000004"/>
    <n v="0.30600422524950832"/>
    <x v="7"/>
    <x v="0"/>
    <n v="14"/>
    <x v="336"/>
    <s v="Retail"/>
    <x v="1"/>
  </r>
  <r>
    <x v="1125"/>
    <d v="2023-12-10T00:00:00"/>
    <x v="3"/>
    <x v="3"/>
    <n v="4824"/>
    <n v="3"/>
    <n v="5"/>
    <x v="1103"/>
    <n v="3815.42"/>
    <n v="2302.14"/>
    <n v="0.16744784847691369"/>
    <x v="9"/>
    <x v="0"/>
    <n v="50"/>
    <x v="3"/>
    <s v="Wholesale"/>
    <x v="0"/>
  </r>
  <r>
    <x v="1126"/>
    <d v="2023-06-14T00:00:00"/>
    <x v="9"/>
    <x v="5"/>
    <n v="2696"/>
    <n v="6"/>
    <n v="15"/>
    <x v="1104"/>
    <n v="1862.43"/>
    <n v="2575.02"/>
    <n v="0.18727962995287134"/>
    <x v="10"/>
    <x v="0"/>
    <n v="24"/>
    <x v="221"/>
    <s v="Retail"/>
    <x v="2"/>
  </r>
  <r>
    <x v="1127"/>
    <d v="2023-11-15T00:00:00"/>
    <x v="5"/>
    <x v="4"/>
    <n v="2753"/>
    <n v="5"/>
    <n v="0"/>
    <x v="1105"/>
    <n v="1675.24"/>
    <n v="5388.79"/>
    <n v="0.39148492553577913"/>
    <x v="4"/>
    <x v="0"/>
    <n v="46"/>
    <x v="443"/>
    <s v="Retail"/>
    <x v="3"/>
  </r>
  <r>
    <x v="1128"/>
    <d v="2023-05-06T00:00:00"/>
    <x v="3"/>
    <x v="3"/>
    <n v="1530"/>
    <n v="10"/>
    <n v="10"/>
    <x v="1106"/>
    <n v="767.67"/>
    <n v="6093.33"/>
    <n v="0.44250762527233117"/>
    <x v="2"/>
    <x v="0"/>
    <n v="18"/>
    <x v="23"/>
    <s v="Retail"/>
    <x v="2"/>
  </r>
  <r>
    <x v="1129"/>
    <d v="2023-05-03T00:00:00"/>
    <x v="1"/>
    <x v="1"/>
    <n v="4053"/>
    <n v="4"/>
    <n v="15"/>
    <x v="1107"/>
    <n v="3123.14"/>
    <n v="1287.6500000000001"/>
    <n v="9.344204002844661E-2"/>
    <x v="2"/>
    <x v="0"/>
    <n v="18"/>
    <x v="444"/>
    <s v="Wholesale"/>
    <x v="2"/>
  </r>
  <r>
    <x v="1130"/>
    <d v="2023-12-15T00:00:00"/>
    <x v="8"/>
    <x v="2"/>
    <n v="1916"/>
    <n v="8"/>
    <n v="10"/>
    <x v="1108"/>
    <n v="1503.61"/>
    <n v="1766.29"/>
    <n v="0.12803656344235675"/>
    <x v="9"/>
    <x v="0"/>
    <n v="50"/>
    <x v="29"/>
    <s v="Retail"/>
    <x v="1"/>
  </r>
  <r>
    <x v="1131"/>
    <d v="2023-08-25T00:00:00"/>
    <x v="5"/>
    <x v="4"/>
    <n v="1805"/>
    <n v="9"/>
    <n v="15"/>
    <x v="1109"/>
    <n v="952.04"/>
    <n v="5239.88"/>
    <n v="0.37947458946644219"/>
    <x v="6"/>
    <x v="0"/>
    <n v="34"/>
    <x v="315"/>
    <s v="Wholesale"/>
    <x v="1"/>
  </r>
  <r>
    <x v="1132"/>
    <d v="2023-01-10T00:00:00"/>
    <x v="7"/>
    <x v="1"/>
    <n v="1381"/>
    <n v="10"/>
    <n v="0"/>
    <x v="1110"/>
    <n v="830.22"/>
    <n v="5507.77"/>
    <n v="0.39882476466328748"/>
    <x v="0"/>
    <x v="0"/>
    <n v="2"/>
    <x v="445"/>
    <s v="Wholesale"/>
    <x v="0"/>
  </r>
  <r>
    <x v="1133"/>
    <d v="2023-01-16T00:00:00"/>
    <x v="6"/>
    <x v="0"/>
    <n v="2304"/>
    <n v="6"/>
    <n v="0"/>
    <x v="1111"/>
    <n v="1545.64"/>
    <n v="4550.1899999999996"/>
    <n v="0.32915147569444442"/>
    <x v="0"/>
    <x v="0"/>
    <n v="3"/>
    <x v="29"/>
    <s v="Retail"/>
    <x v="3"/>
  </r>
  <r>
    <x v="1134"/>
    <d v="2023-06-15T00:00:00"/>
    <x v="0"/>
    <x v="0"/>
    <n v="2920"/>
    <n v="5"/>
    <n v="5"/>
    <x v="1112"/>
    <n v="1855.7"/>
    <n v="4591.49"/>
    <n v="0.33103749098774332"/>
    <x v="10"/>
    <x v="0"/>
    <n v="24"/>
    <x v="17"/>
    <s v="Retail"/>
    <x v="3"/>
  </r>
  <r>
    <x v="1135"/>
    <d v="2023-12-07T00:00:00"/>
    <x v="6"/>
    <x v="0"/>
    <n v="1546"/>
    <n v="9"/>
    <n v="0"/>
    <x v="1113"/>
    <n v="1117.5999999999999"/>
    <n v="3855.59"/>
    <n v="0.27710148052321404"/>
    <x v="9"/>
    <x v="0"/>
    <n v="49"/>
    <x v="252"/>
    <s v="Wholesale"/>
    <x v="1"/>
  </r>
  <r>
    <x v="1136"/>
    <d v="2023-06-21T00:00:00"/>
    <x v="3"/>
    <x v="3"/>
    <n v="4883"/>
    <n v="3"/>
    <n v="5"/>
    <x v="1114"/>
    <n v="3853.33"/>
    <n v="2356.5500000000002"/>
    <n v="0.16933435370116878"/>
    <x v="10"/>
    <x v="0"/>
    <n v="25"/>
    <x v="348"/>
    <s v="Wholesale"/>
    <x v="1"/>
  </r>
  <r>
    <x v="1137"/>
    <d v="2023-11-19T00:00:00"/>
    <x v="5"/>
    <x v="4"/>
    <n v="1934"/>
    <n v="8"/>
    <n v="10"/>
    <x v="1115"/>
    <n v="1344.14"/>
    <n v="3171.67"/>
    <n v="0.22777131448925658"/>
    <x v="4"/>
    <x v="0"/>
    <n v="47"/>
    <x v="201"/>
    <s v="Retail"/>
    <x v="2"/>
  </r>
  <r>
    <x v="1138"/>
    <d v="2023-06-19T00:00:00"/>
    <x v="9"/>
    <x v="5"/>
    <n v="1549"/>
    <n v="10"/>
    <n v="10"/>
    <x v="1116"/>
    <n v="886.18"/>
    <n v="5079.2"/>
    <n v="0.36433541352844129"/>
    <x v="10"/>
    <x v="0"/>
    <n v="25"/>
    <x v="446"/>
    <s v="Retail"/>
    <x v="1"/>
  </r>
  <r>
    <x v="1139"/>
    <d v="2023-12-21T00:00:00"/>
    <x v="0"/>
    <x v="0"/>
    <n v="1631"/>
    <n v="9"/>
    <n v="5"/>
    <x v="1117"/>
    <n v="1220.8599999999999"/>
    <n v="2957.34"/>
    <n v="0.21207094990695624"/>
    <x v="9"/>
    <x v="0"/>
    <n v="51"/>
    <x v="397"/>
    <s v="Wholesale"/>
    <x v="3"/>
  </r>
  <r>
    <x v="1140"/>
    <d v="2023-09-01T00:00:00"/>
    <x v="2"/>
    <x v="2"/>
    <n v="2346"/>
    <n v="7"/>
    <n v="15"/>
    <x v="1118"/>
    <n v="1868.49"/>
    <n v="879.26"/>
    <n v="6.299010652854492E-2"/>
    <x v="8"/>
    <x v="0"/>
    <n v="35"/>
    <x v="369"/>
    <s v="Wholesale"/>
    <x v="0"/>
  </r>
  <r>
    <x v="1141"/>
    <d v="2023-11-16T00:00:00"/>
    <x v="1"/>
    <x v="1"/>
    <n v="3684"/>
    <n v="4"/>
    <n v="5"/>
    <x v="1119"/>
    <n v="2134.9699999999998"/>
    <n v="5459.31"/>
    <n v="0.38997299845705469"/>
    <x v="4"/>
    <x v="0"/>
    <n v="46"/>
    <x v="307"/>
    <s v="Wholesale"/>
    <x v="3"/>
  </r>
  <r>
    <x v="1142"/>
    <d v="2023-03-20T00:00:00"/>
    <x v="9"/>
    <x v="5"/>
    <n v="1845"/>
    <n v="8"/>
    <n v="5"/>
    <x v="1120"/>
    <n v="1012.97"/>
    <n v="5918.21"/>
    <n v="0.42206603908144347"/>
    <x v="5"/>
    <x v="0"/>
    <n v="12"/>
    <x v="158"/>
    <s v="Retail"/>
    <x v="3"/>
  </r>
  <r>
    <x v="1143"/>
    <d v="2023-07-17T00:00:00"/>
    <x v="7"/>
    <x v="1"/>
    <n v="4927"/>
    <n v="3"/>
    <n v="5"/>
    <x v="1121"/>
    <n v="3107.05"/>
    <n v="4720.8100000000004"/>
    <n v="0.33619333497128251"/>
    <x v="1"/>
    <x v="0"/>
    <n v="29"/>
    <x v="56"/>
    <s v="Wholesale"/>
    <x v="1"/>
  </r>
  <r>
    <x v="1144"/>
    <d v="2023-01-26T00:00:00"/>
    <x v="7"/>
    <x v="1"/>
    <n v="4930"/>
    <n v="3"/>
    <n v="5"/>
    <x v="1122"/>
    <n v="3444.29"/>
    <n v="3717.63"/>
    <n v="0.26459058396498347"/>
    <x v="0"/>
    <x v="0"/>
    <n v="4"/>
    <x v="155"/>
    <s v="Wholesale"/>
    <x v="2"/>
  </r>
  <r>
    <x v="1145"/>
    <d v="2023-02-13T00:00:00"/>
    <x v="0"/>
    <x v="0"/>
    <n v="3903"/>
    <n v="4"/>
    <n v="10"/>
    <x v="1123"/>
    <n v="2560.92"/>
    <n v="3807.1"/>
    <n v="0.27095254362740911"/>
    <x v="3"/>
    <x v="0"/>
    <n v="7"/>
    <x v="447"/>
    <s v="Retail"/>
    <x v="3"/>
  </r>
  <r>
    <x v="1146"/>
    <d v="2023-03-26T00:00:00"/>
    <x v="1"/>
    <x v="1"/>
    <n v="4693"/>
    <n v="3"/>
    <n v="0"/>
    <x v="1124"/>
    <n v="3376.01"/>
    <n v="3950.97"/>
    <n v="0.28062859578095034"/>
    <x v="5"/>
    <x v="0"/>
    <n v="13"/>
    <x v="448"/>
    <s v="Retail"/>
    <x v="0"/>
  </r>
  <r>
    <x v="1147"/>
    <d v="2023-01-27T00:00:00"/>
    <x v="7"/>
    <x v="1"/>
    <n v="2765"/>
    <n v="6"/>
    <n v="15"/>
    <x v="1125"/>
    <n v="1847.62"/>
    <n v="3015.75"/>
    <n v="0.21386022763535795"/>
    <x v="0"/>
    <x v="0"/>
    <n v="4"/>
    <x v="408"/>
    <s v="Wholesale"/>
    <x v="0"/>
  </r>
  <r>
    <x v="1148"/>
    <d v="2023-05-02T00:00:00"/>
    <x v="8"/>
    <x v="2"/>
    <n v="2970"/>
    <n v="5"/>
    <n v="5"/>
    <x v="1126"/>
    <n v="1652.13"/>
    <n v="5846.87"/>
    <n v="0.41445117845117846"/>
    <x v="2"/>
    <x v="0"/>
    <n v="18"/>
    <x v="449"/>
    <s v="Retail"/>
    <x v="0"/>
  </r>
  <r>
    <x v="1149"/>
    <d v="2023-10-05T00:00:00"/>
    <x v="9"/>
    <x v="5"/>
    <n v="2476"/>
    <n v="6"/>
    <n v="5"/>
    <x v="1127"/>
    <n v="1274.57"/>
    <n v="6465.78"/>
    <n v="0.45813706317490005"/>
    <x v="11"/>
    <x v="0"/>
    <n v="40"/>
    <x v="270"/>
    <s v="Wholesale"/>
    <x v="0"/>
  </r>
  <r>
    <x v="1150"/>
    <d v="2023-08-24T00:00:00"/>
    <x v="7"/>
    <x v="1"/>
    <n v="3718"/>
    <n v="4"/>
    <n v="5"/>
    <x v="1128"/>
    <n v="2850.8"/>
    <n v="2725.19"/>
    <n v="0.19288737578211262"/>
    <x v="6"/>
    <x v="0"/>
    <n v="34"/>
    <x v="166"/>
    <s v="Retail"/>
    <x v="3"/>
  </r>
  <r>
    <x v="1151"/>
    <d v="2023-08-14T00:00:00"/>
    <x v="6"/>
    <x v="0"/>
    <n v="2978"/>
    <n v="5"/>
    <n v="5"/>
    <x v="1129"/>
    <n v="2156.41"/>
    <n v="3363.44"/>
    <n v="0.23777455727970026"/>
    <x v="6"/>
    <x v="0"/>
    <n v="33"/>
    <x v="450"/>
    <s v="Wholesale"/>
    <x v="1"/>
  </r>
  <r>
    <x v="1152"/>
    <d v="2023-03-08T00:00:00"/>
    <x v="4"/>
    <x v="3"/>
    <n v="2981"/>
    <n v="5"/>
    <n v="5"/>
    <x v="1130"/>
    <n v="1596.68"/>
    <n v="6176.36"/>
    <n v="0.43619131693709279"/>
    <x v="5"/>
    <x v="0"/>
    <n v="10"/>
    <x v="110"/>
    <s v="Wholesale"/>
    <x v="3"/>
  </r>
  <r>
    <x v="1153"/>
    <d v="2023-01-26T00:00:00"/>
    <x v="0"/>
    <x v="0"/>
    <n v="1417"/>
    <n v="10"/>
    <n v="0"/>
    <x v="1131"/>
    <n v="952.8"/>
    <n v="4642.04"/>
    <n v="0.32759633027522933"/>
    <x v="0"/>
    <x v="0"/>
    <n v="4"/>
    <x v="392"/>
    <s v="Wholesale"/>
    <x v="3"/>
  </r>
  <r>
    <x v="1154"/>
    <d v="2023-08-20T00:00:00"/>
    <x v="3"/>
    <x v="3"/>
    <n v="4170"/>
    <n v="4"/>
    <n v="15"/>
    <x v="1132"/>
    <n v="2391.7199999999998"/>
    <n v="4611.1099999999997"/>
    <n v="0.32522993370009873"/>
    <x v="6"/>
    <x v="0"/>
    <n v="34"/>
    <x v="372"/>
    <s v="Retail"/>
    <x v="0"/>
  </r>
  <r>
    <x v="1155"/>
    <d v="2023-04-30T00:00:00"/>
    <x v="1"/>
    <x v="1"/>
    <n v="4181"/>
    <n v="4"/>
    <n v="15"/>
    <x v="1133"/>
    <n v="3210.8"/>
    <n v="1372.18"/>
    <n v="9.6527709385595906E-2"/>
    <x v="7"/>
    <x v="0"/>
    <n v="18"/>
    <x v="398"/>
    <s v="Wholesale"/>
    <x v="2"/>
  </r>
  <r>
    <x v="1156"/>
    <d v="2023-06-21T00:00:00"/>
    <x v="5"/>
    <x v="4"/>
    <n v="2495"/>
    <n v="6"/>
    <n v="5"/>
    <x v="1134"/>
    <n v="1589.99"/>
    <n v="4681.57"/>
    <n v="0.32918960728474489"/>
    <x v="10"/>
    <x v="0"/>
    <n v="25"/>
    <x v="8"/>
    <s v="Wholesale"/>
    <x v="2"/>
  </r>
  <r>
    <x v="1157"/>
    <d v="2023-11-02T00:00:00"/>
    <x v="4"/>
    <x v="3"/>
    <n v="2140"/>
    <n v="7"/>
    <n v="5"/>
    <x v="1135"/>
    <n v="1610.09"/>
    <n v="2960.39"/>
    <n v="0.20802403204272363"/>
    <x v="4"/>
    <x v="0"/>
    <n v="44"/>
    <x v="155"/>
    <s v="Wholesale"/>
    <x v="3"/>
  </r>
  <r>
    <x v="1158"/>
    <d v="2023-11-28T00:00:00"/>
    <x v="6"/>
    <x v="0"/>
    <n v="3749"/>
    <n v="4"/>
    <n v="5"/>
    <x v="1136"/>
    <n v="2633.63"/>
    <n v="3711.66"/>
    <n v="0.26053684491302942"/>
    <x v="4"/>
    <x v="0"/>
    <n v="48"/>
    <x v="79"/>
    <s v="Wholesale"/>
    <x v="1"/>
  </r>
  <r>
    <x v="1159"/>
    <d v="2023-08-16T00:00:00"/>
    <x v="7"/>
    <x v="1"/>
    <n v="1759"/>
    <n v="9"/>
    <n v="10"/>
    <x v="1137"/>
    <n v="918.73"/>
    <n v="5979.35"/>
    <n v="0.41966535419254769"/>
    <x v="6"/>
    <x v="0"/>
    <n v="33"/>
    <x v="442"/>
    <s v="Retail"/>
    <x v="0"/>
  </r>
  <r>
    <x v="1160"/>
    <d v="2023-06-07T00:00:00"/>
    <x v="8"/>
    <x v="2"/>
    <n v="3564"/>
    <n v="4"/>
    <n v="0"/>
    <x v="1138"/>
    <n v="2797.69"/>
    <n v="3065.23"/>
    <n v="0.21501332772166107"/>
    <x v="10"/>
    <x v="0"/>
    <n v="23"/>
    <x v="56"/>
    <s v="Retail"/>
    <x v="1"/>
  </r>
  <r>
    <x v="1161"/>
    <d v="2023-08-16T00:00:00"/>
    <x v="6"/>
    <x v="0"/>
    <n v="4197"/>
    <n v="4"/>
    <n v="15"/>
    <x v="1139"/>
    <n v="2145.54"/>
    <n v="5687.63"/>
    <n v="0.39857811602124771"/>
    <x v="6"/>
    <x v="0"/>
    <n v="33"/>
    <x v="357"/>
    <s v="Retail"/>
    <x v="1"/>
  </r>
  <r>
    <x v="1162"/>
    <d v="2023-01-20T00:00:00"/>
    <x v="4"/>
    <x v="3"/>
    <n v="4761"/>
    <n v="3"/>
    <n v="0"/>
    <x v="1140"/>
    <n v="2644.2"/>
    <n v="6350.39"/>
    <n v="0.44461177623748516"/>
    <x v="0"/>
    <x v="0"/>
    <n v="3"/>
    <x v="91"/>
    <s v="Wholesale"/>
    <x v="0"/>
  </r>
  <r>
    <x v="1163"/>
    <d v="2023-02-16T00:00:00"/>
    <x v="5"/>
    <x v="4"/>
    <n v="1587"/>
    <n v="10"/>
    <n v="10"/>
    <x v="1140"/>
    <n v="1194.04"/>
    <n v="2342.56"/>
    <n v="0.16401036196877405"/>
    <x v="3"/>
    <x v="0"/>
    <n v="7"/>
    <x v="336"/>
    <s v="Wholesale"/>
    <x v="2"/>
  </r>
  <r>
    <x v="1164"/>
    <d v="2023-05-05T00:00:00"/>
    <x v="4"/>
    <x v="3"/>
    <n v="1588"/>
    <n v="10"/>
    <n v="10"/>
    <x v="1141"/>
    <n v="1145.55"/>
    <n v="2836.46"/>
    <n v="0.19846487545479988"/>
    <x v="2"/>
    <x v="0"/>
    <n v="18"/>
    <x v="231"/>
    <s v="Retail"/>
    <x v="1"/>
  </r>
  <r>
    <x v="1165"/>
    <d v="2023-02-07T00:00:00"/>
    <x v="8"/>
    <x v="2"/>
    <n v="3185"/>
    <n v="5"/>
    <n v="10"/>
    <x v="1142"/>
    <n v="1626.76"/>
    <n v="6198.69"/>
    <n v="0.43249188906331759"/>
    <x v="3"/>
    <x v="0"/>
    <n v="6"/>
    <x v="56"/>
    <s v="Retail"/>
    <x v="2"/>
  </r>
  <r>
    <x v="1166"/>
    <d v="2023-07-03T00:00:00"/>
    <x v="3"/>
    <x v="3"/>
    <n v="1434"/>
    <n v="10"/>
    <n v="0"/>
    <x v="1143"/>
    <n v="799.45"/>
    <n v="6345.51"/>
    <n v="0.44250418410041842"/>
    <x v="1"/>
    <x v="0"/>
    <n v="27"/>
    <x v="398"/>
    <s v="Retail"/>
    <x v="3"/>
  </r>
  <r>
    <x v="1167"/>
    <d v="2023-10-13T00:00:00"/>
    <x v="0"/>
    <x v="0"/>
    <n v="2868"/>
    <n v="5"/>
    <n v="0"/>
    <x v="1143"/>
    <n v="1859.62"/>
    <n v="5041.8900000000003"/>
    <n v="0.35159623430962345"/>
    <x v="11"/>
    <x v="0"/>
    <n v="41"/>
    <x v="377"/>
    <s v="Retail"/>
    <x v="2"/>
  </r>
  <r>
    <x v="1168"/>
    <d v="2023-01-05T00:00:00"/>
    <x v="7"/>
    <x v="1"/>
    <n v="3775"/>
    <n v="4"/>
    <n v="5"/>
    <x v="1144"/>
    <n v="2214.84"/>
    <n v="5485.64"/>
    <n v="0.38240780759846638"/>
    <x v="0"/>
    <x v="0"/>
    <n v="1"/>
    <x v="32"/>
    <s v="Retail"/>
    <x v="3"/>
  </r>
  <r>
    <x v="1169"/>
    <d v="2023-02-19T00:00:00"/>
    <x v="9"/>
    <x v="5"/>
    <n v="2874"/>
    <n v="5"/>
    <n v="0"/>
    <x v="1145"/>
    <n v="1642.15"/>
    <n v="6159.26"/>
    <n v="0.4286193458594294"/>
    <x v="3"/>
    <x v="0"/>
    <n v="8"/>
    <x v="194"/>
    <s v="Retail"/>
    <x v="0"/>
  </r>
  <r>
    <x v="1170"/>
    <d v="2023-03-05T00:00:00"/>
    <x v="0"/>
    <x v="0"/>
    <n v="3998"/>
    <n v="4"/>
    <n v="10"/>
    <x v="1146"/>
    <n v="2031.82"/>
    <n v="6265.51"/>
    <n v="0.43532252237229729"/>
    <x v="5"/>
    <x v="0"/>
    <n v="10"/>
    <x v="418"/>
    <s v="Wholesale"/>
    <x v="3"/>
  </r>
  <r>
    <x v="1171"/>
    <d v="2023-07-10T00:00:00"/>
    <x v="0"/>
    <x v="0"/>
    <n v="4244"/>
    <n v="4"/>
    <n v="15"/>
    <x v="1147"/>
    <n v="3171.58"/>
    <n v="1743.28"/>
    <n v="0.1208127737428619"/>
    <x v="1"/>
    <x v="0"/>
    <n v="28"/>
    <x v="171"/>
    <s v="Retail"/>
    <x v="2"/>
  </r>
  <r>
    <x v="1172"/>
    <d v="2023-05-06T00:00:00"/>
    <x v="1"/>
    <x v="1"/>
    <n v="1700"/>
    <n v="10"/>
    <n v="15"/>
    <x v="1148"/>
    <n v="1298.8499999999999"/>
    <n v="1461.54"/>
    <n v="0.10114463667820069"/>
    <x v="2"/>
    <x v="0"/>
    <n v="18"/>
    <x v="314"/>
    <s v="Wholesale"/>
    <x v="1"/>
  </r>
  <r>
    <x v="1173"/>
    <d v="2023-10-10T00:00:00"/>
    <x v="0"/>
    <x v="0"/>
    <n v="3221"/>
    <n v="5"/>
    <n v="10"/>
    <x v="1149"/>
    <n v="1810.5"/>
    <n v="5441.98"/>
    <n v="0.37545137810893786"/>
    <x v="11"/>
    <x v="0"/>
    <n v="41"/>
    <x v="282"/>
    <s v="Wholesale"/>
    <x v="2"/>
  </r>
  <r>
    <x v="1174"/>
    <d v="2023-10-12T00:00:00"/>
    <x v="0"/>
    <x v="0"/>
    <n v="1615"/>
    <n v="9"/>
    <n v="0"/>
    <x v="1150"/>
    <n v="922.76"/>
    <n v="6230.16"/>
    <n v="0.42863157894736842"/>
    <x v="11"/>
    <x v="0"/>
    <n v="41"/>
    <x v="376"/>
    <s v="Retail"/>
    <x v="3"/>
  </r>
  <r>
    <x v="1175"/>
    <d v="2023-08-12T00:00:00"/>
    <x v="9"/>
    <x v="5"/>
    <n v="2077"/>
    <n v="7"/>
    <n v="0"/>
    <x v="1151"/>
    <n v="1231.81"/>
    <n v="5916.35"/>
    <n v="0.40692963752665245"/>
    <x v="6"/>
    <x v="0"/>
    <n v="32"/>
    <x v="379"/>
    <s v="Wholesale"/>
    <x v="1"/>
  </r>
  <r>
    <x v="1176"/>
    <d v="2023-09-23T00:00:00"/>
    <x v="2"/>
    <x v="2"/>
    <n v="3233"/>
    <n v="5"/>
    <n v="10"/>
    <x v="1152"/>
    <n v="2352.27"/>
    <n v="2787.16"/>
    <n v="0.1915771385366189"/>
    <x v="8"/>
    <x v="0"/>
    <n v="38"/>
    <x v="243"/>
    <s v="Wholesale"/>
    <x v="2"/>
  </r>
  <r>
    <x v="1177"/>
    <d v="2023-08-22T00:00:00"/>
    <x v="5"/>
    <x v="4"/>
    <n v="1457"/>
    <n v="10"/>
    <n v="0"/>
    <x v="1153"/>
    <n v="904.14"/>
    <n v="5528.55"/>
    <n v="0.37944749485243651"/>
    <x v="6"/>
    <x v="0"/>
    <n v="34"/>
    <x v="36"/>
    <s v="Retail"/>
    <x v="2"/>
  </r>
  <r>
    <x v="1178"/>
    <d v="2023-12-31T00:00:00"/>
    <x v="0"/>
    <x v="0"/>
    <n v="1799"/>
    <n v="9"/>
    <n v="10"/>
    <x v="1154"/>
    <n v="1263.07"/>
    <n v="3204.23"/>
    <n v="0.21989102313356529"/>
    <x v="9"/>
    <x v="0"/>
    <n v="53"/>
    <x v="124"/>
    <s v="Wholesale"/>
    <x v="1"/>
  </r>
  <r>
    <x v="1179"/>
    <d v="2023-02-10T00:00:00"/>
    <x v="5"/>
    <x v="4"/>
    <n v="4868"/>
    <n v="3"/>
    <n v="0"/>
    <x v="1155"/>
    <n v="3356.08"/>
    <n v="4535.7700000000004"/>
    <n v="0.31058408655162972"/>
    <x v="3"/>
    <x v="0"/>
    <n v="6"/>
    <x v="230"/>
    <s v="Retail"/>
    <x v="2"/>
  </r>
  <r>
    <x v="1180"/>
    <d v="2023-09-10T00:00:00"/>
    <x v="3"/>
    <x v="3"/>
    <n v="1923"/>
    <n v="8"/>
    <n v="5"/>
    <x v="1156"/>
    <n v="1126.8"/>
    <n v="5600.44"/>
    <n v="0.3832033281331253"/>
    <x v="8"/>
    <x v="0"/>
    <n v="37"/>
    <x v="54"/>
    <s v="Wholesale"/>
    <x v="3"/>
  </r>
  <r>
    <x v="1181"/>
    <d v="2023-09-12T00:00:00"/>
    <x v="5"/>
    <x v="4"/>
    <n v="2707"/>
    <n v="6"/>
    <n v="10"/>
    <x v="1157"/>
    <n v="1906.45"/>
    <n v="3179.11"/>
    <n v="0.2174821108511541"/>
    <x v="8"/>
    <x v="0"/>
    <n v="37"/>
    <x v="176"/>
    <s v="Wholesale"/>
    <x v="0"/>
  </r>
  <r>
    <x v="1182"/>
    <d v="2023-04-04T00:00:00"/>
    <x v="2"/>
    <x v="2"/>
    <n v="3250"/>
    <n v="5"/>
    <n v="10"/>
    <x v="1158"/>
    <n v="2153.66"/>
    <n v="3856.68"/>
    <n v="0.26370461538461537"/>
    <x v="7"/>
    <x v="0"/>
    <n v="14"/>
    <x v="288"/>
    <s v="Retail"/>
    <x v="3"/>
  </r>
  <r>
    <x v="1183"/>
    <d v="2023-01-28T00:00:00"/>
    <x v="1"/>
    <x v="1"/>
    <n v="2868"/>
    <n v="6"/>
    <n v="15"/>
    <x v="1159"/>
    <n v="2043.9"/>
    <n v="2363.39"/>
    <n v="0.16157942954029589"/>
    <x v="0"/>
    <x v="0"/>
    <n v="4"/>
    <x v="413"/>
    <s v="Retail"/>
    <x v="3"/>
  </r>
  <r>
    <x v="1184"/>
    <d v="2023-11-09T00:00:00"/>
    <x v="7"/>
    <x v="1"/>
    <n v="4309"/>
    <n v="4"/>
    <n v="15"/>
    <x v="1160"/>
    <n v="2879.2"/>
    <n v="3133.81"/>
    <n v="0.21390318485249751"/>
    <x v="4"/>
    <x v="0"/>
    <n v="45"/>
    <x v="285"/>
    <s v="Retail"/>
    <x v="0"/>
  </r>
  <r>
    <x v="1185"/>
    <d v="2023-05-29T00:00:00"/>
    <x v="9"/>
    <x v="5"/>
    <n v="1715"/>
    <n v="9"/>
    <n v="5"/>
    <x v="1161"/>
    <n v="873.61"/>
    <n v="6800.73"/>
    <n v="0.46379417932586564"/>
    <x v="2"/>
    <x v="0"/>
    <n v="22"/>
    <x v="215"/>
    <s v="Retail"/>
    <x v="0"/>
  </r>
  <r>
    <x v="1186"/>
    <d v="2023-02-27T00:00:00"/>
    <x v="7"/>
    <x v="1"/>
    <n v="1833"/>
    <n v="8"/>
    <n v="0"/>
    <x v="1162"/>
    <n v="1325.61"/>
    <n v="4059.14"/>
    <n v="0.2768098745226405"/>
    <x v="3"/>
    <x v="0"/>
    <n v="9"/>
    <x v="271"/>
    <s v="Retail"/>
    <x v="1"/>
  </r>
  <r>
    <x v="1187"/>
    <d v="2023-05-07T00:00:00"/>
    <x v="6"/>
    <x v="0"/>
    <n v="1470"/>
    <n v="10"/>
    <n v="0"/>
    <x v="1163"/>
    <n v="1032.31"/>
    <n v="4376.9399999999996"/>
    <n v="0.29775102040816326"/>
    <x v="2"/>
    <x v="0"/>
    <n v="19"/>
    <x v="410"/>
    <s v="Retail"/>
    <x v="3"/>
  </r>
  <r>
    <x v="1188"/>
    <d v="2023-09-20T00:00:00"/>
    <x v="4"/>
    <x v="3"/>
    <n v="4909"/>
    <n v="3"/>
    <n v="0"/>
    <x v="1164"/>
    <n v="3019.92"/>
    <n v="5667.25"/>
    <n v="0.38482039790860323"/>
    <x v="8"/>
    <x v="0"/>
    <n v="38"/>
    <x v="272"/>
    <s v="Retail"/>
    <x v="0"/>
  </r>
  <r>
    <x v="1189"/>
    <d v="2023-10-20T00:00:00"/>
    <x v="3"/>
    <x v="3"/>
    <n v="4335"/>
    <n v="4"/>
    <n v="15"/>
    <x v="1165"/>
    <n v="2374.84"/>
    <n v="5239.6400000000003"/>
    <n v="0.35549494538299753"/>
    <x v="11"/>
    <x v="0"/>
    <n v="42"/>
    <x v="270"/>
    <s v="Retail"/>
    <x v="2"/>
  </r>
  <r>
    <x v="1190"/>
    <d v="2023-09-10T00:00:00"/>
    <x v="3"/>
    <x v="3"/>
    <n v="1476"/>
    <n v="10"/>
    <n v="0"/>
    <x v="1166"/>
    <n v="791.81"/>
    <n v="6841.89"/>
    <n v="0.46354268292682926"/>
    <x v="8"/>
    <x v="0"/>
    <n v="37"/>
    <x v="264"/>
    <s v="Retail"/>
    <x v="2"/>
  </r>
  <r>
    <x v="1191"/>
    <d v="2023-02-28T00:00:00"/>
    <x v="0"/>
    <x v="0"/>
    <n v="2899"/>
    <n v="6"/>
    <n v="15"/>
    <x v="1167"/>
    <n v="2201.61"/>
    <n v="1575.23"/>
    <n v="0.10654316228043477"/>
    <x v="3"/>
    <x v="0"/>
    <n v="9"/>
    <x v="451"/>
    <s v="Retail"/>
    <x v="2"/>
  </r>
  <r>
    <x v="1192"/>
    <d v="2023-05-01T00:00:00"/>
    <x v="6"/>
    <x v="0"/>
    <n v="2738"/>
    <n v="6"/>
    <n v="10"/>
    <x v="1168"/>
    <n v="1698.21"/>
    <n v="4595.95"/>
    <n v="0.31084801017233449"/>
    <x v="2"/>
    <x v="0"/>
    <n v="18"/>
    <x v="276"/>
    <s v="Wholesale"/>
    <x v="3"/>
  </r>
  <r>
    <x v="1193"/>
    <d v="2023-06-12T00:00:00"/>
    <x v="9"/>
    <x v="5"/>
    <n v="3892"/>
    <n v="4"/>
    <n v="5"/>
    <x v="1169"/>
    <n v="2737.9"/>
    <n v="3838.02"/>
    <n v="0.25950803267160705"/>
    <x v="10"/>
    <x v="0"/>
    <n v="24"/>
    <x v="92"/>
    <s v="Wholesale"/>
    <x v="1"/>
  </r>
  <r>
    <x v="1194"/>
    <d v="2023-11-28T00:00:00"/>
    <x v="0"/>
    <x v="0"/>
    <n v="3896"/>
    <n v="4"/>
    <n v="5"/>
    <x v="1170"/>
    <n v="2818.43"/>
    <n v="3531.06"/>
    <n v="0.23850778126013186"/>
    <x v="4"/>
    <x v="0"/>
    <n v="48"/>
    <x v="7"/>
    <s v="Wholesale"/>
    <x v="3"/>
  </r>
  <r>
    <x v="1195"/>
    <d v="2023-02-27T00:00:00"/>
    <x v="9"/>
    <x v="5"/>
    <n v="4937"/>
    <n v="3"/>
    <n v="0"/>
    <x v="1171"/>
    <n v="3068.79"/>
    <n v="5604.64"/>
    <n v="0.37841064073999059"/>
    <x v="3"/>
    <x v="0"/>
    <n v="9"/>
    <x v="332"/>
    <s v="Retail"/>
    <x v="1"/>
  </r>
  <r>
    <x v="1196"/>
    <d v="2023-05-25T00:00:00"/>
    <x v="3"/>
    <x v="3"/>
    <n v="2493"/>
    <n v="7"/>
    <n v="15"/>
    <x v="1172"/>
    <n v="1884.54"/>
    <n v="1641.55"/>
    <n v="0.11066616779082269"/>
    <x v="2"/>
    <x v="0"/>
    <n v="21"/>
    <x v="307"/>
    <s v="Wholesale"/>
    <x v="2"/>
  </r>
  <r>
    <x v="1197"/>
    <d v="2023-08-18T00:00:00"/>
    <x v="9"/>
    <x v="5"/>
    <n v="2233"/>
    <n v="7"/>
    <n v="5"/>
    <x v="1173"/>
    <n v="1781.04"/>
    <n v="2382.1799999999998"/>
    <n v="0.16042210317553846"/>
    <x v="6"/>
    <x v="0"/>
    <n v="33"/>
    <x v="95"/>
    <s v="Retail"/>
    <x v="2"/>
  </r>
  <r>
    <x v="1198"/>
    <d v="2023-07-29T00:00:00"/>
    <x v="5"/>
    <x v="4"/>
    <n v="3908"/>
    <n v="4"/>
    <n v="5"/>
    <x v="1174"/>
    <n v="2179.1999999999998"/>
    <n v="6133.6"/>
    <n v="0.41302591175995262"/>
    <x v="1"/>
    <x v="0"/>
    <n v="30"/>
    <x v="275"/>
    <s v="Wholesale"/>
    <x v="2"/>
  </r>
  <r>
    <x v="1199"/>
    <d v="2023-05-27T00:00:00"/>
    <x v="4"/>
    <x v="3"/>
    <n v="2606"/>
    <n v="6"/>
    <n v="5"/>
    <x v="1175"/>
    <n v="1770.35"/>
    <n v="4232.07"/>
    <n v="0.28490729894575267"/>
    <x v="2"/>
    <x v="0"/>
    <n v="21"/>
    <x v="174"/>
    <s v="Wholesale"/>
    <x v="0"/>
  </r>
  <r>
    <x v="1200"/>
    <d v="2023-04-06T00:00:00"/>
    <x v="0"/>
    <x v="0"/>
    <n v="1948"/>
    <n v="9"/>
    <n v="15"/>
    <x v="1176"/>
    <n v="1062.49"/>
    <n v="5339.83"/>
    <n v="0.35832494531008841"/>
    <x v="7"/>
    <x v="0"/>
    <n v="14"/>
    <x v="184"/>
    <s v="Retail"/>
    <x v="0"/>
  </r>
  <r>
    <x v="1201"/>
    <d v="2023-06-07T00:00:00"/>
    <x v="8"/>
    <x v="2"/>
    <n v="3508"/>
    <n v="5"/>
    <n v="15"/>
    <x v="1177"/>
    <n v="2068.3000000000002"/>
    <n v="4567.5"/>
    <n v="0.30635857535716682"/>
    <x v="10"/>
    <x v="0"/>
    <n v="23"/>
    <x v="165"/>
    <s v="Wholesale"/>
    <x v="1"/>
  </r>
  <r>
    <x v="1202"/>
    <d v="2023-06-23T00:00:00"/>
    <x v="0"/>
    <x v="0"/>
    <n v="3141"/>
    <n v="5"/>
    <n v="5"/>
    <x v="1178"/>
    <n v="2351.92"/>
    <n v="3160.15"/>
    <n v="0.21180984936074668"/>
    <x v="10"/>
    <x v="0"/>
    <n v="25"/>
    <x v="411"/>
    <s v="Retail"/>
    <x v="2"/>
  </r>
  <r>
    <x v="1203"/>
    <d v="2023-12-04T00:00:00"/>
    <x v="6"/>
    <x v="0"/>
    <n v="3318"/>
    <n v="5"/>
    <n v="10"/>
    <x v="1179"/>
    <n v="2646.96"/>
    <n v="1696.19"/>
    <n v="0.11360190208291475"/>
    <x v="9"/>
    <x v="0"/>
    <n v="49"/>
    <x v="420"/>
    <s v="Retail"/>
    <x v="2"/>
  </r>
  <r>
    <x v="1204"/>
    <d v="2023-06-22T00:00:00"/>
    <x v="4"/>
    <x v="3"/>
    <n v="3516"/>
    <n v="5"/>
    <n v="15"/>
    <x v="1180"/>
    <n v="2641.62"/>
    <n v="1734.89"/>
    <n v="0.11610051529144082"/>
    <x v="10"/>
    <x v="0"/>
    <n v="25"/>
    <x v="291"/>
    <s v="Retail"/>
    <x v="1"/>
  </r>
  <r>
    <x v="1205"/>
    <d v="2023-10-29T00:00:00"/>
    <x v="5"/>
    <x v="4"/>
    <n v="2990"/>
    <n v="5"/>
    <n v="0"/>
    <x v="1181"/>
    <n v="2060.77"/>
    <n v="4646.16"/>
    <n v="0.31077993311036789"/>
    <x v="11"/>
    <x v="0"/>
    <n v="44"/>
    <x v="452"/>
    <s v="Retail"/>
    <x v="2"/>
  </r>
  <r>
    <x v="1206"/>
    <d v="2023-01-22T00:00:00"/>
    <x v="7"/>
    <x v="1"/>
    <n v="2077"/>
    <n v="8"/>
    <n v="10"/>
    <x v="1182"/>
    <n v="1238.0899999999999"/>
    <n v="5049.6899999999996"/>
    <n v="0.33767252447440216"/>
    <x v="0"/>
    <x v="0"/>
    <n v="4"/>
    <x v="434"/>
    <s v="Retail"/>
    <x v="2"/>
  </r>
  <r>
    <x v="1207"/>
    <d v="2023-06-28T00:00:00"/>
    <x v="5"/>
    <x v="4"/>
    <n v="2776"/>
    <n v="6"/>
    <n v="10"/>
    <x v="1183"/>
    <n v="1724.49"/>
    <n v="4643.4799999999996"/>
    <n v="0.30976358202582982"/>
    <x v="10"/>
    <x v="0"/>
    <n v="26"/>
    <x v="453"/>
    <s v="Wholesale"/>
    <x v="1"/>
  </r>
  <r>
    <x v="1208"/>
    <d v="2023-11-15T00:00:00"/>
    <x v="0"/>
    <x v="0"/>
    <n v="2783"/>
    <n v="6"/>
    <n v="10"/>
    <x v="1184"/>
    <n v="1514.06"/>
    <n v="5943.82"/>
    <n v="0.39551110578778559"/>
    <x v="4"/>
    <x v="0"/>
    <n v="46"/>
    <x v="439"/>
    <s v="Retail"/>
    <x v="3"/>
  </r>
  <r>
    <x v="1209"/>
    <d v="2023-03-28T00:00:00"/>
    <x v="7"/>
    <x v="1"/>
    <n v="2147"/>
    <n v="7"/>
    <n v="0"/>
    <x v="1185"/>
    <n v="1554.39"/>
    <n v="4148.2700000000004"/>
    <n v="0.27601769911504426"/>
    <x v="5"/>
    <x v="0"/>
    <n v="13"/>
    <x v="311"/>
    <s v="Retail"/>
    <x v="0"/>
  </r>
  <r>
    <x v="1210"/>
    <d v="2023-03-11T00:00:00"/>
    <x v="4"/>
    <x v="3"/>
    <n v="2389"/>
    <n v="7"/>
    <n v="10"/>
    <x v="1186"/>
    <n v="1252.98"/>
    <n v="6279.84"/>
    <n v="0.41724570950188361"/>
    <x v="5"/>
    <x v="0"/>
    <n v="10"/>
    <x v="84"/>
    <s v="Wholesale"/>
    <x v="3"/>
  </r>
  <r>
    <x v="1211"/>
    <d v="2023-04-13T00:00:00"/>
    <x v="1"/>
    <x v="1"/>
    <n v="2091"/>
    <n v="8"/>
    <n v="10"/>
    <x v="1187"/>
    <n v="1187.3499999999999"/>
    <n v="5556.36"/>
    <n v="0.36906583771720064"/>
    <x v="7"/>
    <x v="0"/>
    <n v="15"/>
    <x v="95"/>
    <s v="Retail"/>
    <x v="2"/>
  </r>
  <r>
    <x v="1212"/>
    <d v="2023-06-13T00:00:00"/>
    <x v="2"/>
    <x v="2"/>
    <n v="2097"/>
    <n v="8"/>
    <n v="10"/>
    <x v="1188"/>
    <n v="1448.09"/>
    <n v="3513.64"/>
    <n v="0.23271604938271603"/>
    <x v="10"/>
    <x v="0"/>
    <n v="24"/>
    <x v="397"/>
    <s v="Retail"/>
    <x v="2"/>
  </r>
  <r>
    <x v="1213"/>
    <d v="2023-09-08T00:00:00"/>
    <x v="1"/>
    <x v="1"/>
    <n v="2102"/>
    <n v="8"/>
    <n v="10"/>
    <x v="1189"/>
    <n v="1525.47"/>
    <n v="2930.65"/>
    <n v="0.19364163759382599"/>
    <x v="8"/>
    <x v="0"/>
    <n v="36"/>
    <x v="334"/>
    <s v="Wholesale"/>
    <x v="3"/>
  </r>
  <r>
    <x v="1214"/>
    <d v="2023-01-28T00:00:00"/>
    <x v="6"/>
    <x v="0"/>
    <n v="1983"/>
    <n v="9"/>
    <n v="15"/>
    <x v="1190"/>
    <n v="1442.74"/>
    <n v="2185.29"/>
    <n v="0.14405386965678857"/>
    <x v="0"/>
    <x v="0"/>
    <n v="4"/>
    <x v="176"/>
    <s v="Retail"/>
    <x v="1"/>
  </r>
  <r>
    <x v="1215"/>
    <d v="2023-11-19T00:00:00"/>
    <x v="0"/>
    <x v="0"/>
    <n v="2003"/>
    <n v="8"/>
    <n v="5"/>
    <x v="1191"/>
    <n v="1053.1199999999999"/>
    <n v="6797.84"/>
    <n v="0.44655648106787188"/>
    <x v="4"/>
    <x v="0"/>
    <n v="47"/>
    <x v="366"/>
    <s v="Wholesale"/>
    <x v="1"/>
  </r>
  <r>
    <x v="1216"/>
    <d v="2023-05-29T00:00:00"/>
    <x v="2"/>
    <x v="2"/>
    <n v="3207"/>
    <n v="5"/>
    <n v="5"/>
    <x v="1192"/>
    <n v="2219.0700000000002"/>
    <n v="4137.88"/>
    <n v="0.27163474636075691"/>
    <x v="2"/>
    <x v="0"/>
    <n v="22"/>
    <x v="394"/>
    <s v="Wholesale"/>
    <x v="1"/>
  </r>
  <r>
    <x v="1217"/>
    <d v="2023-05-11T00:00:00"/>
    <x v="5"/>
    <x v="4"/>
    <n v="1694"/>
    <n v="9"/>
    <n v="0"/>
    <x v="1193"/>
    <n v="1164.32"/>
    <n v="4767.12"/>
    <n v="0.31268004722550174"/>
    <x v="2"/>
    <x v="0"/>
    <n v="19"/>
    <x v="47"/>
    <s v="Wholesale"/>
    <x v="0"/>
  </r>
  <r>
    <x v="1218"/>
    <d v="2023-10-01T00:00:00"/>
    <x v="0"/>
    <x v="0"/>
    <n v="4016"/>
    <n v="4"/>
    <n v="5"/>
    <x v="1194"/>
    <n v="2703.14"/>
    <n v="4448.2299999999996"/>
    <n v="0.29148078737680855"/>
    <x v="11"/>
    <x v="0"/>
    <n v="40"/>
    <x v="305"/>
    <s v="Wholesale"/>
    <x v="3"/>
  </r>
  <r>
    <x v="1219"/>
    <d v="2023-08-29T00:00:00"/>
    <x v="8"/>
    <x v="2"/>
    <n v="3591"/>
    <n v="5"/>
    <n v="15"/>
    <x v="1195"/>
    <n v="2030.97"/>
    <n v="5106.91"/>
    <n v="0.33462152112306909"/>
    <x v="6"/>
    <x v="0"/>
    <n v="35"/>
    <x v="261"/>
    <s v="Wholesale"/>
    <x v="1"/>
  </r>
  <r>
    <x v="1220"/>
    <d v="2023-04-13T00:00:00"/>
    <x v="9"/>
    <x v="5"/>
    <n v="1797"/>
    <n v="10"/>
    <n v="15"/>
    <x v="1196"/>
    <n v="1108.8499999999999"/>
    <n v="4186"/>
    <n v="0.27405152378146586"/>
    <x v="7"/>
    <x v="0"/>
    <n v="15"/>
    <x v="198"/>
    <s v="Wholesale"/>
    <x v="3"/>
  </r>
  <r>
    <x v="1221"/>
    <d v="2023-04-10T00:00:00"/>
    <x v="6"/>
    <x v="0"/>
    <n v="2830"/>
    <n v="6"/>
    <n v="10"/>
    <x v="1197"/>
    <n v="1652.54"/>
    <n v="5366.73"/>
    <n v="0.35117981939536708"/>
    <x v="7"/>
    <x v="0"/>
    <n v="15"/>
    <x v="349"/>
    <s v="Wholesale"/>
    <x v="1"/>
  </r>
  <r>
    <x v="1222"/>
    <d v="2023-03-02T00:00:00"/>
    <x v="1"/>
    <x v="1"/>
    <n v="2249"/>
    <n v="8"/>
    <n v="15"/>
    <x v="1198"/>
    <n v="1740.25"/>
    <n v="1371.16"/>
    <n v="8.965814871969241E-2"/>
    <x v="5"/>
    <x v="0"/>
    <n v="9"/>
    <x v="94"/>
    <s v="Wholesale"/>
    <x v="1"/>
  </r>
  <r>
    <x v="1223"/>
    <d v="2023-05-31T00:00:00"/>
    <x v="4"/>
    <x v="3"/>
    <n v="3599"/>
    <n v="5"/>
    <n v="15"/>
    <x v="1199"/>
    <n v="2750.63"/>
    <n v="1542.6"/>
    <n v="0.10085154372946734"/>
    <x v="2"/>
    <x v="0"/>
    <n v="22"/>
    <x v="222"/>
    <s v="Wholesale"/>
    <x v="3"/>
  </r>
  <r>
    <x v="1224"/>
    <d v="2023-06-01T00:00:00"/>
    <x v="7"/>
    <x v="1"/>
    <n v="2303"/>
    <n v="7"/>
    <n v="5"/>
    <x v="1200"/>
    <n v="1595.47"/>
    <n v="4146.6400000000003"/>
    <n v="0.27075765836649812"/>
    <x v="10"/>
    <x v="0"/>
    <n v="22"/>
    <x v="11"/>
    <s v="Wholesale"/>
    <x v="2"/>
  </r>
  <r>
    <x v="1225"/>
    <d v="2023-02-28T00:00:00"/>
    <x v="5"/>
    <x v="4"/>
    <n v="3231"/>
    <n v="5"/>
    <n v="5"/>
    <x v="1201"/>
    <n v="1817.94"/>
    <n v="6257.54"/>
    <n v="0.40773037514864224"/>
    <x v="3"/>
    <x v="0"/>
    <n v="9"/>
    <x v="324"/>
    <s v="Retail"/>
    <x v="1"/>
  </r>
  <r>
    <x v="1226"/>
    <d v="2023-03-11T00:00:00"/>
    <x v="6"/>
    <x v="0"/>
    <n v="3239"/>
    <n v="5"/>
    <n v="5"/>
    <x v="1202"/>
    <n v="2374.54"/>
    <n v="3512.53"/>
    <n v="0.22830503241741279"/>
    <x v="5"/>
    <x v="0"/>
    <n v="10"/>
    <x v="173"/>
    <s v="Retail"/>
    <x v="3"/>
  </r>
  <r>
    <x v="1227"/>
    <d v="2023-12-12T00:00:00"/>
    <x v="9"/>
    <x v="5"/>
    <n v="2263"/>
    <n v="8"/>
    <n v="15"/>
    <x v="1203"/>
    <n v="1698.03"/>
    <n v="1804.17"/>
    <n v="0.1172422084167295"/>
    <x v="9"/>
    <x v="0"/>
    <n v="50"/>
    <x v="338"/>
    <s v="Wholesale"/>
    <x v="0"/>
  </r>
  <r>
    <x v="1228"/>
    <d v="2023-09-13T00:00:00"/>
    <x v="4"/>
    <x v="3"/>
    <n v="4051"/>
    <n v="4"/>
    <n v="5"/>
    <x v="1204"/>
    <n v="2076.8200000000002"/>
    <n v="7086.5"/>
    <n v="0.4603476724395536"/>
    <x v="8"/>
    <x v="0"/>
    <n v="37"/>
    <x v="317"/>
    <s v="Retail"/>
    <x v="1"/>
  </r>
  <r>
    <x v="1229"/>
    <d v="2023-08-03T00:00:00"/>
    <x v="5"/>
    <x v="4"/>
    <n v="2575"/>
    <n v="6"/>
    <n v="0"/>
    <x v="1205"/>
    <n v="1343.91"/>
    <n v="7386.55"/>
    <n v="0.4780938511326861"/>
    <x v="6"/>
    <x v="0"/>
    <n v="31"/>
    <x v="454"/>
    <s v="Retail"/>
    <x v="2"/>
  </r>
  <r>
    <x v="1230"/>
    <d v="2023-09-22T00:00:00"/>
    <x v="6"/>
    <x v="0"/>
    <n v="2035"/>
    <n v="8"/>
    <n v="5"/>
    <x v="1206"/>
    <n v="1220.99"/>
    <n v="5698.12"/>
    <n v="0.36842881158670632"/>
    <x v="8"/>
    <x v="0"/>
    <n v="38"/>
    <x v="41"/>
    <s v="Retail"/>
    <x v="2"/>
  </r>
  <r>
    <x v="1231"/>
    <d v="2023-08-20T00:00:00"/>
    <x v="5"/>
    <x v="4"/>
    <n v="2036"/>
    <n v="8"/>
    <n v="5"/>
    <x v="1207"/>
    <n v="1301.3800000000001"/>
    <n v="5062.5200000000004"/>
    <n v="0.32717144038879126"/>
    <x v="6"/>
    <x v="0"/>
    <n v="34"/>
    <x v="283"/>
    <s v="Retail"/>
    <x v="0"/>
  </r>
  <r>
    <x v="1232"/>
    <d v="2023-07-05T00:00:00"/>
    <x v="3"/>
    <x v="3"/>
    <n v="2715"/>
    <n v="6"/>
    <n v="5"/>
    <x v="1208"/>
    <n v="1869.71"/>
    <n v="4257.25"/>
    <n v="0.27509611967303155"/>
    <x v="1"/>
    <x v="0"/>
    <n v="27"/>
    <x v="172"/>
    <s v="Retail"/>
    <x v="3"/>
  </r>
  <r>
    <x v="1233"/>
    <d v="2023-03-19T00:00:00"/>
    <x v="1"/>
    <x v="1"/>
    <n v="4079"/>
    <n v="4"/>
    <n v="5"/>
    <x v="1209"/>
    <n v="2113.85"/>
    <n v="7044.82"/>
    <n v="0.45449865163030151"/>
    <x v="5"/>
    <x v="0"/>
    <n v="12"/>
    <x v="194"/>
    <s v="Retail"/>
    <x v="0"/>
  </r>
  <r>
    <x v="1234"/>
    <d v="2023-09-30T00:00:00"/>
    <x v="5"/>
    <x v="4"/>
    <n v="3043"/>
    <n v="6"/>
    <n v="15"/>
    <x v="1210"/>
    <n v="2008.76"/>
    <n v="3466.72"/>
    <n v="0.22338120920402338"/>
    <x v="8"/>
    <x v="0"/>
    <n v="39"/>
    <x v="387"/>
    <s v="Wholesale"/>
    <x v="1"/>
  </r>
  <r>
    <x v="1235"/>
    <d v="2023-07-28T00:00:00"/>
    <x v="6"/>
    <x v="0"/>
    <n v="1817"/>
    <n v="9"/>
    <n v="5"/>
    <x v="1211"/>
    <n v="1230.23"/>
    <n v="4463.32"/>
    <n v="0.28730089763024325"/>
    <x v="1"/>
    <x v="0"/>
    <n v="30"/>
    <x v="455"/>
    <s v="Retail"/>
    <x v="3"/>
  </r>
  <r>
    <x v="1236"/>
    <d v="2023-03-17T00:00:00"/>
    <x v="6"/>
    <x v="0"/>
    <n v="4570"/>
    <n v="4"/>
    <n v="15"/>
    <x v="1212"/>
    <n v="2310.48"/>
    <n v="6296.09"/>
    <n v="0.40520594671128846"/>
    <x v="5"/>
    <x v="0"/>
    <n v="11"/>
    <x v="170"/>
    <s v="Wholesale"/>
    <x v="2"/>
  </r>
  <r>
    <x v="1237"/>
    <d v="2023-06-16T00:00:00"/>
    <x v="5"/>
    <x v="4"/>
    <n v="3108"/>
    <n v="5"/>
    <n v="0"/>
    <x v="1213"/>
    <n v="2339.88"/>
    <n v="3840.59"/>
    <n v="0.24714221364221364"/>
    <x v="10"/>
    <x v="0"/>
    <n v="24"/>
    <x v="23"/>
    <s v="Retail"/>
    <x v="2"/>
  </r>
  <r>
    <x v="1238"/>
    <d v="2023-04-26T00:00:00"/>
    <x v="8"/>
    <x v="2"/>
    <n v="1727"/>
    <n v="9"/>
    <n v="0"/>
    <x v="1214"/>
    <n v="1158.42"/>
    <n v="5117.22"/>
    <n v="0.32922987840185292"/>
    <x v="7"/>
    <x v="0"/>
    <n v="17"/>
    <x v="40"/>
    <s v="Retail"/>
    <x v="0"/>
  </r>
  <r>
    <x v="1239"/>
    <d v="2023-05-24T00:00:00"/>
    <x v="2"/>
    <x v="2"/>
    <n v="1830"/>
    <n v="10"/>
    <n v="15"/>
    <x v="1215"/>
    <n v="1028.98"/>
    <n v="5265.16"/>
    <n v="0.33848666023786561"/>
    <x v="2"/>
    <x v="0"/>
    <n v="21"/>
    <x v="158"/>
    <s v="Retail"/>
    <x v="1"/>
  </r>
  <r>
    <x v="1240"/>
    <d v="2023-08-22T00:00:00"/>
    <x v="6"/>
    <x v="0"/>
    <n v="2288"/>
    <n v="8"/>
    <n v="15"/>
    <x v="1216"/>
    <n v="1821.3"/>
    <n v="987.96"/>
    <n v="6.3500102838338138E-2"/>
    <x v="6"/>
    <x v="0"/>
    <n v="34"/>
    <x v="91"/>
    <s v="Retail"/>
    <x v="3"/>
  </r>
  <r>
    <x v="1241"/>
    <d v="2023-02-14T00:00:00"/>
    <x v="8"/>
    <x v="2"/>
    <n v="3661"/>
    <n v="5"/>
    <n v="15"/>
    <x v="1217"/>
    <n v="2218.5300000000002"/>
    <n v="4466.6099999999997"/>
    <n v="0.28707103491492197"/>
    <x v="3"/>
    <x v="0"/>
    <n v="7"/>
    <x v="148"/>
    <s v="Wholesale"/>
    <x v="0"/>
  </r>
  <r>
    <x v="1242"/>
    <d v="2023-10-10T00:00:00"/>
    <x v="9"/>
    <x v="5"/>
    <n v="1733"/>
    <n v="10"/>
    <n v="10"/>
    <x v="1218"/>
    <n v="895.53"/>
    <n v="6641.74"/>
    <n v="0.4258344553439764"/>
    <x v="11"/>
    <x v="0"/>
    <n v="41"/>
    <x v="112"/>
    <s v="Wholesale"/>
    <x v="1"/>
  </r>
  <r>
    <x v="1243"/>
    <d v="2023-08-10T00:00:00"/>
    <x v="0"/>
    <x v="0"/>
    <n v="1734"/>
    <n v="9"/>
    <n v="0"/>
    <x v="1219"/>
    <n v="1003.13"/>
    <n v="6577.8"/>
    <n v="0.42149173394848138"/>
    <x v="6"/>
    <x v="0"/>
    <n v="32"/>
    <x v="440"/>
    <s v="Retail"/>
    <x v="2"/>
  </r>
  <r>
    <x v="1244"/>
    <d v="2023-01-27T00:00:00"/>
    <x v="5"/>
    <x v="4"/>
    <n v="3471"/>
    <n v="5"/>
    <n v="10"/>
    <x v="1220"/>
    <n v="1870.06"/>
    <n v="6269.2"/>
    <n v="0.40137008226895865"/>
    <x v="0"/>
    <x v="0"/>
    <n v="4"/>
    <x v="160"/>
    <s v="Wholesale"/>
    <x v="1"/>
  </r>
  <r>
    <x v="1245"/>
    <d v="2023-10-15T00:00:00"/>
    <x v="9"/>
    <x v="5"/>
    <n v="4341"/>
    <n v="4"/>
    <n v="10"/>
    <x v="1221"/>
    <n v="2904.4"/>
    <n v="4009.99"/>
    <n v="0.25659666231539069"/>
    <x v="11"/>
    <x v="0"/>
    <n v="42"/>
    <x v="128"/>
    <s v="Wholesale"/>
    <x v="3"/>
  </r>
  <r>
    <x v="1246"/>
    <d v="2023-02-22T00:00:00"/>
    <x v="7"/>
    <x v="1"/>
    <n v="1930"/>
    <n v="9"/>
    <n v="10"/>
    <x v="1222"/>
    <n v="1152.3800000000001"/>
    <n v="5261.59"/>
    <n v="0.33656943644853837"/>
    <x v="3"/>
    <x v="0"/>
    <n v="8"/>
    <x v="318"/>
    <s v="Retail"/>
    <x v="1"/>
  </r>
  <r>
    <x v="1247"/>
    <d v="2023-08-27T00:00:00"/>
    <x v="2"/>
    <x v="2"/>
    <n v="2243"/>
    <n v="7"/>
    <n v="0"/>
    <x v="1223"/>
    <n v="1471.65"/>
    <n v="5399.48"/>
    <n v="0.34389401948920451"/>
    <x v="6"/>
    <x v="0"/>
    <n v="35"/>
    <x v="269"/>
    <s v="Wholesale"/>
    <x v="1"/>
  </r>
  <r>
    <x v="1248"/>
    <d v="2023-03-14T00:00:00"/>
    <x v="6"/>
    <x v="0"/>
    <n v="4630"/>
    <n v="4"/>
    <n v="15"/>
    <x v="1224"/>
    <n v="2533.2800000000002"/>
    <n v="5608.88"/>
    <n v="0.35630034303138103"/>
    <x v="5"/>
    <x v="0"/>
    <n v="11"/>
    <x v="206"/>
    <s v="Retail"/>
    <x v="0"/>
  </r>
  <r>
    <x v="1249"/>
    <d v="2023-09-24T00:00:00"/>
    <x v="5"/>
    <x v="4"/>
    <n v="1751"/>
    <n v="9"/>
    <n v="0"/>
    <x v="1225"/>
    <n v="1369.54"/>
    <n v="3433.18"/>
    <n v="0.21785519385747826"/>
    <x v="8"/>
    <x v="0"/>
    <n v="39"/>
    <x v="432"/>
    <s v="Retail"/>
    <x v="2"/>
  </r>
  <r>
    <x v="1250"/>
    <d v="2023-06-05T00:00:00"/>
    <x v="8"/>
    <x v="2"/>
    <n v="2504"/>
    <n v="7"/>
    <n v="10"/>
    <x v="1226"/>
    <n v="1483.51"/>
    <n v="5390.62"/>
    <n v="0.34171484355190423"/>
    <x v="10"/>
    <x v="0"/>
    <n v="23"/>
    <x v="440"/>
    <s v="Wholesale"/>
    <x v="0"/>
  </r>
  <r>
    <x v="1251"/>
    <d v="2023-12-21T00:00:00"/>
    <x v="3"/>
    <x v="3"/>
    <n v="3507"/>
    <n v="5"/>
    <n v="10"/>
    <x v="1227"/>
    <n v="1922.62"/>
    <n v="6168.39"/>
    <n v="0.39086208535310335"/>
    <x v="9"/>
    <x v="0"/>
    <n v="51"/>
    <x v="50"/>
    <s v="Wholesale"/>
    <x v="3"/>
  </r>
  <r>
    <x v="1252"/>
    <d v="2023-04-11T00:00:00"/>
    <x v="5"/>
    <x v="4"/>
    <n v="4166"/>
    <n v="4"/>
    <n v="5"/>
    <x v="1228"/>
    <n v="3265.52"/>
    <n v="2768.73"/>
    <n v="0.17489514111731563"/>
    <x v="7"/>
    <x v="0"/>
    <n v="15"/>
    <x v="136"/>
    <s v="Wholesale"/>
    <x v="3"/>
  </r>
  <r>
    <x v="1253"/>
    <d v="2023-05-28T00:00:00"/>
    <x v="1"/>
    <x v="1"/>
    <n v="2330"/>
    <n v="8"/>
    <n v="15"/>
    <x v="1229"/>
    <n v="1221.9000000000001"/>
    <n v="6068.82"/>
    <n v="0.38303584953294623"/>
    <x v="2"/>
    <x v="0"/>
    <n v="22"/>
    <x v="83"/>
    <s v="Retail"/>
    <x v="0"/>
  </r>
  <r>
    <x v="1254"/>
    <d v="2023-02-05T00:00:00"/>
    <x v="2"/>
    <x v="2"/>
    <n v="2643"/>
    <n v="6"/>
    <n v="0"/>
    <x v="1230"/>
    <n v="2086.79"/>
    <n v="3337.23"/>
    <n v="0.21044457056375332"/>
    <x v="3"/>
    <x v="0"/>
    <n v="6"/>
    <x v="292"/>
    <s v="Retail"/>
    <x v="3"/>
  </r>
  <r>
    <x v="1255"/>
    <d v="2023-08-19T00:00:00"/>
    <x v="4"/>
    <x v="3"/>
    <n v="4176"/>
    <n v="4"/>
    <n v="5"/>
    <x v="1231"/>
    <n v="2722.14"/>
    <n v="4980.25"/>
    <n v="0.313839105666465"/>
    <x v="6"/>
    <x v="0"/>
    <n v="33"/>
    <x v="208"/>
    <s v="Retail"/>
    <x v="1"/>
  </r>
  <r>
    <x v="1256"/>
    <d v="2023-12-12T00:00:00"/>
    <x v="8"/>
    <x v="2"/>
    <n v="1984"/>
    <n v="8"/>
    <n v="0"/>
    <x v="1232"/>
    <n v="1084.49"/>
    <n v="7196.08"/>
    <n v="0.45338205645161289"/>
    <x v="9"/>
    <x v="0"/>
    <n v="50"/>
    <x v="319"/>
    <s v="Retail"/>
    <x v="0"/>
  </r>
  <r>
    <x v="1257"/>
    <d v="2023-11-23T00:00:00"/>
    <x v="6"/>
    <x v="0"/>
    <n v="2786"/>
    <n v="6"/>
    <n v="5"/>
    <x v="1233"/>
    <n v="2113.0300000000002"/>
    <n v="3202.01"/>
    <n v="0.2016353698316142"/>
    <x v="4"/>
    <x v="0"/>
    <n v="47"/>
    <x v="82"/>
    <s v="Retail"/>
    <x v="1"/>
  </r>
  <r>
    <x v="1258"/>
    <d v="2023-12-02T00:00:00"/>
    <x v="9"/>
    <x v="5"/>
    <n v="2337"/>
    <n v="8"/>
    <n v="15"/>
    <x v="1234"/>
    <n v="1822.6"/>
    <n v="1310.77"/>
    <n v="8.2481940144478835E-2"/>
    <x v="9"/>
    <x v="0"/>
    <n v="48"/>
    <x v="97"/>
    <s v="Retail"/>
    <x v="3"/>
  </r>
  <r>
    <x v="1259"/>
    <d v="2023-07-22T00:00:00"/>
    <x v="9"/>
    <x v="5"/>
    <n v="2946"/>
    <n v="6"/>
    <n v="10"/>
    <x v="1235"/>
    <n v="1716.51"/>
    <n v="5609.31"/>
    <n v="0.35260051293656186"/>
    <x v="1"/>
    <x v="0"/>
    <n v="29"/>
    <x v="286"/>
    <s v="Retail"/>
    <x v="0"/>
  </r>
  <r>
    <x v="1260"/>
    <d v="2023-08-20T00:00:00"/>
    <x v="9"/>
    <x v="5"/>
    <n v="3745"/>
    <n v="5"/>
    <n v="15"/>
    <x v="1236"/>
    <n v="2995.31"/>
    <n v="939.68"/>
    <n v="5.9039032435404065E-2"/>
    <x v="6"/>
    <x v="0"/>
    <n v="34"/>
    <x v="64"/>
    <s v="Wholesale"/>
    <x v="0"/>
  </r>
  <r>
    <x v="1261"/>
    <d v="2023-07-17T00:00:00"/>
    <x v="4"/>
    <x v="3"/>
    <n v="1990"/>
    <n v="8"/>
    <n v="0"/>
    <x v="1237"/>
    <n v="1485.67"/>
    <n v="4034.65"/>
    <n v="0.2534327889447236"/>
    <x v="1"/>
    <x v="0"/>
    <n v="29"/>
    <x v="342"/>
    <s v="Wholesale"/>
    <x v="1"/>
  </r>
  <r>
    <x v="1262"/>
    <d v="2023-02-05T00:00:00"/>
    <x v="1"/>
    <x v="1"/>
    <n v="1772"/>
    <n v="10"/>
    <n v="10"/>
    <x v="1238"/>
    <n v="1383.97"/>
    <n v="2108.29"/>
    <n v="0.13219776774517181"/>
    <x v="3"/>
    <x v="0"/>
    <n v="6"/>
    <x v="44"/>
    <s v="Retail"/>
    <x v="3"/>
  </r>
  <r>
    <x v="1263"/>
    <d v="2023-02-03T00:00:00"/>
    <x v="2"/>
    <x v="2"/>
    <n v="3757"/>
    <n v="5"/>
    <n v="15"/>
    <x v="1239"/>
    <n v="2415.23"/>
    <n v="3891.08"/>
    <n v="0.2436913056412344"/>
    <x v="3"/>
    <x v="0"/>
    <n v="5"/>
    <x v="391"/>
    <s v="Wholesale"/>
    <x v="1"/>
  </r>
  <r>
    <x v="1264"/>
    <d v="2023-03-29T00:00:00"/>
    <x v="0"/>
    <x v="0"/>
    <n v="2218"/>
    <n v="8"/>
    <n v="10"/>
    <x v="1240"/>
    <n v="1318.54"/>
    <n v="5421.26"/>
    <n v="0.33947375012523795"/>
    <x v="5"/>
    <x v="0"/>
    <n v="13"/>
    <x v="133"/>
    <s v="Retail"/>
    <x v="1"/>
  </r>
  <r>
    <x v="1265"/>
    <d v="2023-12-03T00:00:00"/>
    <x v="8"/>
    <x v="2"/>
    <n v="2685"/>
    <n v="7"/>
    <n v="15"/>
    <x v="1241"/>
    <n v="1853.52"/>
    <n v="3001.1"/>
    <n v="0.18785346540850978"/>
    <x v="9"/>
    <x v="0"/>
    <n v="49"/>
    <x v="447"/>
    <s v="Wholesale"/>
    <x v="3"/>
  </r>
  <r>
    <x v="1266"/>
    <d v="2023-04-01T00:00:00"/>
    <x v="8"/>
    <x v="2"/>
    <n v="3555"/>
    <n v="5"/>
    <n v="10"/>
    <x v="1242"/>
    <n v="2645.6"/>
    <n v="2769.48"/>
    <n v="0.17311954992967651"/>
    <x v="7"/>
    <x v="0"/>
    <n v="13"/>
    <x v="390"/>
    <s v="Retail"/>
    <x v="0"/>
  </r>
  <r>
    <x v="1267"/>
    <d v="2023-05-31T00:00:00"/>
    <x v="9"/>
    <x v="5"/>
    <n v="4000"/>
    <n v="4"/>
    <n v="0"/>
    <x v="1243"/>
    <n v="3124.77"/>
    <n v="3500.92"/>
    <n v="0.21880750000000002"/>
    <x v="2"/>
    <x v="0"/>
    <n v="22"/>
    <x v="405"/>
    <s v="Retail"/>
    <x v="2"/>
  </r>
  <r>
    <x v="1268"/>
    <d v="2023-07-22T00:00:00"/>
    <x v="9"/>
    <x v="5"/>
    <n v="4214"/>
    <n v="4"/>
    <n v="5"/>
    <x v="1244"/>
    <n v="2291.48"/>
    <n v="6847.26"/>
    <n v="0.42760097919216644"/>
    <x v="1"/>
    <x v="0"/>
    <n v="29"/>
    <x v="10"/>
    <s v="Wholesale"/>
    <x v="3"/>
  </r>
  <r>
    <x v="1269"/>
    <d v="2023-04-24T00:00:00"/>
    <x v="5"/>
    <x v="4"/>
    <n v="1885"/>
    <n v="10"/>
    <n v="15"/>
    <x v="1245"/>
    <n v="1038.02"/>
    <n v="5642.35"/>
    <n v="0.35215166172569828"/>
    <x v="7"/>
    <x v="0"/>
    <n v="17"/>
    <x v="183"/>
    <s v="Wholesale"/>
    <x v="2"/>
  </r>
  <r>
    <x v="1270"/>
    <d v="2023-10-19T00:00:00"/>
    <x v="1"/>
    <x v="1"/>
    <n v="4720"/>
    <n v="4"/>
    <n v="15"/>
    <x v="1246"/>
    <n v="2844.07"/>
    <n v="4671.7299999999996"/>
    <n v="0.29110979561316047"/>
    <x v="11"/>
    <x v="0"/>
    <n v="42"/>
    <x v="315"/>
    <s v="Retail"/>
    <x v="3"/>
  </r>
  <r>
    <x v="1271"/>
    <d v="2023-09-18T00:00:00"/>
    <x v="7"/>
    <x v="1"/>
    <n v="4024"/>
    <n v="4"/>
    <n v="0"/>
    <x v="1247"/>
    <n v="2930.65"/>
    <n v="4373.3900000000003"/>
    <n v="0.27170663518886684"/>
    <x v="8"/>
    <x v="0"/>
    <n v="38"/>
    <x v="34"/>
    <s v="Retail"/>
    <x v="0"/>
  </r>
  <r>
    <x v="1272"/>
    <d v="2023-10-23T00:00:00"/>
    <x v="4"/>
    <x v="3"/>
    <n v="3220"/>
    <n v="5"/>
    <n v="0"/>
    <x v="1248"/>
    <n v="1661.8"/>
    <n v="7791"/>
    <n v="0.48391304347826086"/>
    <x v="11"/>
    <x v="0"/>
    <n v="43"/>
    <x v="453"/>
    <s v="Retail"/>
    <x v="2"/>
  </r>
  <r>
    <x v="1273"/>
    <d v="2023-01-27T00:00:00"/>
    <x v="6"/>
    <x v="0"/>
    <n v="2707"/>
    <n v="7"/>
    <n v="15"/>
    <x v="1249"/>
    <n v="1605.59"/>
    <n v="4867.55"/>
    <n v="0.30220747331071329"/>
    <x v="0"/>
    <x v="0"/>
    <n v="4"/>
    <x v="323"/>
    <s v="Retail"/>
    <x v="2"/>
  </r>
  <r>
    <x v="1274"/>
    <d v="2023-12-02T00:00:00"/>
    <x v="2"/>
    <x v="2"/>
    <n v="4240"/>
    <n v="4"/>
    <n v="5"/>
    <x v="1250"/>
    <n v="2401.2399999999998"/>
    <n v="6507.02"/>
    <n v="0.40386171797418075"/>
    <x v="9"/>
    <x v="0"/>
    <n v="48"/>
    <x v="275"/>
    <s v="Wholesale"/>
    <x v="1"/>
  </r>
  <r>
    <x v="1275"/>
    <d v="2023-08-08T00:00:00"/>
    <x v="2"/>
    <x v="2"/>
    <n v="4031"/>
    <n v="4"/>
    <n v="0"/>
    <x v="1251"/>
    <n v="2749.68"/>
    <n v="5125.29"/>
    <n v="0.31786715455222031"/>
    <x v="6"/>
    <x v="0"/>
    <n v="32"/>
    <x v="165"/>
    <s v="Wholesale"/>
    <x v="1"/>
  </r>
  <r>
    <x v="1276"/>
    <d v="2023-10-23T00:00:00"/>
    <x v="0"/>
    <x v="0"/>
    <n v="1793"/>
    <n v="9"/>
    <n v="0"/>
    <x v="1252"/>
    <n v="1105.03"/>
    <n v="6191.74"/>
    <n v="0.38369833302348638"/>
    <x v="11"/>
    <x v="0"/>
    <n v="43"/>
    <x v="366"/>
    <s v="Retail"/>
    <x v="0"/>
  </r>
  <r>
    <x v="1277"/>
    <d v="2023-01-24T00:00:00"/>
    <x v="4"/>
    <x v="3"/>
    <n v="3166"/>
    <n v="6"/>
    <n v="15"/>
    <x v="1253"/>
    <n v="1800.04"/>
    <n v="5346.39"/>
    <n v="0.33111552896585039"/>
    <x v="0"/>
    <x v="0"/>
    <n v="4"/>
    <x v="173"/>
    <s v="Retail"/>
    <x v="3"/>
  </r>
  <r>
    <x v="1278"/>
    <d v="2023-05-21T00:00:00"/>
    <x v="8"/>
    <x v="2"/>
    <n v="2310"/>
    <n v="7"/>
    <n v="0"/>
    <x v="1254"/>
    <n v="1679.23"/>
    <n v="4415.3999999999996"/>
    <n v="0.27306122448979592"/>
    <x v="2"/>
    <x v="0"/>
    <n v="21"/>
    <x v="324"/>
    <s v="Retail"/>
    <x v="1"/>
  </r>
  <r>
    <x v="1279"/>
    <d v="2023-04-02T00:00:00"/>
    <x v="9"/>
    <x v="5"/>
    <n v="2128"/>
    <n v="8"/>
    <n v="5"/>
    <x v="1255"/>
    <n v="1514.22"/>
    <n v="4059.01"/>
    <n v="0.25097756727344678"/>
    <x v="7"/>
    <x v="0"/>
    <n v="14"/>
    <x v="150"/>
    <s v="Wholesale"/>
    <x v="3"/>
  </r>
  <r>
    <x v="1280"/>
    <d v="2023-09-26T00:00:00"/>
    <x v="0"/>
    <x v="0"/>
    <n v="3237"/>
    <n v="5"/>
    <n v="0"/>
    <x v="1256"/>
    <n v="1621.06"/>
    <n v="8079.72"/>
    <n v="0.49921037998146434"/>
    <x v="8"/>
    <x v="0"/>
    <n v="39"/>
    <x v="171"/>
    <s v="Wholesale"/>
    <x v="2"/>
  </r>
  <r>
    <x v="1281"/>
    <d v="2023-01-01T00:00:00"/>
    <x v="9"/>
    <x v="5"/>
    <n v="4496"/>
    <n v="4"/>
    <n v="10"/>
    <x v="1257"/>
    <n v="2468.33"/>
    <n v="6312.28"/>
    <n v="0.38999357453538946"/>
    <x v="0"/>
    <x v="0"/>
    <n v="1"/>
    <x v="456"/>
    <s v="Retail"/>
    <x v="1"/>
  </r>
  <r>
    <x v="1282"/>
    <d v="2023-10-19T00:00:00"/>
    <x v="1"/>
    <x v="1"/>
    <n v="2135"/>
    <n v="8"/>
    <n v="5"/>
    <x v="1258"/>
    <n v="1117.05"/>
    <n v="7289.58"/>
    <n v="0.44925305065943549"/>
    <x v="11"/>
    <x v="0"/>
    <n v="42"/>
    <x v="23"/>
    <s v="Retail"/>
    <x v="0"/>
  </r>
  <r>
    <x v="1283"/>
    <d v="2023-10-03T00:00:00"/>
    <x v="3"/>
    <x v="3"/>
    <n v="3424"/>
    <n v="5"/>
    <n v="5"/>
    <x v="1259"/>
    <n v="2512.98"/>
    <n v="3699.08"/>
    <n v="0.22743974422036398"/>
    <x v="11"/>
    <x v="0"/>
    <n v="40"/>
    <x v="434"/>
    <s v="Retail"/>
    <x v="2"/>
  </r>
  <r>
    <x v="1284"/>
    <d v="2023-12-19T00:00:00"/>
    <x v="1"/>
    <x v="1"/>
    <n v="4520"/>
    <n v="4"/>
    <n v="10"/>
    <x v="1260"/>
    <n v="3384.81"/>
    <n v="2732.77"/>
    <n v="0.16794309242871189"/>
    <x v="9"/>
    <x v="0"/>
    <n v="51"/>
    <x v="226"/>
    <s v="Wholesale"/>
    <x v="2"/>
  </r>
  <r>
    <x v="1285"/>
    <d v="2023-11-20T00:00:00"/>
    <x v="5"/>
    <x v="4"/>
    <n v="3191"/>
    <n v="6"/>
    <n v="15"/>
    <x v="1261"/>
    <n v="1692.46"/>
    <n v="6119.34"/>
    <n v="0.37601710693678914"/>
    <x v="4"/>
    <x v="0"/>
    <n v="47"/>
    <x v="179"/>
    <s v="Wholesale"/>
    <x v="1"/>
  </r>
  <r>
    <x v="1286"/>
    <d v="2023-11-01T00:00:00"/>
    <x v="3"/>
    <x v="3"/>
    <n v="3198"/>
    <n v="6"/>
    <n v="15"/>
    <x v="1262"/>
    <n v="2127.1999999999998"/>
    <n v="3546.61"/>
    <n v="0.21745269715140592"/>
    <x v="4"/>
    <x v="0"/>
    <n v="44"/>
    <x v="433"/>
    <s v="Retail"/>
    <x v="1"/>
  </r>
  <r>
    <x v="1287"/>
    <d v="2023-04-01T00:00:00"/>
    <x v="4"/>
    <x v="3"/>
    <n v="2866"/>
    <n v="6"/>
    <n v="5"/>
    <x v="1263"/>
    <n v="2073.71"/>
    <n v="3893.94"/>
    <n v="0.2383626547177434"/>
    <x v="7"/>
    <x v="0"/>
    <n v="13"/>
    <x v="68"/>
    <s v="Retail"/>
    <x v="3"/>
  </r>
  <r>
    <x v="1288"/>
    <d v="2023-07-04T00:00:00"/>
    <x v="2"/>
    <x v="2"/>
    <n v="4539"/>
    <n v="4"/>
    <n v="10"/>
    <x v="1264"/>
    <n v="3186.6"/>
    <n v="3594.01"/>
    <n v="0.21994626814521065"/>
    <x v="1"/>
    <x v="0"/>
    <n v="27"/>
    <x v="423"/>
    <s v="Retail"/>
    <x v="0"/>
  </r>
  <r>
    <x v="1289"/>
    <d v="2023-09-02T00:00:00"/>
    <x v="6"/>
    <x v="0"/>
    <n v="4810"/>
    <n v="4"/>
    <n v="15"/>
    <x v="1265"/>
    <n v="3090.4"/>
    <n v="3992.4"/>
    <n v="0.2441237617708206"/>
    <x v="8"/>
    <x v="0"/>
    <n v="35"/>
    <x v="340"/>
    <s v="Wholesale"/>
    <x v="0"/>
  </r>
  <r>
    <x v="1290"/>
    <d v="2023-03-31T00:00:00"/>
    <x v="2"/>
    <x v="2"/>
    <n v="2406"/>
    <n v="8"/>
    <n v="15"/>
    <x v="1266"/>
    <n v="1673.28"/>
    <n v="2974.6"/>
    <n v="0.18181262529949635"/>
    <x v="5"/>
    <x v="0"/>
    <n v="13"/>
    <x v="379"/>
    <s v="Wholesale"/>
    <x v="3"/>
  </r>
  <r>
    <x v="1291"/>
    <d v="2023-11-27T00:00:00"/>
    <x v="0"/>
    <x v="0"/>
    <n v="3276"/>
    <n v="5"/>
    <n v="0"/>
    <x v="1267"/>
    <n v="1740.25"/>
    <n v="7678.77"/>
    <n v="0.46878937728937731"/>
    <x v="4"/>
    <x v="0"/>
    <n v="48"/>
    <x v="325"/>
    <s v="Retail"/>
    <x v="1"/>
  </r>
  <r>
    <x v="1292"/>
    <d v="2023-07-09T00:00:00"/>
    <x v="5"/>
    <x v="4"/>
    <n v="3860"/>
    <n v="5"/>
    <n v="15"/>
    <x v="1268"/>
    <n v="2606.91"/>
    <n v="3370.45"/>
    <n v="0.20545260591283143"/>
    <x v="1"/>
    <x v="0"/>
    <n v="28"/>
    <x v="422"/>
    <s v="Wholesale"/>
    <x v="2"/>
  </r>
  <r>
    <x v="1293"/>
    <d v="2023-08-05T00:00:00"/>
    <x v="0"/>
    <x v="0"/>
    <n v="3456"/>
    <n v="5"/>
    <n v="5"/>
    <x v="1269"/>
    <n v="2637.54"/>
    <n v="3228.31"/>
    <n v="0.19665631091617933"/>
    <x v="6"/>
    <x v="0"/>
    <n v="31"/>
    <x v="181"/>
    <s v="Wholesale"/>
    <x v="2"/>
  </r>
  <r>
    <x v="1294"/>
    <d v="2023-05-09T00:00:00"/>
    <x v="3"/>
    <x v="3"/>
    <n v="1922"/>
    <n v="9"/>
    <n v="5"/>
    <x v="1270"/>
    <n v="1445.58"/>
    <n v="3422.87"/>
    <n v="0.20829119277555666"/>
    <x v="2"/>
    <x v="0"/>
    <n v="19"/>
    <x v="413"/>
    <s v="Wholesale"/>
    <x v="1"/>
  </r>
  <r>
    <x v="1295"/>
    <d v="2023-04-01T00:00:00"/>
    <x v="8"/>
    <x v="2"/>
    <n v="1826"/>
    <n v="10"/>
    <n v="10"/>
    <x v="1271"/>
    <n v="1252.3499999999999"/>
    <n v="3910.46"/>
    <n v="0.23794937325057808"/>
    <x v="7"/>
    <x v="0"/>
    <n v="13"/>
    <x v="86"/>
    <s v="Retail"/>
    <x v="2"/>
  </r>
  <r>
    <x v="1296"/>
    <d v="2023-07-06T00:00:00"/>
    <x v="6"/>
    <x v="0"/>
    <n v="2477"/>
    <n v="7"/>
    <n v="5"/>
    <x v="1272"/>
    <n v="1662.74"/>
    <n v="4832.8900000000003"/>
    <n v="0.29339942508673789"/>
    <x v="1"/>
    <x v="0"/>
    <n v="27"/>
    <x v="354"/>
    <s v="Wholesale"/>
    <x v="1"/>
  </r>
  <r>
    <x v="1297"/>
    <d v="2023-09-21T00:00:00"/>
    <x v="2"/>
    <x v="2"/>
    <n v="2754"/>
    <n v="6"/>
    <n v="0"/>
    <x v="1273"/>
    <n v="2012.44"/>
    <n v="4449.3500000000004"/>
    <n v="0.26926591624304047"/>
    <x v="8"/>
    <x v="0"/>
    <n v="38"/>
    <x v="457"/>
    <s v="Wholesale"/>
    <x v="2"/>
  </r>
  <r>
    <x v="1298"/>
    <d v="2023-05-06T00:00:00"/>
    <x v="4"/>
    <x v="3"/>
    <n v="4366"/>
    <n v="4"/>
    <n v="5"/>
    <x v="1274"/>
    <n v="3167.37"/>
    <n v="3921.32"/>
    <n v="0.23635508836222488"/>
    <x v="2"/>
    <x v="0"/>
    <n v="18"/>
    <x v="249"/>
    <s v="Wholesale"/>
    <x v="2"/>
  </r>
  <r>
    <x v="1299"/>
    <d v="2023-11-24T00:00:00"/>
    <x v="5"/>
    <x v="4"/>
    <n v="3077"/>
    <n v="6"/>
    <n v="10"/>
    <x v="1275"/>
    <n v="1596.67"/>
    <n v="7035.75"/>
    <n v="0.42343733073339834"/>
    <x v="4"/>
    <x v="0"/>
    <n v="47"/>
    <x v="65"/>
    <s v="Retail"/>
    <x v="0"/>
  </r>
  <r>
    <x v="1300"/>
    <d v="2023-01-24T00:00:00"/>
    <x v="3"/>
    <x v="3"/>
    <n v="3261"/>
    <n v="6"/>
    <n v="15"/>
    <x v="1276"/>
    <n v="2409.23"/>
    <n v="2175.71"/>
    <n v="0.13082177366500114"/>
    <x v="0"/>
    <x v="0"/>
    <n v="4"/>
    <x v="342"/>
    <s v="Retail"/>
    <x v="2"/>
  </r>
  <r>
    <x v="1301"/>
    <d v="2023-08-24T00:00:00"/>
    <x v="4"/>
    <x v="3"/>
    <n v="2191"/>
    <n v="8"/>
    <n v="5"/>
    <x v="1277"/>
    <n v="1458.21"/>
    <n v="4985.8900000000003"/>
    <n v="0.29942407936774851"/>
    <x v="6"/>
    <x v="0"/>
    <n v="34"/>
    <x v="283"/>
    <s v="Retail"/>
    <x v="0"/>
  </r>
  <r>
    <x v="1302"/>
    <d v="2023-06-30T00:00:00"/>
    <x v="2"/>
    <x v="2"/>
    <n v="4898"/>
    <n v="4"/>
    <n v="15"/>
    <x v="1278"/>
    <n v="2500.66"/>
    <n v="6650.55"/>
    <n v="0.39935567938894628"/>
    <x v="10"/>
    <x v="0"/>
    <n v="26"/>
    <x v="206"/>
    <s v="Retail"/>
    <x v="2"/>
  </r>
  <r>
    <x v="1303"/>
    <d v="2023-07-12T00:00:00"/>
    <x v="7"/>
    <x v="1"/>
    <n v="2192"/>
    <n v="8"/>
    <n v="5"/>
    <x v="1279"/>
    <n v="1531.72"/>
    <n v="4405.43"/>
    <n v="0.264444271033423"/>
    <x v="1"/>
    <x v="0"/>
    <n v="28"/>
    <x v="358"/>
    <s v="Wholesale"/>
    <x v="1"/>
  </r>
  <r>
    <x v="1304"/>
    <d v="2023-02-02T00:00:00"/>
    <x v="6"/>
    <x v="0"/>
    <n v="2926"/>
    <n v="6"/>
    <n v="5"/>
    <x v="1280"/>
    <n v="1476.82"/>
    <n v="7817.25"/>
    <n v="0.46871065222865776"/>
    <x v="3"/>
    <x v="0"/>
    <n v="5"/>
    <x v="438"/>
    <s v="Retail"/>
    <x v="2"/>
  </r>
  <r>
    <x v="1305"/>
    <d v="2023-07-03T00:00:00"/>
    <x v="5"/>
    <x v="4"/>
    <n v="3928"/>
    <n v="5"/>
    <n v="15"/>
    <x v="1281"/>
    <n v="2901.12"/>
    <n v="2188.41"/>
    <n v="0.13108961303462321"/>
    <x v="1"/>
    <x v="0"/>
    <n v="27"/>
    <x v="132"/>
    <s v="Retail"/>
    <x v="1"/>
  </r>
  <r>
    <x v="1306"/>
    <d v="2023-03-04T00:00:00"/>
    <x v="0"/>
    <x v="0"/>
    <n v="2183"/>
    <n v="9"/>
    <n v="15"/>
    <x v="1282"/>
    <n v="1744.28"/>
    <n v="1001.39"/>
    <n v="5.9963652585786183E-2"/>
    <x v="5"/>
    <x v="0"/>
    <n v="9"/>
    <x v="314"/>
    <s v="Wholesale"/>
    <x v="0"/>
  </r>
  <r>
    <x v="1307"/>
    <d v="2023-05-05T00:00:00"/>
    <x v="6"/>
    <x v="0"/>
    <n v="4928"/>
    <n v="4"/>
    <n v="15"/>
    <x v="1283"/>
    <n v="3691.03"/>
    <n v="1991.09"/>
    <n v="0.11883415297937355"/>
    <x v="2"/>
    <x v="0"/>
    <n v="18"/>
    <x v="45"/>
    <s v="Retail"/>
    <x v="3"/>
  </r>
  <r>
    <x v="1308"/>
    <d v="2023-04-09T00:00:00"/>
    <x v="4"/>
    <x v="3"/>
    <n v="4410"/>
    <n v="4"/>
    <n v="5"/>
    <x v="1284"/>
    <n v="2245.2399999999998"/>
    <n v="7777.05"/>
    <n v="0.46407984246330114"/>
    <x v="7"/>
    <x v="0"/>
    <n v="15"/>
    <x v="278"/>
    <s v="Retail"/>
    <x v="1"/>
  </r>
  <r>
    <x v="1309"/>
    <d v="2023-12-19T00:00:00"/>
    <x v="4"/>
    <x v="3"/>
    <n v="1676"/>
    <n v="10"/>
    <n v="0"/>
    <x v="1285"/>
    <n v="857.98"/>
    <n v="8180.21"/>
    <n v="0.48807935560859189"/>
    <x v="9"/>
    <x v="0"/>
    <n v="51"/>
    <x v="18"/>
    <s v="Retail"/>
    <x v="3"/>
  </r>
  <r>
    <x v="1310"/>
    <d v="2023-02-07T00:00:00"/>
    <x v="9"/>
    <x v="5"/>
    <n v="2328"/>
    <n v="8"/>
    <n v="10"/>
    <x v="1286"/>
    <n v="1701.47"/>
    <n v="3149.83"/>
    <n v="0.1879194110347461"/>
    <x v="3"/>
    <x v="0"/>
    <n v="6"/>
    <x v="353"/>
    <s v="Retail"/>
    <x v="2"/>
  </r>
  <r>
    <x v="1311"/>
    <d v="2023-01-06T00:00:00"/>
    <x v="6"/>
    <x v="0"/>
    <n v="4191"/>
    <n v="4"/>
    <n v="0"/>
    <x v="1287"/>
    <n v="3093.38"/>
    <n v="4390.4799999999996"/>
    <n v="0.26189930804104028"/>
    <x v="0"/>
    <x v="0"/>
    <n v="1"/>
    <x v="253"/>
    <s v="Wholesale"/>
    <x v="3"/>
  </r>
  <r>
    <x v="1312"/>
    <d v="2023-09-18T00:00:00"/>
    <x v="6"/>
    <x v="0"/>
    <n v="2803"/>
    <n v="6"/>
    <n v="0"/>
    <x v="1288"/>
    <n v="2030.13"/>
    <n v="4637.1899999999996"/>
    <n v="0.27572779165180161"/>
    <x v="8"/>
    <x v="0"/>
    <n v="38"/>
    <x v="437"/>
    <s v="Wholesale"/>
    <x v="3"/>
  </r>
  <r>
    <x v="1313"/>
    <d v="2023-01-24T00:00:00"/>
    <x v="9"/>
    <x v="5"/>
    <n v="1869"/>
    <n v="10"/>
    <n v="10"/>
    <x v="1289"/>
    <n v="1222.6400000000001"/>
    <n v="4594.62"/>
    <n v="0.27314785090065991"/>
    <x v="0"/>
    <x v="0"/>
    <n v="4"/>
    <x v="317"/>
    <s v="Wholesale"/>
    <x v="0"/>
  </r>
  <r>
    <x v="1314"/>
    <d v="2023-04-30T00:00:00"/>
    <x v="7"/>
    <x v="1"/>
    <n v="4221"/>
    <n v="4"/>
    <n v="0"/>
    <x v="1290"/>
    <n v="3286.62"/>
    <n v="3737.52"/>
    <n v="0.22136460554371001"/>
    <x v="7"/>
    <x v="0"/>
    <n v="18"/>
    <x v="37"/>
    <s v="Retail"/>
    <x v="3"/>
  </r>
  <r>
    <x v="1315"/>
    <d v="2023-07-26T00:00:00"/>
    <x v="1"/>
    <x v="1"/>
    <n v="2541"/>
    <n v="7"/>
    <n v="5"/>
    <x v="1291"/>
    <n v="1539.25"/>
    <n v="6122.93"/>
    <n v="0.36235393679002698"/>
    <x v="1"/>
    <x v="0"/>
    <n v="30"/>
    <x v="122"/>
    <s v="Wholesale"/>
    <x v="2"/>
  </r>
  <r>
    <x v="1316"/>
    <d v="2023-10-04T00:00:00"/>
    <x v="4"/>
    <x v="3"/>
    <n v="2965"/>
    <n v="6"/>
    <n v="5"/>
    <x v="1292"/>
    <n v="1529.43"/>
    <n v="7723.93"/>
    <n v="0.45702375669358897"/>
    <x v="11"/>
    <x v="0"/>
    <n v="40"/>
    <x v="155"/>
    <s v="Wholesale"/>
    <x v="3"/>
  </r>
  <r>
    <x v="1317"/>
    <d v="2023-06-03T00:00:00"/>
    <x v="1"/>
    <x v="1"/>
    <n v="3758"/>
    <n v="5"/>
    <n v="10"/>
    <x v="1293"/>
    <n v="2296.1"/>
    <n v="5430.48"/>
    <n v="0.32112116373957778"/>
    <x v="10"/>
    <x v="0"/>
    <n v="22"/>
    <x v="69"/>
    <s v="Retail"/>
    <x v="1"/>
  </r>
  <r>
    <x v="1318"/>
    <d v="2023-12-06T00:00:00"/>
    <x v="2"/>
    <x v="2"/>
    <n v="3563"/>
    <n v="5"/>
    <n v="5"/>
    <x v="1294"/>
    <n v="2198.2199999999998"/>
    <n v="5933.16"/>
    <n v="0.35057151720164853"/>
    <x v="9"/>
    <x v="0"/>
    <n v="49"/>
    <x v="105"/>
    <s v="Wholesale"/>
    <x v="3"/>
  </r>
  <r>
    <x v="1319"/>
    <d v="2023-08-12T00:00:00"/>
    <x v="0"/>
    <x v="0"/>
    <n v="2546"/>
    <n v="7"/>
    <n v="5"/>
    <x v="1295"/>
    <n v="1285.48"/>
    <n v="7932.54"/>
    <n v="0.4685244139413734"/>
    <x v="6"/>
    <x v="0"/>
    <n v="32"/>
    <x v="458"/>
    <s v="Wholesale"/>
    <x v="2"/>
  </r>
  <r>
    <x v="1320"/>
    <d v="2023-08-31T00:00:00"/>
    <x v="6"/>
    <x v="0"/>
    <n v="1993"/>
    <n v="10"/>
    <n v="15"/>
    <x v="1296"/>
    <n v="1189.95"/>
    <n v="5041.05"/>
    <n v="0.29757386145627346"/>
    <x v="6"/>
    <x v="0"/>
    <n v="35"/>
    <x v="418"/>
    <s v="Wholesale"/>
    <x v="1"/>
  </r>
  <r>
    <x v="1321"/>
    <d v="2023-06-21T00:00:00"/>
    <x v="1"/>
    <x v="1"/>
    <n v="2690"/>
    <n v="7"/>
    <n v="10"/>
    <x v="1297"/>
    <n v="1643.85"/>
    <n v="5440.06"/>
    <n v="0.3210043075470585"/>
    <x v="10"/>
    <x v="0"/>
    <n v="25"/>
    <x v="459"/>
    <s v="Retail"/>
    <x v="3"/>
  </r>
  <r>
    <x v="1322"/>
    <d v="2023-03-19T00:00:00"/>
    <x v="6"/>
    <x v="0"/>
    <n v="3770"/>
    <n v="5"/>
    <n v="10"/>
    <x v="1298"/>
    <n v="3011.65"/>
    <n v="1906.73"/>
    <n v="0.11239198349543177"/>
    <x v="5"/>
    <x v="0"/>
    <n v="12"/>
    <x v="108"/>
    <s v="Retail"/>
    <x v="1"/>
  </r>
  <r>
    <x v="1323"/>
    <d v="2023-02-21T00:00:00"/>
    <x v="5"/>
    <x v="4"/>
    <n v="3144"/>
    <n v="6"/>
    <n v="10"/>
    <x v="1299"/>
    <n v="2013.84"/>
    <n v="4894.59"/>
    <n v="0.28829693242861187"/>
    <x v="3"/>
    <x v="0"/>
    <n v="8"/>
    <x v="5"/>
    <s v="Retail"/>
    <x v="3"/>
  </r>
  <r>
    <x v="1324"/>
    <d v="2023-07-23T00:00:00"/>
    <x v="3"/>
    <x v="3"/>
    <n v="2366"/>
    <n v="8"/>
    <n v="10"/>
    <x v="1300"/>
    <n v="1484.98"/>
    <n v="5155.3599999999997"/>
    <n v="0.30262984878369492"/>
    <x v="1"/>
    <x v="0"/>
    <n v="30"/>
    <x v="75"/>
    <s v="Wholesale"/>
    <x v="0"/>
  </r>
  <r>
    <x v="1325"/>
    <d v="2023-02-11T00:00:00"/>
    <x v="4"/>
    <x v="3"/>
    <n v="3787"/>
    <n v="5"/>
    <n v="10"/>
    <x v="1301"/>
    <n v="2856.62"/>
    <n v="2758.41"/>
    <n v="0.1618642725112226"/>
    <x v="3"/>
    <x v="0"/>
    <n v="6"/>
    <x v="304"/>
    <s v="Wholesale"/>
    <x v="2"/>
  </r>
  <r>
    <x v="1326"/>
    <d v="2023-12-22T00:00:00"/>
    <x v="7"/>
    <x v="1"/>
    <n v="2865"/>
    <n v="7"/>
    <n v="15"/>
    <x v="1302"/>
    <n v="1443.62"/>
    <n v="6941.43"/>
    <n v="0.40719961282942496"/>
    <x v="9"/>
    <x v="0"/>
    <n v="51"/>
    <x v="420"/>
    <s v="Wholesale"/>
    <x v="2"/>
  </r>
  <r>
    <x v="1327"/>
    <d v="2023-11-20T00:00:00"/>
    <x v="0"/>
    <x v="0"/>
    <n v="2512"/>
    <n v="8"/>
    <n v="15"/>
    <x v="1303"/>
    <n v="1836.88"/>
    <n v="2386.52"/>
    <n v="0.13971290745597603"/>
    <x v="4"/>
    <x v="0"/>
    <n v="47"/>
    <x v="219"/>
    <s v="Retail"/>
    <x v="2"/>
  </r>
  <r>
    <x v="1328"/>
    <d v="2023-07-27T00:00:00"/>
    <x v="2"/>
    <x v="2"/>
    <n v="3164"/>
    <n v="6"/>
    <n v="10"/>
    <x v="1304"/>
    <n v="1631.13"/>
    <n v="7298.79"/>
    <n v="0.42718956314089063"/>
    <x v="1"/>
    <x v="0"/>
    <n v="30"/>
    <x v="293"/>
    <s v="Retail"/>
    <x v="3"/>
  </r>
  <r>
    <x v="1329"/>
    <d v="2023-07-10T00:00:00"/>
    <x v="7"/>
    <x v="1"/>
    <n v="2513"/>
    <n v="8"/>
    <n v="15"/>
    <x v="1305"/>
    <n v="1415.68"/>
    <n v="5762.95"/>
    <n v="0.3372433931789986"/>
    <x v="1"/>
    <x v="0"/>
    <n v="28"/>
    <x v="245"/>
    <s v="Wholesale"/>
    <x v="3"/>
  </r>
  <r>
    <x v="1330"/>
    <d v="2023-09-25T00:00:00"/>
    <x v="0"/>
    <x v="0"/>
    <n v="1712"/>
    <n v="10"/>
    <n v="0"/>
    <x v="1306"/>
    <n v="1224.3900000000001"/>
    <n v="4876.1000000000004"/>
    <n v="0.28481892523364488"/>
    <x v="8"/>
    <x v="0"/>
    <n v="39"/>
    <x v="272"/>
    <s v="Wholesale"/>
    <x v="3"/>
  </r>
  <r>
    <x v="1331"/>
    <d v="2023-01-29T00:00:00"/>
    <x v="1"/>
    <x v="1"/>
    <n v="4031"/>
    <n v="5"/>
    <n v="15"/>
    <x v="1307"/>
    <n v="3019.66"/>
    <n v="2033.45"/>
    <n v="0.1186948210194522"/>
    <x v="0"/>
    <x v="0"/>
    <n v="5"/>
    <x v="4"/>
    <s v="Retail"/>
    <x v="3"/>
  </r>
  <r>
    <x v="1332"/>
    <d v="2023-12-12T00:00:00"/>
    <x v="4"/>
    <x v="3"/>
    <n v="4288"/>
    <n v="4"/>
    <n v="0"/>
    <x v="1308"/>
    <n v="3378"/>
    <n v="3639.99"/>
    <n v="0.21221956623134328"/>
    <x v="9"/>
    <x v="0"/>
    <n v="50"/>
    <x v="197"/>
    <s v="Retail"/>
    <x v="2"/>
  </r>
  <r>
    <x v="1333"/>
    <d v="2023-03-30T00:00:00"/>
    <x v="7"/>
    <x v="1"/>
    <n v="4036"/>
    <n v="5"/>
    <n v="15"/>
    <x v="1309"/>
    <n v="2953.98"/>
    <n v="2383.1"/>
    <n v="0.13893196525389145"/>
    <x v="5"/>
    <x v="0"/>
    <n v="13"/>
    <x v="49"/>
    <s v="Wholesale"/>
    <x v="3"/>
  </r>
  <r>
    <x v="1334"/>
    <d v="2023-04-06T00:00:00"/>
    <x v="8"/>
    <x v="2"/>
    <n v="4296"/>
    <n v="4"/>
    <n v="0"/>
    <x v="1310"/>
    <n v="3239.47"/>
    <n v="4226.13"/>
    <n v="0.24593400837988827"/>
    <x v="7"/>
    <x v="0"/>
    <n v="14"/>
    <x v="430"/>
    <s v="Wholesale"/>
    <x v="2"/>
  </r>
  <r>
    <x v="1335"/>
    <d v="2023-03-30T00:00:00"/>
    <x v="3"/>
    <x v="3"/>
    <n v="2018"/>
    <n v="9"/>
    <n v="5"/>
    <x v="1311"/>
    <n v="1209.52"/>
    <n v="6368.26"/>
    <n v="0.36909104608233501"/>
    <x v="5"/>
    <x v="0"/>
    <n v="13"/>
    <x v="307"/>
    <s v="Wholesale"/>
    <x v="3"/>
  </r>
  <r>
    <x v="1336"/>
    <d v="2023-01-02T00:00:00"/>
    <x v="8"/>
    <x v="2"/>
    <n v="3390"/>
    <n v="6"/>
    <n v="15"/>
    <x v="1312"/>
    <n v="2476.66"/>
    <n v="2429.0500000000002"/>
    <n v="0.14049684770663429"/>
    <x v="0"/>
    <x v="0"/>
    <n v="1"/>
    <x v="316"/>
    <s v="Retail"/>
    <x v="3"/>
  </r>
  <r>
    <x v="1337"/>
    <d v="2023-10-22T00:00:00"/>
    <x v="7"/>
    <x v="1"/>
    <n v="3845"/>
    <n v="5"/>
    <n v="10"/>
    <x v="1313"/>
    <n v="2651.5"/>
    <n v="4045.01"/>
    <n v="0.23378182343591969"/>
    <x v="11"/>
    <x v="0"/>
    <n v="43"/>
    <x v="92"/>
    <s v="Wholesale"/>
    <x v="0"/>
  </r>
  <r>
    <x v="1338"/>
    <d v="2023-02-06T00:00:00"/>
    <x v="0"/>
    <x v="0"/>
    <n v="3849"/>
    <n v="5"/>
    <n v="10"/>
    <x v="1314"/>
    <n v="2608.19"/>
    <n v="4279.57"/>
    <n v="0.24708120435322303"/>
    <x v="3"/>
    <x v="0"/>
    <n v="6"/>
    <x v="460"/>
    <s v="Retail"/>
    <x v="2"/>
  </r>
  <r>
    <x v="1339"/>
    <d v="2023-07-14T00:00:00"/>
    <x v="7"/>
    <x v="1"/>
    <n v="2552"/>
    <n v="8"/>
    <n v="15"/>
    <x v="1315"/>
    <n v="1420.09"/>
    <n v="5992.92"/>
    <n v="0.34534160059007935"/>
    <x v="1"/>
    <x v="0"/>
    <n v="28"/>
    <x v="139"/>
    <s v="Wholesale"/>
    <x v="0"/>
  </r>
  <r>
    <x v="1340"/>
    <d v="2023-09-25T00:00:00"/>
    <x v="0"/>
    <x v="0"/>
    <n v="3474"/>
    <n v="5"/>
    <n v="0"/>
    <x v="1316"/>
    <n v="2472.23"/>
    <n v="5008.8500000000004"/>
    <n v="0.28836211859527922"/>
    <x v="8"/>
    <x v="0"/>
    <n v="39"/>
    <x v="461"/>
    <s v="Retail"/>
    <x v="3"/>
  </r>
  <r>
    <x v="1341"/>
    <d v="2023-06-04T00:00:00"/>
    <x v="6"/>
    <x v="0"/>
    <n v="2924"/>
    <n v="7"/>
    <n v="15"/>
    <x v="1317"/>
    <n v="2222.91"/>
    <n v="1837.43"/>
    <n v="0.10561277862718275"/>
    <x v="10"/>
    <x v="0"/>
    <n v="23"/>
    <x v="5"/>
    <s v="Wholesale"/>
    <x v="0"/>
  </r>
  <r>
    <x v="1342"/>
    <d v="2023-07-01T00:00:00"/>
    <x v="2"/>
    <x v="2"/>
    <n v="2050"/>
    <n v="10"/>
    <n v="15"/>
    <x v="1318"/>
    <n v="1603.49"/>
    <n v="1390.1"/>
    <n v="7.9776183644189383E-2"/>
    <x v="1"/>
    <x v="0"/>
    <n v="26"/>
    <x v="249"/>
    <s v="Wholesale"/>
    <x v="2"/>
  </r>
  <r>
    <x v="1343"/>
    <d v="2023-03-01T00:00:00"/>
    <x v="8"/>
    <x v="2"/>
    <n v="2490"/>
    <n v="7"/>
    <n v="0"/>
    <x v="1319"/>
    <n v="1578.83"/>
    <n v="6378.22"/>
    <n v="0.36593344807802641"/>
    <x v="5"/>
    <x v="0"/>
    <n v="9"/>
    <x v="116"/>
    <s v="Wholesale"/>
    <x v="3"/>
  </r>
  <r>
    <x v="1344"/>
    <d v="2023-10-06T00:00:00"/>
    <x v="6"/>
    <x v="0"/>
    <n v="2052"/>
    <n v="10"/>
    <n v="15"/>
    <x v="1320"/>
    <n v="1629.45"/>
    <n v="1147.52"/>
    <n v="6.5790620341703937E-2"/>
    <x v="11"/>
    <x v="0"/>
    <n v="40"/>
    <x v="382"/>
    <s v="Wholesale"/>
    <x v="0"/>
  </r>
  <r>
    <x v="1345"/>
    <d v="2023-03-20T00:00:00"/>
    <x v="8"/>
    <x v="2"/>
    <n v="2567"/>
    <n v="8"/>
    <n v="15"/>
    <x v="1321"/>
    <n v="1488.14"/>
    <n v="5550.48"/>
    <n v="0.31797703888723389"/>
    <x v="5"/>
    <x v="0"/>
    <n v="12"/>
    <x v="460"/>
    <s v="Retail"/>
    <x v="2"/>
  </r>
  <r>
    <x v="1346"/>
    <d v="2023-04-11T00:00:00"/>
    <x v="7"/>
    <x v="1"/>
    <n v="3495"/>
    <n v="5"/>
    <n v="0"/>
    <x v="1322"/>
    <n v="2045.53"/>
    <n v="7247.35"/>
    <n v="0.41472675250357655"/>
    <x v="7"/>
    <x v="0"/>
    <n v="15"/>
    <x v="250"/>
    <s v="Wholesale"/>
    <x v="1"/>
  </r>
  <r>
    <x v="1347"/>
    <d v="2023-02-20T00:00:00"/>
    <x v="7"/>
    <x v="1"/>
    <n v="1753"/>
    <n v="10"/>
    <n v="0"/>
    <x v="1323"/>
    <n v="1189.6400000000001"/>
    <n v="5633.64"/>
    <n v="0.3213713633770679"/>
    <x v="3"/>
    <x v="0"/>
    <n v="8"/>
    <x v="76"/>
    <s v="Wholesale"/>
    <x v="1"/>
  </r>
  <r>
    <x v="1348"/>
    <d v="2023-11-03T00:00:00"/>
    <x v="0"/>
    <x v="0"/>
    <n v="3694"/>
    <n v="5"/>
    <n v="5"/>
    <x v="1324"/>
    <n v="2116.91"/>
    <n v="6961.94"/>
    <n v="0.39677086598466926"/>
    <x v="4"/>
    <x v="0"/>
    <n v="44"/>
    <x v="256"/>
    <s v="Wholesale"/>
    <x v="0"/>
  </r>
  <r>
    <x v="1349"/>
    <d v="2023-10-05T00:00:00"/>
    <x v="3"/>
    <x v="3"/>
    <n v="3252"/>
    <n v="6"/>
    <n v="10"/>
    <x v="1325"/>
    <n v="2188.89"/>
    <n v="4427.4799999999996"/>
    <n v="0.25212291011799004"/>
    <x v="11"/>
    <x v="0"/>
    <n v="40"/>
    <x v="462"/>
    <s v="Wholesale"/>
    <x v="2"/>
  </r>
  <r>
    <x v="1350"/>
    <d v="2023-12-26T00:00:00"/>
    <x v="3"/>
    <x v="3"/>
    <n v="1952"/>
    <n v="9"/>
    <n v="0"/>
    <x v="1326"/>
    <n v="1051.0999999999999"/>
    <n v="8108.12"/>
    <n v="0.46152777777777776"/>
    <x v="9"/>
    <x v="0"/>
    <n v="52"/>
    <x v="401"/>
    <s v="Wholesale"/>
    <x v="0"/>
  </r>
  <r>
    <x v="1351"/>
    <d v="2023-04-13T00:00:00"/>
    <x v="1"/>
    <x v="1"/>
    <n v="4880"/>
    <n v="4"/>
    <n v="10"/>
    <x v="1326"/>
    <n v="2478.27"/>
    <n v="7654.92"/>
    <n v="0.43573087431693991"/>
    <x v="7"/>
    <x v="0"/>
    <n v="15"/>
    <x v="424"/>
    <s v="Retail"/>
    <x v="2"/>
  </r>
  <r>
    <x v="1352"/>
    <d v="2023-02-21T00:00:00"/>
    <x v="8"/>
    <x v="2"/>
    <n v="2056"/>
    <n v="9"/>
    <n v="5"/>
    <x v="1327"/>
    <n v="1317.45"/>
    <n v="5721.76"/>
    <n v="0.32549206999340119"/>
    <x v="3"/>
    <x v="0"/>
    <n v="8"/>
    <x v="463"/>
    <s v="Retail"/>
    <x v="0"/>
  </r>
  <r>
    <x v="1353"/>
    <d v="2023-06-17T00:00:00"/>
    <x v="3"/>
    <x v="3"/>
    <n v="4407"/>
    <n v="4"/>
    <n v="0"/>
    <x v="1328"/>
    <n v="3254.1"/>
    <n v="4611.6099999999997"/>
    <n v="0.26160710233719081"/>
    <x v="10"/>
    <x v="0"/>
    <n v="24"/>
    <x v="356"/>
    <s v="Wholesale"/>
    <x v="1"/>
  </r>
  <r>
    <x v="1354"/>
    <d v="2023-08-09T00:00:00"/>
    <x v="0"/>
    <x v="0"/>
    <n v="2523"/>
    <n v="7"/>
    <n v="0"/>
    <x v="1329"/>
    <n v="1545.66"/>
    <n v="6841.38"/>
    <n v="0.38737217598097501"/>
    <x v="6"/>
    <x v="0"/>
    <n v="32"/>
    <x v="335"/>
    <s v="Wholesale"/>
    <x v="0"/>
  </r>
  <r>
    <x v="1355"/>
    <d v="2023-10-17T00:00:00"/>
    <x v="9"/>
    <x v="5"/>
    <n v="1769"/>
    <n v="10"/>
    <n v="0"/>
    <x v="1330"/>
    <n v="1183.97"/>
    <n v="5850.34"/>
    <n v="0.3307145279819107"/>
    <x v="11"/>
    <x v="0"/>
    <n v="42"/>
    <x v="360"/>
    <s v="Wholesale"/>
    <x v="0"/>
  </r>
  <r>
    <x v="1356"/>
    <d v="2023-01-09T00:00:00"/>
    <x v="4"/>
    <x v="3"/>
    <n v="3726"/>
    <n v="5"/>
    <n v="5"/>
    <x v="1331"/>
    <n v="2337.77"/>
    <n v="6009.67"/>
    <n v="0.33955815464587397"/>
    <x v="0"/>
    <x v="0"/>
    <n v="2"/>
    <x v="171"/>
    <s v="Wholesale"/>
    <x v="0"/>
  </r>
  <r>
    <x v="1357"/>
    <d v="2023-06-17T00:00:00"/>
    <x v="7"/>
    <x v="1"/>
    <n v="2604"/>
    <n v="8"/>
    <n v="15"/>
    <x v="1332"/>
    <n v="2002.96"/>
    <n v="1683.54"/>
    <n v="9.5076579018704255E-2"/>
    <x v="10"/>
    <x v="0"/>
    <n v="24"/>
    <x v="364"/>
    <s v="Wholesale"/>
    <x v="3"/>
  </r>
  <r>
    <x v="1358"/>
    <d v="2023-11-17T00:00:00"/>
    <x v="7"/>
    <x v="1"/>
    <n v="4174"/>
    <n v="5"/>
    <n v="15"/>
    <x v="1333"/>
    <n v="3291.5"/>
    <n v="1281.98"/>
    <n v="7.2266974830181241E-2"/>
    <x v="4"/>
    <x v="0"/>
    <n v="46"/>
    <x v="309"/>
    <s v="Retail"/>
    <x v="1"/>
  </r>
  <r>
    <x v="1359"/>
    <d v="2023-07-15T00:00:00"/>
    <x v="1"/>
    <x v="1"/>
    <n v="3288"/>
    <n v="6"/>
    <n v="10"/>
    <x v="1334"/>
    <n v="2144.98"/>
    <n v="4885.34"/>
    <n v="0.27514981526538707"/>
    <x v="1"/>
    <x v="0"/>
    <n v="28"/>
    <x v="200"/>
    <s v="Wholesale"/>
    <x v="3"/>
  </r>
  <r>
    <x v="1360"/>
    <d v="2023-10-24T00:00:00"/>
    <x v="3"/>
    <x v="3"/>
    <n v="2537"/>
    <n v="7"/>
    <n v="0"/>
    <x v="1335"/>
    <n v="1477.9"/>
    <n v="7413.69"/>
    <n v="0.41746100568725714"/>
    <x v="11"/>
    <x v="0"/>
    <n v="43"/>
    <x v="206"/>
    <s v="Retail"/>
    <x v="1"/>
  </r>
  <r>
    <x v="1361"/>
    <d v="2023-02-06T00:00:00"/>
    <x v="5"/>
    <x v="4"/>
    <n v="2323"/>
    <n v="9"/>
    <n v="15"/>
    <x v="1336"/>
    <n v="1615.81"/>
    <n v="3228.65"/>
    <n v="0.18168133948944767"/>
    <x v="3"/>
    <x v="0"/>
    <n v="6"/>
    <x v="437"/>
    <s v="Wholesale"/>
    <x v="3"/>
  </r>
  <r>
    <x v="1362"/>
    <d v="2023-04-03T00:00:00"/>
    <x v="5"/>
    <x v="4"/>
    <n v="2540"/>
    <n v="7"/>
    <n v="0"/>
    <x v="1337"/>
    <n v="1271.8900000000001"/>
    <n v="8876.75"/>
    <n v="0.49925478065241846"/>
    <x v="7"/>
    <x v="0"/>
    <n v="14"/>
    <x v="232"/>
    <s v="Retail"/>
    <x v="1"/>
  </r>
  <r>
    <x v="1363"/>
    <d v="2023-10-02T00:00:00"/>
    <x v="7"/>
    <x v="1"/>
    <n v="2197"/>
    <n v="9"/>
    <n v="10"/>
    <x v="1338"/>
    <n v="1592.92"/>
    <n v="3459.45"/>
    <n v="0.19439808493062929"/>
    <x v="11"/>
    <x v="0"/>
    <n v="40"/>
    <x v="418"/>
    <s v="Wholesale"/>
    <x v="1"/>
  </r>
  <r>
    <x v="1364"/>
    <d v="2023-04-13T00:00:00"/>
    <x v="4"/>
    <x v="3"/>
    <n v="2083"/>
    <n v="9"/>
    <n v="5"/>
    <x v="1339"/>
    <n v="1294.96"/>
    <n v="6154.99"/>
    <n v="0.34559859402065729"/>
    <x v="7"/>
    <x v="0"/>
    <n v="15"/>
    <x v="186"/>
    <s v="Retail"/>
    <x v="2"/>
  </r>
  <r>
    <x v="1365"/>
    <d v="2023-09-15T00:00:00"/>
    <x v="6"/>
    <x v="0"/>
    <n v="1979"/>
    <n v="10"/>
    <n v="10"/>
    <x v="1340"/>
    <n v="1263.58"/>
    <n v="5175.2"/>
    <n v="0.29056201223962719"/>
    <x v="8"/>
    <x v="0"/>
    <n v="37"/>
    <x v="202"/>
    <s v="Retail"/>
    <x v="2"/>
  </r>
  <r>
    <x v="1366"/>
    <d v="2023-04-19T00:00:00"/>
    <x v="1"/>
    <x v="1"/>
    <n v="4950"/>
    <n v="4"/>
    <n v="10"/>
    <x v="1341"/>
    <n v="3366.29"/>
    <n v="4354.84"/>
    <n v="0.24437934904601571"/>
    <x v="7"/>
    <x v="0"/>
    <n v="16"/>
    <x v="464"/>
    <s v="Retail"/>
    <x v="2"/>
  </r>
  <r>
    <x v="1367"/>
    <d v="2023-08-05T00:00:00"/>
    <x v="0"/>
    <x v="0"/>
    <n v="2680"/>
    <n v="7"/>
    <n v="5"/>
    <x v="1342"/>
    <n v="1882.3"/>
    <n v="4645.92"/>
    <n v="0.26068454718886769"/>
    <x v="6"/>
    <x v="0"/>
    <n v="31"/>
    <x v="182"/>
    <s v="Wholesale"/>
    <x v="0"/>
  </r>
  <r>
    <x v="1368"/>
    <d v="2023-06-21T00:00:00"/>
    <x v="9"/>
    <x v="5"/>
    <n v="4200"/>
    <n v="5"/>
    <n v="15"/>
    <x v="1343"/>
    <n v="2187.56"/>
    <n v="6912.2"/>
    <n v="0.38723809523809521"/>
    <x v="10"/>
    <x v="0"/>
    <n v="25"/>
    <x v="217"/>
    <s v="Retail"/>
    <x v="3"/>
  </r>
  <r>
    <x v="1369"/>
    <d v="2023-06-17T00:00:00"/>
    <x v="9"/>
    <x v="5"/>
    <n v="2551"/>
    <n v="7"/>
    <n v="0"/>
    <x v="1344"/>
    <n v="1586.96"/>
    <n v="6748.29"/>
    <n v="0.37790726325810609"/>
    <x v="10"/>
    <x v="0"/>
    <n v="24"/>
    <x v="465"/>
    <s v="Retail"/>
    <x v="3"/>
  </r>
  <r>
    <x v="1370"/>
    <d v="2023-10-01T00:00:00"/>
    <x v="0"/>
    <x v="0"/>
    <n v="3578"/>
    <n v="5"/>
    <n v="0"/>
    <x v="1345"/>
    <n v="2161.2800000000002"/>
    <n v="7083.61"/>
    <n v="0.39595360536612628"/>
    <x v="11"/>
    <x v="0"/>
    <n v="40"/>
    <x v="139"/>
    <s v="Wholesale"/>
    <x v="2"/>
  </r>
  <r>
    <x v="1371"/>
    <d v="2023-06-24T00:00:00"/>
    <x v="2"/>
    <x v="2"/>
    <n v="2210"/>
    <n v="9"/>
    <n v="10"/>
    <x v="1346"/>
    <n v="1656.12"/>
    <n v="2995.96"/>
    <n v="0.16736271716663872"/>
    <x v="10"/>
    <x v="0"/>
    <n v="25"/>
    <x v="466"/>
    <s v="Wholesale"/>
    <x v="3"/>
  </r>
  <r>
    <x v="1372"/>
    <d v="2023-11-07T00:00:00"/>
    <x v="7"/>
    <x v="1"/>
    <n v="3996"/>
    <n v="5"/>
    <n v="10"/>
    <x v="1347"/>
    <n v="2511.02"/>
    <n v="5426.92"/>
    <n v="0.30179735290846404"/>
    <x v="4"/>
    <x v="0"/>
    <n v="45"/>
    <x v="124"/>
    <s v="Retail"/>
    <x v="1"/>
  </r>
  <r>
    <x v="1373"/>
    <d v="2023-05-26T00:00:00"/>
    <x v="6"/>
    <x v="0"/>
    <n v="4501"/>
    <n v="4"/>
    <n v="0"/>
    <x v="1348"/>
    <n v="2475.79"/>
    <n v="8100.86"/>
    <n v="0.44994778938013774"/>
    <x v="2"/>
    <x v="0"/>
    <n v="21"/>
    <x v="116"/>
    <s v="Retail"/>
    <x v="3"/>
  </r>
  <r>
    <x v="1374"/>
    <d v="2023-06-20T00:00:00"/>
    <x v="9"/>
    <x v="5"/>
    <n v="2224"/>
    <n v="9"/>
    <n v="10"/>
    <x v="1349"/>
    <n v="1409.45"/>
    <n v="5329.35"/>
    <n v="0.29583832933653076"/>
    <x v="10"/>
    <x v="0"/>
    <n v="25"/>
    <x v="331"/>
    <s v="Wholesale"/>
    <x v="3"/>
  </r>
  <r>
    <x v="1375"/>
    <d v="2023-08-01T00:00:00"/>
    <x v="0"/>
    <x v="0"/>
    <n v="3162"/>
    <n v="6"/>
    <n v="5"/>
    <x v="1350"/>
    <n v="1607.92"/>
    <n v="8375.89"/>
    <n v="0.4647230822153422"/>
    <x v="6"/>
    <x v="0"/>
    <n v="31"/>
    <x v="3"/>
    <s v="Wholesale"/>
    <x v="0"/>
  </r>
  <r>
    <x v="1376"/>
    <d v="2023-10-08T00:00:00"/>
    <x v="0"/>
    <x v="0"/>
    <n v="3338"/>
    <n v="6"/>
    <n v="10"/>
    <x v="1351"/>
    <n v="1857.16"/>
    <n v="6882.23"/>
    <n v="0.38181157490624235"/>
    <x v="11"/>
    <x v="0"/>
    <n v="41"/>
    <x v="151"/>
    <s v="Retail"/>
    <x v="0"/>
  </r>
  <r>
    <x v="1377"/>
    <d v="2023-03-13T00:00:00"/>
    <x v="8"/>
    <x v="2"/>
    <n v="4247"/>
    <n v="5"/>
    <n v="15"/>
    <x v="1352"/>
    <n v="2216.0700000000002"/>
    <n v="6969.4"/>
    <n v="0.38612169143616948"/>
    <x v="5"/>
    <x v="0"/>
    <n v="11"/>
    <x v="398"/>
    <s v="Retail"/>
    <x v="1"/>
  </r>
  <r>
    <x v="1378"/>
    <d v="2023-04-14T00:00:00"/>
    <x v="4"/>
    <x v="3"/>
    <n v="3169"/>
    <n v="6"/>
    <n v="5"/>
    <x v="1353"/>
    <n v="1901.6"/>
    <n v="6653.68"/>
    <n v="0.36835351237038638"/>
    <x v="7"/>
    <x v="0"/>
    <n v="15"/>
    <x v="110"/>
    <s v="Retail"/>
    <x v="3"/>
  </r>
  <r>
    <x v="1379"/>
    <d v="2023-02-03T00:00:00"/>
    <x v="8"/>
    <x v="2"/>
    <n v="2365"/>
    <n v="9"/>
    <n v="15"/>
    <x v="1354"/>
    <n v="1677.93"/>
    <n v="2990.84"/>
    <n v="0.16531056115187442"/>
    <x v="3"/>
    <x v="0"/>
    <n v="5"/>
    <x v="346"/>
    <s v="Retail"/>
    <x v="3"/>
  </r>
  <r>
    <x v="1380"/>
    <d v="2023-08-13T00:00:00"/>
    <x v="2"/>
    <x v="2"/>
    <n v="1906"/>
    <n v="10"/>
    <n v="5"/>
    <x v="1355"/>
    <n v="1268.32"/>
    <n v="5423.83"/>
    <n v="0.29954327055834762"/>
    <x v="6"/>
    <x v="0"/>
    <n v="33"/>
    <x v="467"/>
    <s v="Wholesale"/>
    <x v="1"/>
  </r>
  <r>
    <x v="1381"/>
    <d v="2023-10-07T00:00:00"/>
    <x v="4"/>
    <x v="3"/>
    <n v="2876"/>
    <n v="7"/>
    <n v="10"/>
    <x v="1356"/>
    <n v="1517.94"/>
    <n v="7493.22"/>
    <n v="0.41356050069541034"/>
    <x v="11"/>
    <x v="0"/>
    <n v="40"/>
    <x v="320"/>
    <s v="Wholesale"/>
    <x v="0"/>
  </r>
  <r>
    <x v="1382"/>
    <d v="2023-09-03T00:00:00"/>
    <x v="6"/>
    <x v="0"/>
    <n v="4031"/>
    <n v="5"/>
    <n v="10"/>
    <x v="1357"/>
    <n v="2121.91"/>
    <n v="7529.94"/>
    <n v="0.41511287521706769"/>
    <x v="8"/>
    <x v="0"/>
    <n v="36"/>
    <x v="358"/>
    <s v="Retail"/>
    <x v="3"/>
  </r>
  <r>
    <x v="1383"/>
    <d v="2023-07-17T00:00:00"/>
    <x v="9"/>
    <x v="5"/>
    <n v="3630"/>
    <n v="5"/>
    <n v="0"/>
    <x v="1358"/>
    <n v="1985.31"/>
    <n v="8223.43"/>
    <n v="0.45308154269972456"/>
    <x v="1"/>
    <x v="0"/>
    <n v="29"/>
    <x v="143"/>
    <s v="Wholesale"/>
    <x v="3"/>
  </r>
  <r>
    <x v="1384"/>
    <d v="2023-01-17T00:00:00"/>
    <x v="0"/>
    <x v="0"/>
    <n v="3822"/>
    <n v="5"/>
    <n v="5"/>
    <x v="1359"/>
    <n v="2122.92"/>
    <n v="7539.89"/>
    <n v="0.41531796524277731"/>
    <x v="0"/>
    <x v="0"/>
    <n v="3"/>
    <x v="398"/>
    <s v="Wholesale"/>
    <x v="1"/>
  </r>
  <r>
    <x v="1385"/>
    <d v="2023-06-18T00:00:00"/>
    <x v="9"/>
    <x v="5"/>
    <n v="2674"/>
    <n v="8"/>
    <n v="15"/>
    <x v="1360"/>
    <n v="2036.2"/>
    <n v="1893.63"/>
    <n v="0.10414173522812266"/>
    <x v="10"/>
    <x v="0"/>
    <n v="25"/>
    <x v="468"/>
    <s v="Wholesale"/>
    <x v="3"/>
  </r>
  <r>
    <x v="1386"/>
    <d v="2023-05-18T00:00:00"/>
    <x v="8"/>
    <x v="2"/>
    <n v="3208"/>
    <n v="6"/>
    <n v="5"/>
    <x v="1361"/>
    <n v="2479.52"/>
    <n v="3408.5"/>
    <n v="0.18640350877192985"/>
    <x v="2"/>
    <x v="0"/>
    <n v="20"/>
    <x v="327"/>
    <s v="Wholesale"/>
    <x v="0"/>
  </r>
  <r>
    <x v="1387"/>
    <d v="2023-07-14T00:00:00"/>
    <x v="4"/>
    <x v="3"/>
    <n v="4064"/>
    <n v="5"/>
    <n v="10"/>
    <x v="1362"/>
    <n v="2124.0300000000002"/>
    <n v="7667.84"/>
    <n v="0.41928258967629045"/>
    <x v="1"/>
    <x v="0"/>
    <n v="28"/>
    <x v="248"/>
    <s v="Wholesale"/>
    <x v="3"/>
  </r>
  <r>
    <x v="1388"/>
    <d v="2023-05-19T00:00:00"/>
    <x v="9"/>
    <x v="5"/>
    <n v="2694"/>
    <n v="8"/>
    <n v="15"/>
    <x v="1363"/>
    <n v="1487.56"/>
    <n v="6418.74"/>
    <n v="0.35038320450674698"/>
    <x v="2"/>
    <x v="0"/>
    <n v="20"/>
    <x v="308"/>
    <s v="Retail"/>
    <x v="0"/>
  </r>
  <r>
    <x v="1389"/>
    <d v="2023-03-01T00:00:00"/>
    <x v="2"/>
    <x v="2"/>
    <n v="2553"/>
    <n v="8"/>
    <n v="10"/>
    <x v="1364"/>
    <n v="1316.74"/>
    <n v="7847.64"/>
    <n v="0.42692910301605957"/>
    <x v="5"/>
    <x v="0"/>
    <n v="9"/>
    <x v="173"/>
    <s v="Retail"/>
    <x v="2"/>
  </r>
  <r>
    <x v="1390"/>
    <d v="2023-08-29T00:00:00"/>
    <x v="5"/>
    <x v="4"/>
    <n v="3091"/>
    <n v="7"/>
    <n v="15"/>
    <x v="1365"/>
    <n v="2132.85"/>
    <n v="3461.5"/>
    <n v="0.18821245741907244"/>
    <x v="6"/>
    <x v="0"/>
    <n v="35"/>
    <x v="306"/>
    <s v="Wholesale"/>
    <x v="1"/>
  </r>
  <r>
    <x v="1391"/>
    <d v="2023-07-04T00:00:00"/>
    <x v="4"/>
    <x v="3"/>
    <n v="4601"/>
    <n v="4"/>
    <n v="0"/>
    <x v="1366"/>
    <n v="2401.2800000000002"/>
    <n v="8798.8700000000008"/>
    <n v="0.47809552271245387"/>
    <x v="1"/>
    <x v="0"/>
    <n v="27"/>
    <x v="273"/>
    <s v="Wholesale"/>
    <x v="2"/>
  </r>
  <r>
    <x v="1392"/>
    <d v="2023-07-20T00:00:00"/>
    <x v="2"/>
    <x v="2"/>
    <n v="2425"/>
    <n v="8"/>
    <n v="5"/>
    <x v="1367"/>
    <n v="1865.73"/>
    <n v="3504.12"/>
    <n v="0.19013130765056971"/>
    <x v="1"/>
    <x v="0"/>
    <n v="29"/>
    <x v="410"/>
    <s v="Retail"/>
    <x v="1"/>
  </r>
  <r>
    <x v="1393"/>
    <d v="2023-07-23T00:00:00"/>
    <x v="9"/>
    <x v="5"/>
    <n v="3238"/>
    <n v="6"/>
    <n v="5"/>
    <x v="1368"/>
    <n v="2269.83"/>
    <n v="4837.6099999999997"/>
    <n v="0.26210732204197956"/>
    <x v="1"/>
    <x v="0"/>
    <n v="30"/>
    <x v="230"/>
    <s v="Wholesale"/>
    <x v="0"/>
  </r>
  <r>
    <x v="1394"/>
    <d v="2023-07-23T00:00:00"/>
    <x v="9"/>
    <x v="5"/>
    <n v="2308"/>
    <n v="8"/>
    <n v="0"/>
    <x v="1369"/>
    <n v="1356.83"/>
    <n v="7609.35"/>
    <n v="0.4121181759098787"/>
    <x v="1"/>
    <x v="0"/>
    <n v="30"/>
    <x v="47"/>
    <s v="Retail"/>
    <x v="0"/>
  </r>
  <r>
    <x v="1395"/>
    <d v="2023-08-27T00:00:00"/>
    <x v="3"/>
    <x v="3"/>
    <n v="3427"/>
    <n v="6"/>
    <n v="10"/>
    <x v="1370"/>
    <n v="2566.9299999999998"/>
    <n v="3104.25"/>
    <n v="0.16774470706481212"/>
    <x v="6"/>
    <x v="0"/>
    <n v="35"/>
    <x v="0"/>
    <s v="Wholesale"/>
    <x v="2"/>
  </r>
  <r>
    <x v="1396"/>
    <d v="2023-05-20T00:00:00"/>
    <x v="4"/>
    <x v="3"/>
    <n v="4873"/>
    <n v="4"/>
    <n v="5"/>
    <x v="1371"/>
    <n v="3665.43"/>
    <n v="3855.67"/>
    <n v="0.20821875641288731"/>
    <x v="2"/>
    <x v="0"/>
    <n v="20"/>
    <x v="288"/>
    <s v="Wholesale"/>
    <x v="3"/>
  </r>
  <r>
    <x v="1397"/>
    <d v="2023-07-07T00:00:00"/>
    <x v="3"/>
    <x v="3"/>
    <n v="2059"/>
    <n v="10"/>
    <n v="10"/>
    <x v="1372"/>
    <n v="1504.16"/>
    <n v="3489.44"/>
    <n v="0.18830284388322271"/>
    <x v="1"/>
    <x v="0"/>
    <n v="27"/>
    <x v="220"/>
    <s v="Wholesale"/>
    <x v="1"/>
  </r>
  <r>
    <x v="1398"/>
    <d v="2023-08-18T00:00:00"/>
    <x v="8"/>
    <x v="2"/>
    <n v="3902"/>
    <n v="5"/>
    <n v="5"/>
    <x v="1373"/>
    <n v="2056.44"/>
    <n v="8252.2900000000009"/>
    <n v="0.44523941838193642"/>
    <x v="6"/>
    <x v="0"/>
    <n v="33"/>
    <x v="453"/>
    <s v="Wholesale"/>
    <x v="2"/>
  </r>
  <r>
    <x v="1399"/>
    <d v="2023-10-28T00:00:00"/>
    <x v="0"/>
    <x v="0"/>
    <n v="3903"/>
    <n v="5"/>
    <n v="5"/>
    <x v="1374"/>
    <n v="2874.91"/>
    <n v="4164.68"/>
    <n v="0.22464123413838211"/>
    <x v="11"/>
    <x v="0"/>
    <n v="43"/>
    <x v="416"/>
    <s v="Wholesale"/>
    <x v="2"/>
  </r>
  <r>
    <x v="1400"/>
    <d v="2023-02-14T00:00:00"/>
    <x v="4"/>
    <x v="3"/>
    <n v="4636"/>
    <n v="4"/>
    <n v="0"/>
    <x v="1375"/>
    <n v="3610.1"/>
    <n v="4103.6000000000004"/>
    <n v="0.22128990509059537"/>
    <x v="3"/>
    <x v="0"/>
    <n v="7"/>
    <x v="1"/>
    <s v="Retail"/>
    <x v="0"/>
  </r>
  <r>
    <x v="1401"/>
    <d v="2023-03-26T00:00:00"/>
    <x v="5"/>
    <x v="4"/>
    <n v="2427"/>
    <n v="9"/>
    <n v="15"/>
    <x v="1376"/>
    <n v="1488.73"/>
    <n v="5168.0200000000004"/>
    <n v="0.27835112069824497"/>
    <x v="5"/>
    <x v="0"/>
    <n v="13"/>
    <x v="457"/>
    <s v="Wholesale"/>
    <x v="2"/>
  </r>
  <r>
    <x v="1402"/>
    <d v="2023-04-29T00:00:00"/>
    <x v="2"/>
    <x v="2"/>
    <n v="2579"/>
    <n v="8"/>
    <n v="10"/>
    <x v="1377"/>
    <n v="1392.07"/>
    <n v="7432.27"/>
    <n v="0.40025580543707728"/>
    <x v="7"/>
    <x v="0"/>
    <n v="17"/>
    <x v="140"/>
    <s v="Retail"/>
    <x v="1"/>
  </r>
  <r>
    <x v="1403"/>
    <d v="2023-02-08T00:00:00"/>
    <x v="4"/>
    <x v="3"/>
    <n v="2064"/>
    <n v="9"/>
    <n v="0"/>
    <x v="1378"/>
    <n v="1227.6300000000001"/>
    <n v="7527.37"/>
    <n v="0.40522017657192078"/>
    <x v="3"/>
    <x v="0"/>
    <n v="6"/>
    <x v="74"/>
    <s v="Wholesale"/>
    <x v="0"/>
  </r>
  <r>
    <x v="1404"/>
    <d v="2023-08-07T00:00:00"/>
    <x v="3"/>
    <x v="3"/>
    <n v="3727"/>
    <n v="5"/>
    <n v="0"/>
    <x v="1379"/>
    <n v="2264.0100000000002"/>
    <n v="7314.97"/>
    <n v="0.39253930775422591"/>
    <x v="6"/>
    <x v="0"/>
    <n v="32"/>
    <x v="184"/>
    <s v="Retail"/>
    <x v="0"/>
  </r>
  <r>
    <x v="1405"/>
    <d v="2023-03-22T00:00:00"/>
    <x v="5"/>
    <x v="4"/>
    <n v="2193"/>
    <n v="10"/>
    <n v="15"/>
    <x v="1380"/>
    <n v="1147.8399999999999"/>
    <n v="7162.1"/>
    <n v="0.38422252621979025"/>
    <x v="5"/>
    <x v="0"/>
    <n v="12"/>
    <x v="205"/>
    <s v="Wholesale"/>
    <x v="1"/>
  </r>
  <r>
    <x v="1406"/>
    <d v="2023-04-30T00:00:00"/>
    <x v="7"/>
    <x v="1"/>
    <n v="3271"/>
    <n v="6"/>
    <n v="5"/>
    <x v="1381"/>
    <n v="1970.24"/>
    <n v="6823.27"/>
    <n v="0.365962981437084"/>
    <x v="7"/>
    <x v="0"/>
    <n v="18"/>
    <x v="379"/>
    <s v="Retail"/>
    <x v="0"/>
  </r>
  <r>
    <x v="1407"/>
    <d v="2023-01-02T00:00:00"/>
    <x v="6"/>
    <x v="0"/>
    <n v="2669"/>
    <n v="7"/>
    <n v="0"/>
    <x v="1382"/>
    <n v="1807.08"/>
    <n v="6033.45"/>
    <n v="0.32293796499491517"/>
    <x v="0"/>
    <x v="0"/>
    <n v="1"/>
    <x v="257"/>
    <s v="Retail"/>
    <x v="2"/>
  </r>
  <r>
    <x v="1408"/>
    <d v="2023-07-11T00:00:00"/>
    <x v="9"/>
    <x v="5"/>
    <n v="4676"/>
    <n v="4"/>
    <n v="0"/>
    <x v="1383"/>
    <n v="2563.4899999999998"/>
    <n v="8450.0400000000009"/>
    <n v="0.45177715996578277"/>
    <x v="1"/>
    <x v="0"/>
    <n v="28"/>
    <x v="256"/>
    <s v="Wholesale"/>
    <x v="3"/>
  </r>
  <r>
    <x v="1409"/>
    <d v="2023-03-28T00:00:00"/>
    <x v="1"/>
    <x v="1"/>
    <n v="4403"/>
    <n v="5"/>
    <n v="15"/>
    <x v="1384"/>
    <n v="2713.44"/>
    <n v="5145.55"/>
    <n v="0.27497561822821337"/>
    <x v="5"/>
    <x v="0"/>
    <n v="13"/>
    <x v="372"/>
    <s v="Retail"/>
    <x v="3"/>
  </r>
  <r>
    <x v="1410"/>
    <d v="2023-10-04T00:00:00"/>
    <x v="2"/>
    <x v="2"/>
    <n v="3670"/>
    <n v="6"/>
    <n v="15"/>
    <x v="1385"/>
    <n v="2580.19"/>
    <n v="3235.86"/>
    <n v="0.1728834749158519"/>
    <x v="11"/>
    <x v="0"/>
    <n v="40"/>
    <x v="394"/>
    <s v="Wholesale"/>
    <x v="3"/>
  </r>
  <r>
    <x v="1411"/>
    <d v="2023-09-14T00:00:00"/>
    <x v="6"/>
    <x v="0"/>
    <n v="3470"/>
    <n v="6"/>
    <n v="10"/>
    <x v="1386"/>
    <n v="2136.37"/>
    <n v="5919.75"/>
    <n v="0.31592219020172913"/>
    <x v="8"/>
    <x v="0"/>
    <n v="37"/>
    <x v="128"/>
    <s v="Wholesale"/>
    <x v="0"/>
  </r>
  <r>
    <x v="1412"/>
    <d v="2023-01-22T00:00:00"/>
    <x v="4"/>
    <x v="3"/>
    <n v="2205"/>
    <n v="10"/>
    <n v="15"/>
    <x v="1387"/>
    <n v="1493.18"/>
    <n v="3810.69"/>
    <n v="0.20331812725090037"/>
    <x v="0"/>
    <x v="0"/>
    <n v="4"/>
    <x v="10"/>
    <s v="Retail"/>
    <x v="3"/>
  </r>
  <r>
    <x v="1413"/>
    <d v="2023-01-05T00:00:00"/>
    <x v="0"/>
    <x v="0"/>
    <n v="2678"/>
    <n v="7"/>
    <n v="0"/>
    <x v="1388"/>
    <n v="1516.91"/>
    <n v="8127.65"/>
    <n v="0.43356716099434545"/>
    <x v="0"/>
    <x v="0"/>
    <n v="1"/>
    <x v="469"/>
    <s v="Wholesale"/>
    <x v="0"/>
  </r>
  <r>
    <x v="1414"/>
    <d v="2023-09-11T00:00:00"/>
    <x v="4"/>
    <x v="3"/>
    <n v="2194"/>
    <n v="9"/>
    <n v="5"/>
    <x v="1389"/>
    <n v="1253.8800000000001"/>
    <n v="7473.8"/>
    <n v="0.39841780080709216"/>
    <x v="8"/>
    <x v="0"/>
    <n v="37"/>
    <x v="350"/>
    <s v="Wholesale"/>
    <x v="1"/>
  </r>
  <r>
    <x v="1415"/>
    <d v="2023-06-12T00:00:00"/>
    <x v="3"/>
    <x v="3"/>
    <n v="2981"/>
    <n v="7"/>
    <n v="10"/>
    <x v="1390"/>
    <n v="1879.26"/>
    <n v="5625.49"/>
    <n v="0.29954207334281135"/>
    <x v="10"/>
    <x v="0"/>
    <n v="24"/>
    <x v="353"/>
    <s v="Wholesale"/>
    <x v="0"/>
  </r>
  <r>
    <x v="1416"/>
    <d v="2023-06-23T00:00:00"/>
    <x v="2"/>
    <x v="2"/>
    <n v="4178"/>
    <n v="5"/>
    <n v="10"/>
    <x v="1391"/>
    <n v="3175.21"/>
    <n v="2924.96"/>
    <n v="0.1555747034732195"/>
    <x v="10"/>
    <x v="0"/>
    <n v="25"/>
    <x v="8"/>
    <s v="Wholesale"/>
    <x v="1"/>
  </r>
  <r>
    <x v="1417"/>
    <d v="2023-01-18T00:00:00"/>
    <x v="9"/>
    <x v="5"/>
    <n v="4438"/>
    <n v="5"/>
    <n v="15"/>
    <x v="1392"/>
    <n v="2398.86"/>
    <n v="6867.19"/>
    <n v="0.36408504095644567"/>
    <x v="0"/>
    <x v="0"/>
    <n v="3"/>
    <x v="289"/>
    <s v="Wholesale"/>
    <x v="2"/>
  </r>
  <r>
    <x v="1418"/>
    <d v="2023-05-31T00:00:00"/>
    <x v="9"/>
    <x v="5"/>
    <n v="2697"/>
    <n v="7"/>
    <n v="0"/>
    <x v="1393"/>
    <n v="1661.33"/>
    <n v="7249.69"/>
    <n v="0.38400815721171672"/>
    <x v="2"/>
    <x v="0"/>
    <n v="22"/>
    <x v="470"/>
    <s v="Retail"/>
    <x v="3"/>
  </r>
  <r>
    <x v="1419"/>
    <d v="2023-05-13T00:00:00"/>
    <x v="4"/>
    <x v="3"/>
    <n v="3315"/>
    <n v="6"/>
    <n v="5"/>
    <x v="1394"/>
    <n v="1723.81"/>
    <n v="8552.67"/>
    <n v="0.45262999126776216"/>
    <x v="2"/>
    <x v="0"/>
    <n v="19"/>
    <x v="352"/>
    <s v="Wholesale"/>
    <x v="0"/>
  </r>
  <r>
    <x v="1420"/>
    <d v="2023-01-08T00:00:00"/>
    <x v="2"/>
    <x v="2"/>
    <n v="4453"/>
    <n v="5"/>
    <n v="15"/>
    <x v="1395"/>
    <n v="2626.37"/>
    <n v="5793.38"/>
    <n v="0.30611907372425728"/>
    <x v="0"/>
    <x v="0"/>
    <n v="2"/>
    <x v="126"/>
    <s v="Wholesale"/>
    <x v="1"/>
  </r>
  <r>
    <x v="1421"/>
    <d v="2023-12-10T00:00:00"/>
    <x v="3"/>
    <x v="3"/>
    <n v="3717"/>
    <n v="6"/>
    <n v="15"/>
    <x v="1396"/>
    <n v="2422.6999999999998"/>
    <n v="4420.5"/>
    <n v="0.23318932092611055"/>
    <x v="9"/>
    <x v="0"/>
    <n v="50"/>
    <x v="358"/>
    <s v="Wholesale"/>
    <x v="3"/>
  </r>
  <r>
    <x v="1422"/>
    <d v="2023-01-04T00:00:00"/>
    <x v="9"/>
    <x v="5"/>
    <n v="2501"/>
    <n v="8"/>
    <n v="5"/>
    <x v="1397"/>
    <n v="1383.58"/>
    <n v="7938.96"/>
    <n v="0.41767293082766899"/>
    <x v="0"/>
    <x v="0"/>
    <n v="1"/>
    <x v="407"/>
    <s v="Retail"/>
    <x v="0"/>
  </r>
  <r>
    <x v="1423"/>
    <d v="2023-04-20T00:00:00"/>
    <x v="5"/>
    <x v="4"/>
    <n v="2487"/>
    <n v="9"/>
    <n v="15"/>
    <x v="1398"/>
    <n v="1981.14"/>
    <n v="1195.33"/>
    <n v="6.2827618649657954E-2"/>
    <x v="7"/>
    <x v="0"/>
    <n v="16"/>
    <x v="471"/>
    <s v="Wholesale"/>
    <x v="0"/>
  </r>
  <r>
    <x v="1424"/>
    <d v="2023-09-27T00:00:00"/>
    <x v="1"/>
    <x v="1"/>
    <n v="2648"/>
    <n v="8"/>
    <n v="10"/>
    <x v="1399"/>
    <n v="1504.99"/>
    <n v="7025.7"/>
    <n v="0.36850138469284999"/>
    <x v="8"/>
    <x v="0"/>
    <n v="39"/>
    <x v="219"/>
    <s v="Wholesale"/>
    <x v="2"/>
  </r>
  <r>
    <x v="1425"/>
    <d v="2023-11-08T00:00:00"/>
    <x v="3"/>
    <x v="3"/>
    <n v="2384"/>
    <n v="8"/>
    <n v="0"/>
    <x v="1400"/>
    <n v="1383.15"/>
    <n v="8006.77"/>
    <n v="0.41981805788590604"/>
    <x v="4"/>
    <x v="0"/>
    <n v="45"/>
    <x v="400"/>
    <s v="Wholesale"/>
    <x v="2"/>
  </r>
  <r>
    <x v="1426"/>
    <d v="2023-11-18T00:00:00"/>
    <x v="0"/>
    <x v="0"/>
    <n v="2652"/>
    <n v="8"/>
    <n v="10"/>
    <x v="1401"/>
    <n v="1418"/>
    <n v="7750.36"/>
    <n v="0.40589701692642866"/>
    <x v="4"/>
    <x v="0"/>
    <n v="46"/>
    <x v="88"/>
    <s v="Retail"/>
    <x v="2"/>
  </r>
  <r>
    <x v="1427"/>
    <d v="2023-01-09T00:00:00"/>
    <x v="5"/>
    <x v="4"/>
    <n v="2728"/>
    <n v="7"/>
    <n v="0"/>
    <x v="1402"/>
    <n v="2036.73"/>
    <n v="4838.8599999999997"/>
    <n v="0.2533965228320067"/>
    <x v="0"/>
    <x v="0"/>
    <n v="2"/>
    <x v="414"/>
    <s v="Wholesale"/>
    <x v="0"/>
  </r>
  <r>
    <x v="1428"/>
    <d v="2023-10-23T00:00:00"/>
    <x v="2"/>
    <x v="2"/>
    <n v="3838"/>
    <n v="5"/>
    <n v="0"/>
    <x v="1403"/>
    <n v="2283.35"/>
    <n v="7773.23"/>
    <n v="0.40506670140698275"/>
    <x v="11"/>
    <x v="0"/>
    <n v="43"/>
    <x v="308"/>
    <s v="Wholesale"/>
    <x v="1"/>
  </r>
  <r>
    <x v="1429"/>
    <d v="2023-11-05T00:00:00"/>
    <x v="2"/>
    <x v="2"/>
    <n v="3229"/>
    <n v="7"/>
    <n v="15"/>
    <x v="1404"/>
    <n v="2162.65"/>
    <n v="4074.01"/>
    <n v="0.21204941561635496"/>
    <x v="4"/>
    <x v="0"/>
    <n v="45"/>
    <x v="395"/>
    <s v="Wholesale"/>
    <x v="2"/>
  </r>
  <r>
    <x v="1430"/>
    <d v="2023-11-03T00:00:00"/>
    <x v="7"/>
    <x v="1"/>
    <n v="3570"/>
    <n v="6"/>
    <n v="10"/>
    <x v="1405"/>
    <n v="2277.69"/>
    <n v="5611.87"/>
    <n v="0.29110229276895944"/>
    <x v="4"/>
    <x v="0"/>
    <n v="44"/>
    <x v="18"/>
    <s v="Retail"/>
    <x v="2"/>
  </r>
  <r>
    <x v="1431"/>
    <d v="2023-03-11T00:00:00"/>
    <x v="6"/>
    <x v="0"/>
    <n v="3240"/>
    <n v="7"/>
    <n v="15"/>
    <x v="1405"/>
    <n v="2455.7800000000002"/>
    <n v="2087.56"/>
    <n v="0.10828716671853926"/>
    <x v="5"/>
    <x v="0"/>
    <n v="10"/>
    <x v="465"/>
    <s v="Retail"/>
    <x v="1"/>
  </r>
  <r>
    <x v="1432"/>
    <d v="2023-12-03T00:00:00"/>
    <x v="6"/>
    <x v="0"/>
    <n v="3783"/>
    <n v="6"/>
    <n v="15"/>
    <x v="1406"/>
    <n v="1909.28"/>
    <n v="7837.59"/>
    <n v="0.40623377027258167"/>
    <x v="9"/>
    <x v="0"/>
    <n v="49"/>
    <x v="43"/>
    <s v="Retail"/>
    <x v="3"/>
  </r>
  <r>
    <x v="1433"/>
    <d v="2023-04-20T00:00:00"/>
    <x v="2"/>
    <x v="2"/>
    <n v="3063"/>
    <n v="7"/>
    <n v="10"/>
    <x v="1407"/>
    <n v="1960.17"/>
    <n v="5575.69"/>
    <n v="0.28894226533795581"/>
    <x v="7"/>
    <x v="0"/>
    <n v="16"/>
    <x v="132"/>
    <s v="Retail"/>
    <x v="0"/>
  </r>
  <r>
    <x v="1434"/>
    <d v="2023-12-07T00:00:00"/>
    <x v="9"/>
    <x v="5"/>
    <n v="3249"/>
    <n v="7"/>
    <n v="15"/>
    <x v="1408"/>
    <n v="1922.53"/>
    <n v="5873.86"/>
    <n v="0.30384837222054101"/>
    <x v="9"/>
    <x v="0"/>
    <n v="49"/>
    <x v="192"/>
    <s v="Retail"/>
    <x v="2"/>
  </r>
  <r>
    <x v="1435"/>
    <d v="2023-09-10T00:00:00"/>
    <x v="4"/>
    <x v="3"/>
    <n v="3393"/>
    <n v="6"/>
    <n v="5"/>
    <x v="1409"/>
    <n v="2277.62"/>
    <n v="5674.39"/>
    <n v="0.29340024095015027"/>
    <x v="8"/>
    <x v="0"/>
    <n v="37"/>
    <x v="43"/>
    <s v="Retail"/>
    <x v="2"/>
  </r>
  <r>
    <x v="1436"/>
    <d v="2023-03-20T00:00:00"/>
    <x v="0"/>
    <x v="0"/>
    <n v="2546"/>
    <n v="8"/>
    <n v="5"/>
    <x v="1410"/>
    <n v="1764.41"/>
    <n v="5234.3500000000004"/>
    <n v="0.27051463596146696"/>
    <x v="5"/>
    <x v="0"/>
    <n v="12"/>
    <x v="297"/>
    <s v="Wholesale"/>
    <x v="2"/>
  </r>
  <r>
    <x v="1437"/>
    <d v="2023-06-13T00:00:00"/>
    <x v="7"/>
    <x v="1"/>
    <n v="1935"/>
    <n v="10"/>
    <n v="0"/>
    <x v="1411"/>
    <n v="1229.95"/>
    <n v="7050.54"/>
    <n v="0.36436899224806202"/>
    <x v="10"/>
    <x v="0"/>
    <n v="24"/>
    <x v="459"/>
    <s v="Wholesale"/>
    <x v="2"/>
  </r>
  <r>
    <x v="1438"/>
    <d v="2023-04-03T00:00:00"/>
    <x v="2"/>
    <x v="2"/>
    <n v="4838"/>
    <n v="4"/>
    <n v="0"/>
    <x v="1412"/>
    <n v="3136.35"/>
    <n v="6806.59"/>
    <n v="0.35172540305911537"/>
    <x v="7"/>
    <x v="0"/>
    <n v="14"/>
    <x v="344"/>
    <s v="Wholesale"/>
    <x v="2"/>
  </r>
  <r>
    <x v="1439"/>
    <d v="2023-03-26T00:00:00"/>
    <x v="2"/>
    <x v="2"/>
    <n v="3239"/>
    <n v="6"/>
    <n v="0"/>
    <x v="1413"/>
    <n v="1887.31"/>
    <n v="8110.12"/>
    <n v="0.4173160440465164"/>
    <x v="5"/>
    <x v="0"/>
    <n v="13"/>
    <x v="139"/>
    <s v="Retail"/>
    <x v="1"/>
  </r>
  <r>
    <x v="1440"/>
    <d v="2023-05-29T00:00:00"/>
    <x v="3"/>
    <x v="3"/>
    <n v="2287"/>
    <n v="10"/>
    <n v="15"/>
    <x v="1414"/>
    <n v="1537.59"/>
    <n v="4063.65"/>
    <n v="0.20904087039275701"/>
    <x v="2"/>
    <x v="0"/>
    <n v="22"/>
    <x v="472"/>
    <s v="Wholesale"/>
    <x v="3"/>
  </r>
  <r>
    <x v="1441"/>
    <d v="2023-09-12T00:00:00"/>
    <x v="1"/>
    <x v="1"/>
    <n v="1944"/>
    <n v="10"/>
    <n v="0"/>
    <x v="1415"/>
    <n v="1447.89"/>
    <n v="4961.08"/>
    <n v="0.25519958847736623"/>
    <x v="8"/>
    <x v="0"/>
    <n v="37"/>
    <x v="453"/>
    <s v="Wholesale"/>
    <x v="2"/>
  </r>
  <r>
    <x v="1442"/>
    <d v="2023-11-29T00:00:00"/>
    <x v="2"/>
    <x v="2"/>
    <n v="4094"/>
    <n v="5"/>
    <n v="5"/>
    <x v="1416"/>
    <n v="3079.12"/>
    <n v="4050.89"/>
    <n v="0.20830946442804618"/>
    <x v="4"/>
    <x v="0"/>
    <n v="48"/>
    <x v="431"/>
    <s v="Wholesale"/>
    <x v="2"/>
  </r>
  <r>
    <x v="1443"/>
    <d v="2023-05-02T00:00:00"/>
    <x v="0"/>
    <x v="0"/>
    <n v="2559"/>
    <n v="8"/>
    <n v="5"/>
    <x v="1417"/>
    <n v="1725.17"/>
    <n v="5647.04"/>
    <n v="0.29036013245305525"/>
    <x v="2"/>
    <x v="0"/>
    <n v="18"/>
    <x v="398"/>
    <s v="Retail"/>
    <x v="2"/>
  </r>
  <r>
    <x v="1444"/>
    <d v="2023-04-19T00:00:00"/>
    <x v="8"/>
    <x v="2"/>
    <n v="3088"/>
    <n v="7"/>
    <n v="10"/>
    <x v="1418"/>
    <n v="2046.67"/>
    <n v="5127.7"/>
    <n v="0.2635753351426926"/>
    <x v="7"/>
    <x v="0"/>
    <n v="16"/>
    <x v="415"/>
    <s v="Retail"/>
    <x v="1"/>
  </r>
  <r>
    <x v="1445"/>
    <d v="2023-05-31T00:00:00"/>
    <x v="3"/>
    <x v="3"/>
    <n v="1947"/>
    <n v="10"/>
    <n v="0"/>
    <x v="1419"/>
    <n v="1464.16"/>
    <n v="4828.41"/>
    <n v="0.24799229583975346"/>
    <x v="2"/>
    <x v="0"/>
    <n v="22"/>
    <x v="313"/>
    <s v="Wholesale"/>
    <x v="1"/>
  </r>
  <r>
    <x v="1446"/>
    <d v="2023-12-28T00:00:00"/>
    <x v="3"/>
    <x v="3"/>
    <n v="4871"/>
    <n v="4"/>
    <n v="0"/>
    <x v="1420"/>
    <n v="2786.12"/>
    <n v="8339.51"/>
    <n v="0.42801837405050297"/>
    <x v="9"/>
    <x v="0"/>
    <n v="52"/>
    <x v="323"/>
    <s v="Retail"/>
    <x v="0"/>
  </r>
  <r>
    <x v="1447"/>
    <d v="2023-04-28T00:00:00"/>
    <x v="0"/>
    <x v="0"/>
    <n v="2406"/>
    <n v="9"/>
    <n v="10"/>
    <x v="1421"/>
    <n v="1908.96"/>
    <n v="2307.98"/>
    <n v="0.11842718307112877"/>
    <x v="7"/>
    <x v="0"/>
    <n v="17"/>
    <x v="334"/>
    <s v="Retail"/>
    <x v="3"/>
  </r>
  <r>
    <x v="1448"/>
    <d v="2023-07-22T00:00:00"/>
    <x v="6"/>
    <x v="0"/>
    <n v="2565"/>
    <n v="8"/>
    <n v="5"/>
    <x v="1422"/>
    <n v="1368.36"/>
    <n v="8547.11"/>
    <n v="0.43844824048425157"/>
    <x v="1"/>
    <x v="0"/>
    <n v="29"/>
    <x v="337"/>
    <s v="Wholesale"/>
    <x v="2"/>
  </r>
  <r>
    <x v="1449"/>
    <d v="2023-11-22T00:00:00"/>
    <x v="7"/>
    <x v="1"/>
    <n v="3902"/>
    <n v="5"/>
    <n v="0"/>
    <x v="1423"/>
    <n v="2468.7199999999998"/>
    <n v="7166.42"/>
    <n v="0.36732034853921064"/>
    <x v="4"/>
    <x v="0"/>
    <n v="47"/>
    <x v="149"/>
    <s v="Wholesale"/>
    <x v="3"/>
  </r>
  <r>
    <x v="1450"/>
    <d v="2023-08-09T00:00:00"/>
    <x v="0"/>
    <x v="0"/>
    <n v="2710"/>
    <n v="8"/>
    <n v="10"/>
    <x v="1424"/>
    <n v="1517.77"/>
    <n v="7369.83"/>
    <n v="0.37770756457564575"/>
    <x v="6"/>
    <x v="0"/>
    <n v="32"/>
    <x v="457"/>
    <s v="Retail"/>
    <x v="1"/>
  </r>
  <r>
    <x v="1451"/>
    <d v="2023-02-14T00:00:00"/>
    <x v="6"/>
    <x v="0"/>
    <n v="3827"/>
    <n v="6"/>
    <n v="15"/>
    <x v="1425"/>
    <n v="2912.52"/>
    <n v="2042.57"/>
    <n v="0.1046521875016011"/>
    <x v="3"/>
    <x v="0"/>
    <n v="7"/>
    <x v="10"/>
    <s v="Wholesale"/>
    <x v="3"/>
  </r>
  <r>
    <x v="1452"/>
    <d v="2023-10-07T00:00:00"/>
    <x v="5"/>
    <x v="4"/>
    <n v="3283"/>
    <n v="7"/>
    <n v="15"/>
    <x v="1426"/>
    <n v="2489.66"/>
    <n v="2106.2199999999998"/>
    <n v="0.10782411045441631"/>
    <x v="11"/>
    <x v="0"/>
    <n v="40"/>
    <x v="301"/>
    <s v="Retail"/>
    <x v="3"/>
  </r>
  <r>
    <x v="1453"/>
    <d v="2023-04-27T00:00:00"/>
    <x v="9"/>
    <x v="5"/>
    <n v="2555"/>
    <n v="9"/>
    <n v="15"/>
    <x v="1427"/>
    <n v="1388.79"/>
    <n v="7046.66"/>
    <n v="0.36052134095647392"/>
    <x v="7"/>
    <x v="0"/>
    <n v="17"/>
    <x v="117"/>
    <s v="Wholesale"/>
    <x v="1"/>
  </r>
  <r>
    <x v="1454"/>
    <d v="2023-02-08T00:00:00"/>
    <x v="3"/>
    <x v="3"/>
    <n v="1955"/>
    <n v="10"/>
    <n v="0"/>
    <x v="1428"/>
    <n v="1220.53"/>
    <n v="7344.7"/>
    <n v="0.37568797953964195"/>
    <x v="3"/>
    <x v="0"/>
    <n v="6"/>
    <x v="473"/>
    <s v="Retail"/>
    <x v="1"/>
  </r>
  <r>
    <x v="1455"/>
    <d v="2023-05-02T00:00:00"/>
    <x v="4"/>
    <x v="3"/>
    <n v="4123"/>
    <n v="5"/>
    <n v="5"/>
    <x v="1429"/>
    <n v="2140.65"/>
    <n v="8881.02"/>
    <n v="0.45347766700282116"/>
    <x v="2"/>
    <x v="0"/>
    <n v="18"/>
    <x v="388"/>
    <s v="Retail"/>
    <x v="3"/>
  </r>
  <r>
    <x v="1456"/>
    <d v="2023-05-22T00:00:00"/>
    <x v="7"/>
    <x v="1"/>
    <n v="3843"/>
    <n v="6"/>
    <n v="15"/>
    <x v="1430"/>
    <n v="2168.89"/>
    <n v="6585.96"/>
    <n v="0.33603036843152562"/>
    <x v="2"/>
    <x v="0"/>
    <n v="21"/>
    <x v="323"/>
    <s v="Wholesale"/>
    <x v="2"/>
  </r>
  <r>
    <x v="1457"/>
    <d v="2023-10-26T00:00:00"/>
    <x v="0"/>
    <x v="0"/>
    <n v="3445"/>
    <n v="6"/>
    <n v="5"/>
    <x v="1431"/>
    <n v="1779.61"/>
    <n v="8958.84"/>
    <n v="0.45623405393018107"/>
    <x v="11"/>
    <x v="0"/>
    <n v="43"/>
    <x v="102"/>
    <s v="Wholesale"/>
    <x v="3"/>
  </r>
  <r>
    <x v="1458"/>
    <d v="2023-10-16T00:00:00"/>
    <x v="7"/>
    <x v="1"/>
    <n v="4378"/>
    <n v="5"/>
    <n v="10"/>
    <x v="1432"/>
    <n v="2228"/>
    <n v="8560.99"/>
    <n v="0.43454596213390184"/>
    <x v="11"/>
    <x v="0"/>
    <n v="42"/>
    <x v="224"/>
    <s v="Retail"/>
    <x v="3"/>
  </r>
  <r>
    <x v="1459"/>
    <d v="2023-12-05T00:00:00"/>
    <x v="2"/>
    <x v="2"/>
    <n v="4381"/>
    <n v="5"/>
    <n v="10"/>
    <x v="1433"/>
    <n v="3407.38"/>
    <n v="2677.61"/>
    <n v="0.13581932080448403"/>
    <x v="9"/>
    <x v="0"/>
    <n v="49"/>
    <x v="306"/>
    <s v="Retail"/>
    <x v="0"/>
  </r>
  <r>
    <x v="1460"/>
    <d v="2023-03-07T00:00:00"/>
    <x v="9"/>
    <x v="5"/>
    <n v="4383"/>
    <n v="5"/>
    <n v="10"/>
    <x v="1434"/>
    <n v="2914.53"/>
    <n v="5150.8599999999997"/>
    <n v="0.26115344639643062"/>
    <x v="5"/>
    <x v="0"/>
    <n v="10"/>
    <x v="155"/>
    <s v="Wholesale"/>
    <x v="2"/>
  </r>
  <r>
    <x v="1461"/>
    <d v="2023-07-18T00:00:00"/>
    <x v="9"/>
    <x v="5"/>
    <n v="4384"/>
    <n v="5"/>
    <n v="10"/>
    <x v="1435"/>
    <n v="3234.36"/>
    <n v="3556.22"/>
    <n v="0.18026257096512571"/>
    <x v="1"/>
    <x v="0"/>
    <n v="29"/>
    <x v="206"/>
    <s v="Retail"/>
    <x v="0"/>
  </r>
  <r>
    <x v="1462"/>
    <d v="2023-11-30T00:00:00"/>
    <x v="9"/>
    <x v="5"/>
    <n v="2970"/>
    <n v="7"/>
    <n v="5"/>
    <x v="1436"/>
    <n v="1746.45"/>
    <n v="7525.35"/>
    <n v="0.38102073365231259"/>
    <x v="4"/>
    <x v="0"/>
    <n v="48"/>
    <x v="312"/>
    <s v="Retail"/>
    <x v="2"/>
  </r>
  <r>
    <x v="1463"/>
    <d v="2023-06-29T00:00:00"/>
    <x v="2"/>
    <x v="2"/>
    <n v="2599"/>
    <n v="8"/>
    <n v="5"/>
    <x v="1437"/>
    <n v="1925.35"/>
    <n v="4349.5600000000004"/>
    <n v="0.2202041270934165"/>
    <x v="10"/>
    <x v="0"/>
    <n v="26"/>
    <x v="114"/>
    <s v="Retail"/>
    <x v="0"/>
  </r>
  <r>
    <x v="1464"/>
    <d v="2023-04-22T00:00:00"/>
    <x v="5"/>
    <x v="4"/>
    <n v="2313"/>
    <n v="9"/>
    <n v="5"/>
    <x v="1438"/>
    <n v="1317.95"/>
    <n v="7914.58"/>
    <n v="0.40020833175314707"/>
    <x v="7"/>
    <x v="0"/>
    <n v="16"/>
    <x v="198"/>
    <s v="Wholesale"/>
    <x v="2"/>
  </r>
  <r>
    <x v="1465"/>
    <d v="2023-07-27T00:00:00"/>
    <x v="0"/>
    <x v="0"/>
    <n v="2586"/>
    <n v="9"/>
    <n v="15"/>
    <x v="1439"/>
    <n v="1801.95"/>
    <n v="3565.31"/>
    <n v="0.18022180772283131"/>
    <x v="1"/>
    <x v="0"/>
    <n v="30"/>
    <x v="426"/>
    <s v="Wholesale"/>
    <x v="3"/>
  </r>
  <r>
    <x v="1466"/>
    <d v="2023-11-22T00:00:00"/>
    <x v="6"/>
    <x v="0"/>
    <n v="3881"/>
    <n v="6"/>
    <n v="15"/>
    <x v="1440"/>
    <n v="2542.25"/>
    <n v="4539.6000000000004"/>
    <n v="0.22935265319732637"/>
    <x v="4"/>
    <x v="0"/>
    <n v="47"/>
    <x v="246"/>
    <s v="Wholesale"/>
    <x v="3"/>
  </r>
  <r>
    <x v="1467"/>
    <d v="2023-06-10T00:00:00"/>
    <x v="5"/>
    <x v="4"/>
    <n v="4659"/>
    <n v="5"/>
    <n v="15"/>
    <x v="1441"/>
    <n v="2377.85"/>
    <n v="7911.49"/>
    <n v="0.39955506735855961"/>
    <x v="10"/>
    <x v="0"/>
    <n v="23"/>
    <x v="77"/>
    <s v="Retail"/>
    <x v="1"/>
  </r>
  <r>
    <x v="1468"/>
    <d v="2023-07-07T00:00:00"/>
    <x v="6"/>
    <x v="0"/>
    <n v="3667"/>
    <n v="6"/>
    <n v="10"/>
    <x v="1442"/>
    <n v="2430.13"/>
    <n v="5221.01"/>
    <n v="0.26366340433697949"/>
    <x v="1"/>
    <x v="0"/>
    <n v="27"/>
    <x v="454"/>
    <s v="Retail"/>
    <x v="3"/>
  </r>
  <r>
    <x v="1469"/>
    <d v="2023-03-12T00:00:00"/>
    <x v="9"/>
    <x v="5"/>
    <n v="2913"/>
    <n v="8"/>
    <n v="15"/>
    <x v="1443"/>
    <n v="1646.4"/>
    <n v="6637.2"/>
    <n v="0.33506997031562363"/>
    <x v="5"/>
    <x v="0"/>
    <n v="11"/>
    <x v="436"/>
    <s v="Retail"/>
    <x v="0"/>
  </r>
  <r>
    <x v="1470"/>
    <d v="2023-11-09T00:00:00"/>
    <x v="7"/>
    <x v="1"/>
    <n v="2599"/>
    <n v="9"/>
    <n v="15"/>
    <x v="1444"/>
    <n v="1898.02"/>
    <n v="2800.17"/>
    <n v="0.14083697349659371"/>
    <x v="4"/>
    <x v="0"/>
    <n v="45"/>
    <x v="184"/>
    <s v="Wholesale"/>
    <x v="1"/>
  </r>
  <r>
    <x v="1471"/>
    <d v="2023-05-13T00:00:00"/>
    <x v="1"/>
    <x v="1"/>
    <n v="3901"/>
    <n v="6"/>
    <n v="15"/>
    <x v="1445"/>
    <n v="2094.38"/>
    <n v="7328.84"/>
    <n v="0.36837412227131305"/>
    <x v="2"/>
    <x v="0"/>
    <n v="19"/>
    <x v="12"/>
    <s v="Retail"/>
    <x v="1"/>
  </r>
  <r>
    <x v="1472"/>
    <d v="2023-05-03T00:00:00"/>
    <x v="9"/>
    <x v="5"/>
    <n v="2217"/>
    <n v="10"/>
    <n v="10"/>
    <x v="1446"/>
    <n v="1332.79"/>
    <n v="6625.06"/>
    <n v="0.33203327820377893"/>
    <x v="2"/>
    <x v="0"/>
    <n v="18"/>
    <x v="4"/>
    <s v="Retail"/>
    <x v="1"/>
  </r>
  <r>
    <x v="1473"/>
    <d v="2023-10-31T00:00:00"/>
    <x v="3"/>
    <x v="3"/>
    <n v="2936"/>
    <n v="8"/>
    <n v="15"/>
    <x v="1447"/>
    <n v="1521.11"/>
    <n v="7795.88"/>
    <n v="0.39048124699471071"/>
    <x v="11"/>
    <x v="0"/>
    <n v="44"/>
    <x v="273"/>
    <s v="Wholesale"/>
    <x v="3"/>
  </r>
  <r>
    <x v="1474"/>
    <d v="2023-10-28T00:00:00"/>
    <x v="8"/>
    <x v="2"/>
    <n v="4993"/>
    <n v="4"/>
    <n v="0"/>
    <x v="1448"/>
    <n v="3409.43"/>
    <n v="6334.29"/>
    <n v="0.31715852193070299"/>
    <x v="11"/>
    <x v="0"/>
    <n v="43"/>
    <x v="279"/>
    <s v="Wholesale"/>
    <x v="0"/>
  </r>
  <r>
    <x v="1475"/>
    <d v="2023-11-10T00:00:00"/>
    <x v="4"/>
    <x v="3"/>
    <n v="3922"/>
    <n v="6"/>
    <n v="15"/>
    <x v="1449"/>
    <n v="2093.2199999999998"/>
    <n v="7442.89"/>
    <n v="0.37210356860745319"/>
    <x v="4"/>
    <x v="0"/>
    <n v="45"/>
    <x v="82"/>
    <s v="Wholesale"/>
    <x v="3"/>
  </r>
  <r>
    <x v="1476"/>
    <d v="2023-06-13T00:00:00"/>
    <x v="2"/>
    <x v="2"/>
    <n v="2863"/>
    <n v="7"/>
    <n v="0"/>
    <x v="1450"/>
    <n v="2025.77"/>
    <n v="5860.6"/>
    <n v="0.29243051743924958"/>
    <x v="10"/>
    <x v="0"/>
    <n v="24"/>
    <x v="430"/>
    <s v="Wholesale"/>
    <x v="1"/>
  </r>
  <r>
    <x v="1477"/>
    <d v="2023-11-09T00:00:00"/>
    <x v="2"/>
    <x v="2"/>
    <n v="2227"/>
    <n v="9"/>
    <n v="0"/>
    <x v="1451"/>
    <n v="1126.53"/>
    <n v="9904.24"/>
    <n v="0.49414957840642615"/>
    <x v="4"/>
    <x v="0"/>
    <n v="45"/>
    <x v="79"/>
    <s v="Retail"/>
    <x v="0"/>
  </r>
  <r>
    <x v="1478"/>
    <d v="2023-04-06T00:00:00"/>
    <x v="6"/>
    <x v="0"/>
    <n v="2621"/>
    <n v="9"/>
    <n v="15"/>
    <x v="1452"/>
    <n v="1459.2"/>
    <n v="6917.89"/>
    <n v="0.34502073498864128"/>
    <x v="7"/>
    <x v="0"/>
    <n v="14"/>
    <x v="104"/>
    <s v="Retail"/>
    <x v="3"/>
  </r>
  <r>
    <x v="1479"/>
    <d v="2023-10-22T00:00:00"/>
    <x v="9"/>
    <x v="5"/>
    <n v="2639"/>
    <n v="8"/>
    <n v="5"/>
    <x v="1453"/>
    <n v="1817.56"/>
    <n v="5515.92"/>
    <n v="0.27502044235256573"/>
    <x v="11"/>
    <x v="0"/>
    <n v="43"/>
    <x v="474"/>
    <s v="Wholesale"/>
    <x v="1"/>
  </r>
  <r>
    <x v="1480"/>
    <d v="2023-06-27T00:00:00"/>
    <x v="6"/>
    <x v="0"/>
    <n v="3186"/>
    <n v="7"/>
    <n v="10"/>
    <x v="1454"/>
    <n v="1881.23"/>
    <n v="6903.18"/>
    <n v="0.34392431172092192"/>
    <x v="10"/>
    <x v="0"/>
    <n v="26"/>
    <x v="430"/>
    <s v="Retail"/>
    <x v="3"/>
  </r>
  <r>
    <x v="1481"/>
    <d v="2023-03-09T00:00:00"/>
    <x v="1"/>
    <x v="1"/>
    <n v="3719"/>
    <n v="6"/>
    <n v="10"/>
    <x v="1455"/>
    <n v="2156.09"/>
    <n v="7146.07"/>
    <n v="0.35583390596835074"/>
    <x v="5"/>
    <x v="0"/>
    <n v="10"/>
    <x v="238"/>
    <s v="Wholesale"/>
    <x v="3"/>
  </r>
  <r>
    <x v="1482"/>
    <d v="2023-01-03T00:00:00"/>
    <x v="2"/>
    <x v="2"/>
    <n v="2117"/>
    <n v="10"/>
    <n v="5"/>
    <x v="1456"/>
    <n v="1548.78"/>
    <n v="4623.71"/>
    <n v="0.22990378639087089"/>
    <x v="0"/>
    <x v="0"/>
    <n v="1"/>
    <x v="178"/>
    <s v="Retail"/>
    <x v="2"/>
  </r>
  <r>
    <x v="1483"/>
    <d v="2023-01-26T00:00:00"/>
    <x v="7"/>
    <x v="1"/>
    <n v="3195"/>
    <n v="7"/>
    <n v="10"/>
    <x v="1457"/>
    <n v="2310.17"/>
    <n v="3957.3"/>
    <n v="0.19660183322155153"/>
    <x v="0"/>
    <x v="0"/>
    <n v="4"/>
    <x v="475"/>
    <s v="Wholesale"/>
    <x v="2"/>
  </r>
  <r>
    <x v="1484"/>
    <d v="2023-12-06T00:00:00"/>
    <x v="3"/>
    <x v="3"/>
    <n v="3196"/>
    <n v="7"/>
    <n v="10"/>
    <x v="1458"/>
    <n v="2147.61"/>
    <n v="5101.5200000000004"/>
    <n v="0.25336829767367941"/>
    <x v="9"/>
    <x v="0"/>
    <n v="49"/>
    <x v="476"/>
    <s v="Wholesale"/>
    <x v="1"/>
  </r>
  <r>
    <x v="1485"/>
    <d v="2023-05-20T00:00:00"/>
    <x v="0"/>
    <x v="0"/>
    <n v="4242"/>
    <n v="5"/>
    <n v="5"/>
    <x v="1459"/>
    <n v="3214.32"/>
    <n v="4077.91"/>
    <n v="0.20238268939675921"/>
    <x v="2"/>
    <x v="0"/>
    <n v="20"/>
    <x v="477"/>
    <s v="Retail"/>
    <x v="3"/>
  </r>
  <r>
    <x v="1486"/>
    <d v="2023-04-05T00:00:00"/>
    <x v="5"/>
    <x v="4"/>
    <n v="4246"/>
    <n v="5"/>
    <n v="5"/>
    <x v="1460"/>
    <n v="3172.55"/>
    <n v="4305.7299999999996"/>
    <n v="0.2134878647395691"/>
    <x v="7"/>
    <x v="0"/>
    <n v="14"/>
    <x v="322"/>
    <s v="Retail"/>
    <x v="3"/>
  </r>
  <r>
    <x v="1487"/>
    <d v="2023-11-24T00:00:00"/>
    <x v="2"/>
    <x v="2"/>
    <n v="3741"/>
    <n v="6"/>
    <n v="10"/>
    <x v="1461"/>
    <n v="2445.9299999999998"/>
    <n v="5525.79"/>
    <n v="0.27353500252457746"/>
    <x v="4"/>
    <x v="0"/>
    <n v="47"/>
    <x v="421"/>
    <s v="Retail"/>
    <x v="3"/>
  </r>
  <r>
    <x v="1488"/>
    <d v="2023-10-30T00:00:00"/>
    <x v="5"/>
    <x v="4"/>
    <n v="3403"/>
    <n v="7"/>
    <n v="15"/>
    <x v="1462"/>
    <n v="2201.1"/>
    <n v="4840.17"/>
    <n v="0.23904612094617456"/>
    <x v="11"/>
    <x v="0"/>
    <n v="44"/>
    <x v="200"/>
    <s v="Retail"/>
    <x v="0"/>
  </r>
  <r>
    <x v="1489"/>
    <d v="2023-11-06T00:00:00"/>
    <x v="3"/>
    <x v="3"/>
    <n v="4264"/>
    <n v="5"/>
    <n v="5"/>
    <x v="1463"/>
    <n v="3151.28"/>
    <n v="4497.58"/>
    <n v="0.22205885257233138"/>
    <x v="4"/>
    <x v="0"/>
    <n v="45"/>
    <x v="475"/>
    <s v="Retail"/>
    <x v="2"/>
  </r>
  <r>
    <x v="1490"/>
    <d v="2023-07-18T00:00:00"/>
    <x v="3"/>
    <x v="3"/>
    <n v="2896"/>
    <n v="7"/>
    <n v="0"/>
    <x v="1464"/>
    <n v="1569.76"/>
    <n v="9283.7099999999991"/>
    <n v="0.45795728097868976"/>
    <x v="1"/>
    <x v="0"/>
    <n v="29"/>
    <x v="21"/>
    <s v="Retail"/>
    <x v="1"/>
  </r>
  <r>
    <x v="1491"/>
    <d v="2023-07-29T00:00:00"/>
    <x v="3"/>
    <x v="3"/>
    <n v="4064"/>
    <n v="5"/>
    <n v="0"/>
    <x v="1465"/>
    <n v="2032.26"/>
    <n v="10158.709999999999"/>
    <n v="0.49993651574803144"/>
    <x v="1"/>
    <x v="0"/>
    <n v="30"/>
    <x v="376"/>
    <s v="Retail"/>
    <x v="3"/>
  </r>
  <r>
    <x v="1492"/>
    <d v="2023-12-22T00:00:00"/>
    <x v="1"/>
    <x v="1"/>
    <n v="4782"/>
    <n v="5"/>
    <n v="15"/>
    <x v="1466"/>
    <n v="3510.32"/>
    <n v="2771.9"/>
    <n v="0.13638890939060694"/>
    <x v="9"/>
    <x v="0"/>
    <n v="51"/>
    <x v="203"/>
    <s v="Wholesale"/>
    <x v="0"/>
  </r>
  <r>
    <x v="1493"/>
    <d v="2023-10-13T00:00:00"/>
    <x v="3"/>
    <x v="3"/>
    <n v="2904"/>
    <n v="7"/>
    <n v="0"/>
    <x v="1467"/>
    <n v="2230.85"/>
    <n v="4712.0200000000004"/>
    <n v="0.23179948839039749"/>
    <x v="11"/>
    <x v="0"/>
    <n v="41"/>
    <x v="229"/>
    <s v="Retail"/>
    <x v="2"/>
  </r>
  <r>
    <x v="1494"/>
    <d v="2023-12-15T00:00:00"/>
    <x v="2"/>
    <x v="2"/>
    <n v="4519"/>
    <n v="5"/>
    <n v="10"/>
    <x v="1468"/>
    <n v="3196.53"/>
    <n v="4352.84"/>
    <n v="0.21405128961668018"/>
    <x v="9"/>
    <x v="0"/>
    <n v="50"/>
    <x v="284"/>
    <s v="Retail"/>
    <x v="0"/>
  </r>
  <r>
    <x v="1495"/>
    <d v="2023-06-23T00:00:00"/>
    <x v="7"/>
    <x v="1"/>
    <n v="2542"/>
    <n v="8"/>
    <n v="0"/>
    <x v="1469"/>
    <n v="1868.08"/>
    <n v="5391.34"/>
    <n v="0.26511309992132182"/>
    <x v="10"/>
    <x v="0"/>
    <n v="25"/>
    <x v="274"/>
    <s v="Retail"/>
    <x v="2"/>
  </r>
  <r>
    <x v="1496"/>
    <d v="2023-10-14T00:00:00"/>
    <x v="4"/>
    <x v="3"/>
    <n v="3582"/>
    <n v="6"/>
    <n v="5"/>
    <x v="1470"/>
    <n v="1893.98"/>
    <n v="9053.5400000000009"/>
    <n v="0.44342276685572113"/>
    <x v="11"/>
    <x v="0"/>
    <n v="41"/>
    <x v="411"/>
    <s v="Wholesale"/>
    <x v="1"/>
  </r>
  <r>
    <x v="1497"/>
    <d v="2023-01-01T00:00:00"/>
    <x v="5"/>
    <x v="4"/>
    <n v="3405"/>
    <n v="6"/>
    <n v="0"/>
    <x v="1471"/>
    <n v="2595.59"/>
    <n v="4856.45"/>
    <n v="0.23771169848262358"/>
    <x v="0"/>
    <x v="0"/>
    <n v="1"/>
    <x v="369"/>
    <s v="Wholesale"/>
    <x v="3"/>
  </r>
  <r>
    <x v="1498"/>
    <d v="2023-09-22T00:00:00"/>
    <x v="9"/>
    <x v="5"/>
    <n v="3073"/>
    <n v="7"/>
    <n v="5"/>
    <x v="1472"/>
    <n v="1544"/>
    <n v="9627.4500000000007"/>
    <n v="0.47111514549471628"/>
    <x v="8"/>
    <x v="0"/>
    <n v="38"/>
    <x v="207"/>
    <s v="Wholesale"/>
    <x v="3"/>
  </r>
  <r>
    <x v="1499"/>
    <d v="2023-06-24T00:00:00"/>
    <x v="9"/>
    <x v="5"/>
    <n v="4813"/>
    <n v="5"/>
    <n v="15"/>
    <x v="1473"/>
    <n v="3522.41"/>
    <n v="2843.18"/>
    <n v="0.13899512350130161"/>
    <x v="10"/>
    <x v="0"/>
    <n v="25"/>
    <x v="363"/>
    <s v="Retail"/>
    <x v="1"/>
  </r>
  <r>
    <x v="1500"/>
    <d v="2023-04-24T00:00:00"/>
    <x v="5"/>
    <x v="4"/>
    <n v="2527"/>
    <n v="9"/>
    <n v="10"/>
    <x v="1474"/>
    <n v="1783.53"/>
    <n v="4416.8900000000003"/>
    <n v="0.21578751948096361"/>
    <x v="7"/>
    <x v="0"/>
    <n v="17"/>
    <x v="170"/>
    <s v="Wholesale"/>
    <x v="1"/>
  </r>
  <r>
    <x v="1501"/>
    <d v="2023-01-18T00:00:00"/>
    <x v="2"/>
    <x v="2"/>
    <n v="2413"/>
    <n v="10"/>
    <n v="15"/>
    <x v="1475"/>
    <n v="1236.3499999999999"/>
    <n v="8147.03"/>
    <n v="0.39721264718071231"/>
    <x v="0"/>
    <x v="0"/>
    <n v="3"/>
    <x v="128"/>
    <s v="Retail"/>
    <x v="3"/>
  </r>
  <r>
    <x v="1502"/>
    <d v="2023-01-20T00:00:00"/>
    <x v="3"/>
    <x v="3"/>
    <n v="3093"/>
    <n v="7"/>
    <n v="5"/>
    <x v="1476"/>
    <n v="1679.71"/>
    <n v="8810.5"/>
    <n v="0.4283502159861341"/>
    <x v="0"/>
    <x v="0"/>
    <n v="3"/>
    <x v="284"/>
    <s v="Wholesale"/>
    <x v="1"/>
  </r>
  <r>
    <x v="1503"/>
    <d v="2023-11-13T00:00:00"/>
    <x v="6"/>
    <x v="0"/>
    <n v="3461"/>
    <n v="7"/>
    <n v="15"/>
    <x v="1477"/>
    <n v="2468.04"/>
    <n v="3316.67"/>
    <n v="0.16105851759946971"/>
    <x v="4"/>
    <x v="0"/>
    <n v="46"/>
    <x v="235"/>
    <s v="Wholesale"/>
    <x v="0"/>
  </r>
  <r>
    <x v="1504"/>
    <d v="2023-08-26T00:00:00"/>
    <x v="5"/>
    <x v="4"/>
    <n v="4039"/>
    <n v="6"/>
    <n v="15"/>
    <x v="1478"/>
    <n v="2122.9299999999998"/>
    <n v="7861.33"/>
    <n v="0.38163833991135448"/>
    <x v="6"/>
    <x v="0"/>
    <n v="34"/>
    <x v="377"/>
    <s v="Retail"/>
    <x v="1"/>
  </r>
  <r>
    <x v="1505"/>
    <d v="2023-03-08T00:00:00"/>
    <x v="9"/>
    <x v="5"/>
    <n v="4040"/>
    <n v="6"/>
    <n v="15"/>
    <x v="1479"/>
    <n v="2112.14"/>
    <n v="7931.15"/>
    <n v="0.38493253737138416"/>
    <x v="5"/>
    <x v="0"/>
    <n v="10"/>
    <x v="399"/>
    <s v="Retail"/>
    <x v="2"/>
  </r>
  <r>
    <x v="1506"/>
    <d v="2023-03-14T00:00:00"/>
    <x v="5"/>
    <x v="4"/>
    <n v="4849"/>
    <n v="5"/>
    <n v="15"/>
    <x v="1480"/>
    <n v="2718.02"/>
    <n v="7018.13"/>
    <n v="0.34054953719990783"/>
    <x v="5"/>
    <x v="0"/>
    <n v="11"/>
    <x v="138"/>
    <s v="Wholesale"/>
    <x v="2"/>
  </r>
  <r>
    <x v="1507"/>
    <d v="2023-10-01T00:00:00"/>
    <x v="4"/>
    <x v="3"/>
    <n v="2548"/>
    <n v="9"/>
    <n v="10"/>
    <x v="1481"/>
    <n v="1692.66"/>
    <n v="5404.83"/>
    <n v="0.26187714402000117"/>
    <x v="11"/>
    <x v="0"/>
    <n v="40"/>
    <x v="468"/>
    <s v="Wholesale"/>
    <x v="0"/>
  </r>
  <r>
    <x v="1508"/>
    <d v="2023-11-02T00:00:00"/>
    <x v="6"/>
    <x v="0"/>
    <n v="4083"/>
    <n v="6"/>
    <n v="15"/>
    <x v="1482"/>
    <n v="2043.94"/>
    <n v="8559.67"/>
    <n v="0.41106212752061394"/>
    <x v="4"/>
    <x v="0"/>
    <n v="44"/>
    <x v="267"/>
    <s v="Retail"/>
    <x v="0"/>
  </r>
  <r>
    <x v="1509"/>
    <d v="2023-11-25T00:00:00"/>
    <x v="0"/>
    <x v="0"/>
    <n v="4088"/>
    <n v="6"/>
    <n v="15"/>
    <x v="1483"/>
    <n v="3164.51"/>
    <n v="1861.76"/>
    <n v="8.9298185027435639E-2"/>
    <x v="4"/>
    <x v="0"/>
    <n v="47"/>
    <x v="282"/>
    <s v="Retail"/>
    <x v="0"/>
  </r>
  <r>
    <x v="1510"/>
    <d v="2023-02-09T00:00:00"/>
    <x v="7"/>
    <x v="1"/>
    <n v="4918"/>
    <n v="5"/>
    <n v="15"/>
    <x v="1484"/>
    <n v="2508.4899999999998"/>
    <n v="8359.07"/>
    <n v="0.39992679951199672"/>
    <x v="3"/>
    <x v="0"/>
    <n v="6"/>
    <x v="104"/>
    <s v="Retail"/>
    <x v="2"/>
  </r>
  <r>
    <x v="1511"/>
    <d v="2023-12-14T00:00:00"/>
    <x v="2"/>
    <x v="2"/>
    <n v="4402"/>
    <n v="5"/>
    <n v="5"/>
    <x v="1485"/>
    <n v="2582.4299999999998"/>
    <n v="7997.33"/>
    <n v="0.38247351682249697"/>
    <x v="9"/>
    <x v="0"/>
    <n v="50"/>
    <x v="429"/>
    <s v="Wholesale"/>
    <x v="0"/>
  </r>
  <r>
    <x v="1512"/>
    <d v="2023-05-06T00:00:00"/>
    <x v="7"/>
    <x v="1"/>
    <n v="4109"/>
    <n v="6"/>
    <n v="15"/>
    <x v="1486"/>
    <n v="2591.9699999999998"/>
    <n v="5404.07"/>
    <n v="0.25787821090957674"/>
    <x v="2"/>
    <x v="0"/>
    <n v="18"/>
    <x v="241"/>
    <s v="Wholesale"/>
    <x v="2"/>
  </r>
  <r>
    <x v="1513"/>
    <d v="2023-12-08T00:00:00"/>
    <x v="1"/>
    <x v="1"/>
    <n v="2468"/>
    <n v="10"/>
    <n v="15"/>
    <x v="1487"/>
    <n v="1355.41"/>
    <n v="7423.88"/>
    <n v="0.3538888359233483"/>
    <x v="9"/>
    <x v="0"/>
    <n v="49"/>
    <x v="417"/>
    <s v="Retail"/>
    <x v="3"/>
  </r>
  <r>
    <x v="1514"/>
    <d v="2023-04-13T00:00:00"/>
    <x v="2"/>
    <x v="2"/>
    <n v="3889"/>
    <n v="6"/>
    <n v="10"/>
    <x v="1488"/>
    <n v="3033.89"/>
    <n v="2797.25"/>
    <n v="0.13319857527880158"/>
    <x v="7"/>
    <x v="0"/>
    <n v="15"/>
    <x v="363"/>
    <s v="Retail"/>
    <x v="1"/>
  </r>
  <r>
    <x v="1515"/>
    <d v="2023-07-12T00:00:00"/>
    <x v="3"/>
    <x v="3"/>
    <n v="3506"/>
    <n v="6"/>
    <n v="0"/>
    <x v="1489"/>
    <n v="2115.4899999999998"/>
    <n v="8343.0400000000009"/>
    <n v="0.39660772009887818"/>
    <x v="1"/>
    <x v="0"/>
    <n v="28"/>
    <x v="466"/>
    <s v="Wholesale"/>
    <x v="2"/>
  </r>
  <r>
    <x v="1516"/>
    <d v="2023-07-25T00:00:00"/>
    <x v="7"/>
    <x v="1"/>
    <n v="3549"/>
    <n v="7"/>
    <n v="15"/>
    <x v="1490"/>
    <n v="2736.18"/>
    <n v="1963.31"/>
    <n v="9.297494145587229E-2"/>
    <x v="1"/>
    <x v="0"/>
    <n v="30"/>
    <x v="294"/>
    <s v="Wholesale"/>
    <x v="2"/>
  </r>
  <r>
    <x v="1517"/>
    <d v="2023-09-18T00:00:00"/>
    <x v="0"/>
    <x v="0"/>
    <n v="2488"/>
    <n v="10"/>
    <n v="15"/>
    <x v="1491"/>
    <n v="1952.87"/>
    <n v="1619.32"/>
    <n v="7.6570834121429926E-2"/>
    <x v="8"/>
    <x v="0"/>
    <n v="38"/>
    <x v="122"/>
    <s v="Wholesale"/>
    <x v="1"/>
  </r>
  <r>
    <x v="1518"/>
    <d v="2023-07-16T00:00:00"/>
    <x v="1"/>
    <x v="1"/>
    <n v="3525"/>
    <n v="6"/>
    <n v="0"/>
    <x v="1492"/>
    <n v="1896.42"/>
    <n v="9771.49"/>
    <n v="0.46200898345153663"/>
    <x v="1"/>
    <x v="0"/>
    <n v="29"/>
    <x v="362"/>
    <s v="Retail"/>
    <x v="2"/>
  </r>
  <r>
    <x v="1519"/>
    <d v="2023-12-20T00:00:00"/>
    <x v="8"/>
    <x v="2"/>
    <n v="4454"/>
    <n v="5"/>
    <n v="5"/>
    <x v="1493"/>
    <n v="3324.13"/>
    <n v="4535.84"/>
    <n v="0.21439463049181104"/>
    <x v="9"/>
    <x v="0"/>
    <n v="51"/>
    <x v="48"/>
    <s v="Wholesale"/>
    <x v="2"/>
  </r>
  <r>
    <x v="1520"/>
    <d v="2023-01-17T00:00:00"/>
    <x v="2"/>
    <x v="2"/>
    <n v="4232"/>
    <n v="5"/>
    <n v="0"/>
    <x v="1494"/>
    <n v="2744.05"/>
    <n v="7439.73"/>
    <n v="0.35159404536861999"/>
    <x v="0"/>
    <x v="0"/>
    <n v="3"/>
    <x v="368"/>
    <s v="Wholesale"/>
    <x v="1"/>
  </r>
  <r>
    <x v="1521"/>
    <d v="2023-10-19T00:00:00"/>
    <x v="1"/>
    <x v="1"/>
    <n v="2355"/>
    <n v="9"/>
    <n v="0"/>
    <x v="1495"/>
    <n v="1205.0899999999999"/>
    <n v="10349.219999999999"/>
    <n v="0.48828591648973813"/>
    <x v="11"/>
    <x v="0"/>
    <n v="42"/>
    <x v="227"/>
    <s v="Retail"/>
    <x v="0"/>
  </r>
  <r>
    <x v="1522"/>
    <d v="2023-07-22T00:00:00"/>
    <x v="1"/>
    <x v="1"/>
    <n v="4158"/>
    <n v="6"/>
    <n v="15"/>
    <x v="1496"/>
    <n v="2805.99"/>
    <n v="4369.84"/>
    <n v="0.2060681511661904"/>
    <x v="1"/>
    <x v="0"/>
    <n v="29"/>
    <x v="80"/>
    <s v="Retail"/>
    <x v="2"/>
  </r>
  <r>
    <x v="1523"/>
    <d v="2023-01-20T00:00:00"/>
    <x v="7"/>
    <x v="1"/>
    <n v="3727"/>
    <n v="6"/>
    <n v="5"/>
    <x v="1497"/>
    <n v="2879.07"/>
    <n v="3969.49"/>
    <n v="0.18685316726213169"/>
    <x v="0"/>
    <x v="0"/>
    <n v="3"/>
    <x v="466"/>
    <s v="Wholesale"/>
    <x v="2"/>
  </r>
  <r>
    <x v="1524"/>
    <d v="2023-03-13T00:00:00"/>
    <x v="5"/>
    <x v="4"/>
    <n v="3936"/>
    <n v="6"/>
    <n v="10"/>
    <x v="1498"/>
    <n v="2280.38"/>
    <n v="7572.12"/>
    <n v="0.35626129177958443"/>
    <x v="5"/>
    <x v="0"/>
    <n v="11"/>
    <x v="23"/>
    <s v="Retail"/>
    <x v="2"/>
  </r>
  <r>
    <x v="1525"/>
    <d v="2023-05-23T00:00:00"/>
    <x v="1"/>
    <x v="1"/>
    <n v="3741"/>
    <n v="6"/>
    <n v="5"/>
    <x v="1499"/>
    <n v="2882.67"/>
    <n v="4027.67"/>
    <n v="0.18888232342417122"/>
    <x v="2"/>
    <x v="0"/>
    <n v="21"/>
    <x v="87"/>
    <s v="Wholesale"/>
    <x v="1"/>
  </r>
  <r>
    <x v="1526"/>
    <d v="2023-10-02T00:00:00"/>
    <x v="7"/>
    <x v="1"/>
    <n v="4741"/>
    <n v="5"/>
    <n v="10"/>
    <x v="1500"/>
    <n v="2559.77"/>
    <n v="8535.64"/>
    <n v="0.40008624528346104"/>
    <x v="11"/>
    <x v="0"/>
    <n v="40"/>
    <x v="5"/>
    <s v="Wholesale"/>
    <x v="3"/>
  </r>
  <r>
    <x v="1527"/>
    <d v="2023-06-14T00:00:00"/>
    <x v="9"/>
    <x v="5"/>
    <n v="2789"/>
    <n v="9"/>
    <n v="15"/>
    <x v="1501"/>
    <n v="1656.52"/>
    <n v="6427.19"/>
    <n v="0.30123899446237201"/>
    <x v="10"/>
    <x v="0"/>
    <n v="24"/>
    <x v="242"/>
    <s v="Wholesale"/>
    <x v="2"/>
  </r>
  <r>
    <x v="1528"/>
    <d v="2023-12-13T00:00:00"/>
    <x v="1"/>
    <x v="1"/>
    <n v="4495"/>
    <n v="5"/>
    <n v="5"/>
    <x v="1502"/>
    <n v="3264.62"/>
    <n v="5028.1499999999996"/>
    <n v="0.23549675077571569"/>
    <x v="9"/>
    <x v="0"/>
    <n v="50"/>
    <x v="478"/>
    <s v="Wholesale"/>
    <x v="3"/>
  </r>
  <r>
    <x v="1529"/>
    <d v="2023-01-02T00:00:00"/>
    <x v="8"/>
    <x v="2"/>
    <n v="2966"/>
    <n v="8"/>
    <n v="10"/>
    <x v="1503"/>
    <n v="1898.87"/>
    <n v="6164.22"/>
    <n v="0.28865194425713642"/>
    <x v="0"/>
    <x v="0"/>
    <n v="1"/>
    <x v="184"/>
    <s v="Wholesale"/>
    <x v="2"/>
  </r>
  <r>
    <x v="1530"/>
    <d v="2023-12-07T00:00:00"/>
    <x v="0"/>
    <x v="0"/>
    <n v="2248"/>
    <n v="10"/>
    <n v="5"/>
    <x v="1504"/>
    <n v="1659.32"/>
    <n v="4762.79"/>
    <n v="0.22301882374976587"/>
    <x v="9"/>
    <x v="0"/>
    <n v="49"/>
    <x v="418"/>
    <s v="Retail"/>
    <x v="2"/>
  </r>
  <r>
    <x v="1531"/>
    <d v="2023-02-11T00:00:00"/>
    <x v="2"/>
    <x v="2"/>
    <n v="4192"/>
    <n v="6"/>
    <n v="15"/>
    <x v="1505"/>
    <n v="2697.96"/>
    <n v="5191.43"/>
    <n v="0.2428262049094447"/>
    <x v="3"/>
    <x v="0"/>
    <n v="6"/>
    <x v="479"/>
    <s v="Retail"/>
    <x v="3"/>
  </r>
  <r>
    <x v="1532"/>
    <d v="2023-02-08T00:00:00"/>
    <x v="4"/>
    <x v="3"/>
    <n v="3972"/>
    <n v="6"/>
    <n v="10"/>
    <x v="1506"/>
    <n v="2911.35"/>
    <n v="3980.73"/>
    <n v="0.18559220096229159"/>
    <x v="3"/>
    <x v="0"/>
    <n v="6"/>
    <x v="139"/>
    <s v="Retail"/>
    <x v="2"/>
  </r>
  <r>
    <x v="1533"/>
    <d v="2023-09-24T00:00:00"/>
    <x v="3"/>
    <x v="3"/>
    <n v="4517"/>
    <n v="5"/>
    <n v="5"/>
    <x v="1507"/>
    <n v="3326"/>
    <n v="4825.75"/>
    <n v="0.22491639770224764"/>
    <x v="8"/>
    <x v="0"/>
    <n v="39"/>
    <x v="94"/>
    <s v="Wholesale"/>
    <x v="0"/>
  </r>
  <r>
    <x v="1534"/>
    <d v="2023-11-08T00:00:00"/>
    <x v="5"/>
    <x v="4"/>
    <n v="3075"/>
    <n v="7"/>
    <n v="0"/>
    <x v="1508"/>
    <n v="1615.84"/>
    <n v="10214.11"/>
    <n v="0.47452311265969804"/>
    <x v="4"/>
    <x v="0"/>
    <n v="45"/>
    <x v="359"/>
    <s v="Retail"/>
    <x v="3"/>
  </r>
  <r>
    <x v="1535"/>
    <d v="2023-12-28T00:00:00"/>
    <x v="5"/>
    <x v="4"/>
    <n v="3077"/>
    <n v="7"/>
    <n v="0"/>
    <x v="1509"/>
    <n v="2426.12"/>
    <n v="4556.16"/>
    <n v="0.21153071173220669"/>
    <x v="9"/>
    <x v="0"/>
    <n v="52"/>
    <x v="60"/>
    <s v="Wholesale"/>
    <x v="1"/>
  </r>
  <r>
    <x v="1536"/>
    <d v="2023-04-01T00:00:00"/>
    <x v="8"/>
    <x v="2"/>
    <n v="3620"/>
    <n v="7"/>
    <n v="15"/>
    <x v="1509"/>
    <n v="2274.87"/>
    <n v="5614.88"/>
    <n v="0.26068434003435631"/>
    <x v="7"/>
    <x v="0"/>
    <n v="13"/>
    <x v="393"/>
    <s v="Wholesale"/>
    <x v="2"/>
  </r>
  <r>
    <x v="1537"/>
    <d v="2023-03-02T00:00:00"/>
    <x v="2"/>
    <x v="2"/>
    <n v="2396"/>
    <n v="10"/>
    <n v="10"/>
    <x v="1510"/>
    <n v="1241.43"/>
    <n v="9149.74"/>
    <n v="0.42430625115933962"/>
    <x v="5"/>
    <x v="0"/>
    <n v="9"/>
    <x v="129"/>
    <s v="Wholesale"/>
    <x v="3"/>
  </r>
  <r>
    <x v="1538"/>
    <d v="2023-06-10T00:00:00"/>
    <x v="9"/>
    <x v="5"/>
    <n v="4797"/>
    <n v="5"/>
    <n v="10"/>
    <x v="1511"/>
    <n v="2754.78"/>
    <n v="7812.58"/>
    <n v="0.36191971834248254"/>
    <x v="10"/>
    <x v="0"/>
    <n v="23"/>
    <x v="95"/>
    <s v="Retail"/>
    <x v="3"/>
  </r>
  <r>
    <x v="1539"/>
    <d v="2023-01-23T00:00:00"/>
    <x v="3"/>
    <x v="3"/>
    <n v="3606"/>
    <n v="6"/>
    <n v="0"/>
    <x v="1512"/>
    <n v="1906.72"/>
    <n v="10195.700000000001"/>
    <n v="0.47123775189498984"/>
    <x v="0"/>
    <x v="0"/>
    <n v="4"/>
    <x v="390"/>
    <s v="Retail"/>
    <x v="1"/>
  </r>
  <r>
    <x v="1540"/>
    <d v="2023-03-17T00:00:00"/>
    <x v="6"/>
    <x v="0"/>
    <n v="2280"/>
    <n v="10"/>
    <n v="5"/>
    <x v="1513"/>
    <n v="1222.55"/>
    <n v="9434.5"/>
    <n v="0.43557248384118191"/>
    <x v="5"/>
    <x v="0"/>
    <n v="11"/>
    <x v="149"/>
    <s v="Wholesale"/>
    <x v="1"/>
  </r>
  <r>
    <x v="1541"/>
    <d v="2023-12-15T00:00:00"/>
    <x v="0"/>
    <x v="0"/>
    <n v="3613"/>
    <n v="6"/>
    <n v="0"/>
    <x v="1514"/>
    <n v="2715.75"/>
    <n v="5383.52"/>
    <n v="0.24834025279084787"/>
    <x v="9"/>
    <x v="0"/>
    <n v="50"/>
    <x v="43"/>
    <s v="Wholesale"/>
    <x v="0"/>
  </r>
  <r>
    <x v="1542"/>
    <d v="2023-07-08T00:00:00"/>
    <x v="6"/>
    <x v="0"/>
    <n v="2409"/>
    <n v="9"/>
    <n v="0"/>
    <x v="1515"/>
    <n v="1447.15"/>
    <n v="8656.64"/>
    <n v="0.39927309625939761"/>
    <x v="1"/>
    <x v="0"/>
    <n v="27"/>
    <x v="425"/>
    <s v="Wholesale"/>
    <x v="3"/>
  </r>
  <r>
    <x v="1543"/>
    <d v="2023-03-08T00:00:00"/>
    <x v="5"/>
    <x v="4"/>
    <n v="3629"/>
    <n v="6"/>
    <n v="0"/>
    <x v="1516"/>
    <n v="2458.46"/>
    <n v="7023.25"/>
    <n v="0.32255212638927161"/>
    <x v="5"/>
    <x v="0"/>
    <n v="10"/>
    <x v="120"/>
    <s v="Wholesale"/>
    <x v="1"/>
  </r>
  <r>
    <x v="1544"/>
    <d v="2023-09-16T00:00:00"/>
    <x v="4"/>
    <x v="3"/>
    <n v="3820"/>
    <n v="6"/>
    <n v="5"/>
    <x v="1516"/>
    <n v="2663.73"/>
    <n v="5791.62"/>
    <n v="0.26598787544778174"/>
    <x v="8"/>
    <x v="0"/>
    <n v="37"/>
    <x v="15"/>
    <s v="Retail"/>
    <x v="0"/>
  </r>
  <r>
    <x v="1545"/>
    <d v="2023-06-24T00:00:00"/>
    <x v="0"/>
    <x v="0"/>
    <n v="2295"/>
    <n v="10"/>
    <n v="5"/>
    <x v="1517"/>
    <n v="1197.69"/>
    <n v="9825.58"/>
    <n v="0.45066299736268778"/>
    <x v="10"/>
    <x v="0"/>
    <n v="25"/>
    <x v="450"/>
    <s v="Wholesale"/>
    <x v="0"/>
  </r>
  <r>
    <x v="1546"/>
    <d v="2023-10-02T00:00:00"/>
    <x v="2"/>
    <x v="2"/>
    <n v="2568"/>
    <n v="10"/>
    <n v="15"/>
    <x v="1518"/>
    <n v="1839.5"/>
    <n v="3432.98"/>
    <n v="0.15727414330218067"/>
    <x v="11"/>
    <x v="0"/>
    <n v="40"/>
    <x v="391"/>
    <s v="Wholesale"/>
    <x v="2"/>
  </r>
  <r>
    <x v="1547"/>
    <d v="2023-03-02T00:00:00"/>
    <x v="1"/>
    <x v="1"/>
    <n v="2426"/>
    <n v="9"/>
    <n v="0"/>
    <x v="1519"/>
    <n v="1606.79"/>
    <n v="7372.86"/>
    <n v="0.33767793349821379"/>
    <x v="5"/>
    <x v="0"/>
    <n v="9"/>
    <x v="282"/>
    <s v="Retail"/>
    <x v="1"/>
  </r>
  <r>
    <x v="1548"/>
    <d v="2023-07-22T00:00:00"/>
    <x v="1"/>
    <x v="1"/>
    <n v="2300"/>
    <n v="10"/>
    <n v="5"/>
    <x v="1520"/>
    <n v="1153.3"/>
    <n v="10316.98"/>
    <n v="0.47217299771167048"/>
    <x v="1"/>
    <x v="0"/>
    <n v="29"/>
    <x v="480"/>
    <s v="Wholesale"/>
    <x v="3"/>
  </r>
  <r>
    <x v="1549"/>
    <d v="2023-04-30T00:00:00"/>
    <x v="2"/>
    <x v="2"/>
    <n v="2879"/>
    <n v="8"/>
    <n v="5"/>
    <x v="1521"/>
    <n v="1724.83"/>
    <n v="8081.74"/>
    <n v="0.36935979232555161"/>
    <x v="7"/>
    <x v="0"/>
    <n v="18"/>
    <x v="165"/>
    <s v="Wholesale"/>
    <x v="0"/>
  </r>
  <r>
    <x v="1550"/>
    <d v="2023-04-13T00:00:00"/>
    <x v="9"/>
    <x v="5"/>
    <n v="2741"/>
    <n v="8"/>
    <n v="0"/>
    <x v="1522"/>
    <n v="1615.8"/>
    <n v="9001.6299999999992"/>
    <n v="0.41050848230572778"/>
    <x v="7"/>
    <x v="0"/>
    <n v="15"/>
    <x v="481"/>
    <s v="Wholesale"/>
    <x v="3"/>
  </r>
  <r>
    <x v="1551"/>
    <d v="2023-12-15T00:00:00"/>
    <x v="7"/>
    <x v="1"/>
    <n v="4072"/>
    <n v="6"/>
    <n v="10"/>
    <x v="1523"/>
    <n v="2729.21"/>
    <n v="5613.57"/>
    <n v="0.25529223968565817"/>
    <x v="9"/>
    <x v="0"/>
    <n v="50"/>
    <x v="418"/>
    <s v="Wholesale"/>
    <x v="0"/>
  </r>
  <r>
    <x v="1552"/>
    <d v="2023-05-25T00:00:00"/>
    <x v="4"/>
    <x v="3"/>
    <n v="2882"/>
    <n v="9"/>
    <n v="15"/>
    <x v="1524"/>
    <n v="2249.1"/>
    <n v="1805.43"/>
    <n v="8.1888938781619527E-2"/>
    <x v="2"/>
    <x v="0"/>
    <n v="21"/>
    <x v="442"/>
    <s v="Retail"/>
    <x v="2"/>
  </r>
  <r>
    <x v="1553"/>
    <d v="2023-04-19T00:00:00"/>
    <x v="9"/>
    <x v="5"/>
    <n v="3675"/>
    <n v="6"/>
    <n v="0"/>
    <x v="1525"/>
    <n v="2448.89"/>
    <n v="7356.69"/>
    <n v="0.33363673469387756"/>
    <x v="7"/>
    <x v="0"/>
    <n v="16"/>
    <x v="396"/>
    <s v="Retail"/>
    <x v="1"/>
  </r>
  <r>
    <x v="1554"/>
    <d v="2023-02-19T00:00:00"/>
    <x v="6"/>
    <x v="0"/>
    <n v="3322"/>
    <n v="7"/>
    <n v="5"/>
    <x v="1526"/>
    <n v="2169.61"/>
    <n v="6904.06"/>
    <n v="0.3125239347616483"/>
    <x v="3"/>
    <x v="0"/>
    <n v="8"/>
    <x v="191"/>
    <s v="Retail"/>
    <x v="3"/>
  </r>
  <r>
    <x v="1555"/>
    <d v="2023-02-26T00:00:00"/>
    <x v="9"/>
    <x v="5"/>
    <n v="3687"/>
    <n v="6"/>
    <n v="0"/>
    <x v="1527"/>
    <n v="2740.62"/>
    <n v="5678.26"/>
    <n v="0.25667932375011304"/>
    <x v="3"/>
    <x v="0"/>
    <n v="9"/>
    <x v="48"/>
    <s v="Wholesale"/>
    <x v="2"/>
  </r>
  <r>
    <x v="1556"/>
    <d v="2023-08-06T00:00:00"/>
    <x v="5"/>
    <x v="4"/>
    <n v="3073"/>
    <n v="8"/>
    <n v="10"/>
    <x v="1528"/>
    <n v="2441.6799999999998"/>
    <n v="2592.15"/>
    <n v="0.11715614491810393"/>
    <x v="6"/>
    <x v="0"/>
    <n v="32"/>
    <x v="118"/>
    <s v="Retail"/>
    <x v="2"/>
  </r>
  <r>
    <x v="1557"/>
    <d v="2023-08-08T00:00:00"/>
    <x v="7"/>
    <x v="1"/>
    <n v="3690"/>
    <n v="6"/>
    <n v="0"/>
    <x v="1529"/>
    <n v="1901.88"/>
    <n v="10728.75"/>
    <n v="0.48458672086720866"/>
    <x v="6"/>
    <x v="0"/>
    <n v="32"/>
    <x v="288"/>
    <s v="Retail"/>
    <x v="0"/>
  </r>
  <r>
    <x v="1558"/>
    <d v="2023-11-30T00:00:00"/>
    <x v="3"/>
    <x v="3"/>
    <n v="3258"/>
    <n v="8"/>
    <n v="15"/>
    <x v="1530"/>
    <n v="2134.63"/>
    <n v="5077.3599999999997"/>
    <n v="0.22918065937240456"/>
    <x v="4"/>
    <x v="0"/>
    <n v="48"/>
    <x v="153"/>
    <s v="Retail"/>
    <x v="3"/>
  </r>
  <r>
    <x v="1559"/>
    <d v="2023-06-12T00:00:00"/>
    <x v="8"/>
    <x v="2"/>
    <n v="3746"/>
    <n v="7"/>
    <n v="15"/>
    <x v="1531"/>
    <n v="2852.07"/>
    <n v="2324.2399999999998"/>
    <n v="0.10427884982076117"/>
    <x v="10"/>
    <x v="0"/>
    <n v="24"/>
    <x v="392"/>
    <s v="Retail"/>
    <x v="0"/>
  </r>
  <r>
    <x v="1560"/>
    <d v="2023-12-25T00:00:00"/>
    <x v="9"/>
    <x v="5"/>
    <n v="4955"/>
    <n v="5"/>
    <n v="10"/>
    <x v="1532"/>
    <n v="2525.59"/>
    <n v="9669.57"/>
    <n v="0.43366162125798857"/>
    <x v="9"/>
    <x v="0"/>
    <n v="52"/>
    <x v="459"/>
    <s v="Retail"/>
    <x v="2"/>
  </r>
  <r>
    <x v="1561"/>
    <d v="2023-09-21T00:00:00"/>
    <x v="2"/>
    <x v="2"/>
    <n v="2611"/>
    <n v="9"/>
    <n v="5"/>
    <x v="1533"/>
    <n v="1813.15"/>
    <n v="6005.73"/>
    <n v="0.26902510969111787"/>
    <x v="8"/>
    <x v="0"/>
    <n v="38"/>
    <x v="263"/>
    <s v="Retail"/>
    <x v="2"/>
  </r>
  <r>
    <x v="1562"/>
    <d v="2023-06-09T00:00:00"/>
    <x v="3"/>
    <x v="3"/>
    <n v="4700"/>
    <n v="5"/>
    <n v="5"/>
    <x v="1534"/>
    <n v="3146.59"/>
    <n v="6592.06"/>
    <n v="0.29527704367301233"/>
    <x v="10"/>
    <x v="0"/>
    <n v="23"/>
    <x v="51"/>
    <s v="Wholesale"/>
    <x v="0"/>
  </r>
  <r>
    <x v="1563"/>
    <d v="2023-03-30T00:00:00"/>
    <x v="9"/>
    <x v="5"/>
    <n v="4968"/>
    <n v="5"/>
    <n v="10"/>
    <x v="1535"/>
    <n v="3058.89"/>
    <n v="7061.54"/>
    <n v="0.31586777598854893"/>
    <x v="5"/>
    <x v="0"/>
    <n v="13"/>
    <x v="48"/>
    <s v="Wholesale"/>
    <x v="0"/>
  </r>
  <r>
    <x v="1564"/>
    <d v="2023-01-11T00:00:00"/>
    <x v="4"/>
    <x v="3"/>
    <n v="4385"/>
    <n v="6"/>
    <n v="15"/>
    <x v="1536"/>
    <n v="2761.72"/>
    <n v="5793.15"/>
    <n v="0.25904487222483064"/>
    <x v="0"/>
    <x v="0"/>
    <n v="2"/>
    <x v="290"/>
    <s v="Retail"/>
    <x v="0"/>
  </r>
  <r>
    <x v="1565"/>
    <d v="2023-01-15T00:00:00"/>
    <x v="4"/>
    <x v="3"/>
    <n v="3363"/>
    <n v="7"/>
    <n v="5"/>
    <x v="1537"/>
    <n v="2551.98"/>
    <n v="4500.1099999999997"/>
    <n v="0.20122160888394042"/>
    <x v="0"/>
    <x v="0"/>
    <n v="3"/>
    <x v="461"/>
    <s v="Wholesale"/>
    <x v="2"/>
  </r>
  <r>
    <x v="1566"/>
    <d v="2023-07-03T00:00:00"/>
    <x v="0"/>
    <x v="0"/>
    <n v="4715"/>
    <n v="5"/>
    <n v="5"/>
    <x v="1538"/>
    <n v="2751.84"/>
    <n v="8637.07"/>
    <n v="0.38564804375732542"/>
    <x v="1"/>
    <x v="0"/>
    <n v="27"/>
    <x v="482"/>
    <s v="Wholesale"/>
    <x v="2"/>
  </r>
  <r>
    <x v="1567"/>
    <d v="2023-11-14T00:00:00"/>
    <x v="8"/>
    <x v="2"/>
    <n v="2489"/>
    <n v="9"/>
    <n v="0"/>
    <x v="1539"/>
    <n v="1314.18"/>
    <n v="10573.34"/>
    <n v="0.47200303557876883"/>
    <x v="4"/>
    <x v="0"/>
    <n v="46"/>
    <x v="354"/>
    <s v="Wholesale"/>
    <x v="1"/>
  </r>
  <r>
    <x v="1568"/>
    <d v="2023-01-12T00:00:00"/>
    <x v="6"/>
    <x v="0"/>
    <n v="4741"/>
    <n v="5"/>
    <n v="5"/>
    <x v="1540"/>
    <n v="2427.36"/>
    <n v="10382.93"/>
    <n v="0.46105884834423116"/>
    <x v="0"/>
    <x v="0"/>
    <n v="2"/>
    <x v="117"/>
    <s v="Retail"/>
    <x v="2"/>
  </r>
  <r>
    <x v="1569"/>
    <d v="2023-09-03T00:00:00"/>
    <x v="4"/>
    <x v="3"/>
    <n v="4747"/>
    <n v="5"/>
    <n v="5"/>
    <x v="1541"/>
    <n v="3593.57"/>
    <n v="4580.3999999999996"/>
    <n v="0.2031377157872562"/>
    <x v="8"/>
    <x v="0"/>
    <n v="36"/>
    <x v="402"/>
    <s v="Retail"/>
    <x v="3"/>
  </r>
  <r>
    <x v="1570"/>
    <d v="2023-07-30T00:00:00"/>
    <x v="6"/>
    <x v="0"/>
    <n v="3792"/>
    <n v="7"/>
    <n v="15"/>
    <x v="1542"/>
    <n v="2950.1"/>
    <n v="1911.71"/>
    <n v="8.4729904620075874E-2"/>
    <x v="1"/>
    <x v="0"/>
    <n v="31"/>
    <x v="68"/>
    <s v="Wholesale"/>
    <x v="0"/>
  </r>
  <r>
    <x v="1571"/>
    <d v="2023-03-24T00:00:00"/>
    <x v="6"/>
    <x v="0"/>
    <n v="3586"/>
    <n v="7"/>
    <n v="10"/>
    <x v="1543"/>
    <n v="2514.19"/>
    <n v="4992.49"/>
    <n v="0.22098681822608202"/>
    <x v="5"/>
    <x v="0"/>
    <n v="12"/>
    <x v="111"/>
    <s v="Retail"/>
    <x v="3"/>
  </r>
  <r>
    <x v="1572"/>
    <d v="2023-04-04T00:00:00"/>
    <x v="2"/>
    <x v="2"/>
    <n v="4519"/>
    <n v="5"/>
    <n v="0"/>
    <x v="1544"/>
    <n v="3204.69"/>
    <n v="6571.56"/>
    <n v="0.29084133657888916"/>
    <x v="7"/>
    <x v="0"/>
    <n v="14"/>
    <x v="296"/>
    <s v="Wholesale"/>
    <x v="3"/>
  </r>
  <r>
    <x v="1573"/>
    <d v="2023-08-13T00:00:00"/>
    <x v="8"/>
    <x v="2"/>
    <n v="3798"/>
    <n v="7"/>
    <n v="15"/>
    <x v="1545"/>
    <n v="1940.49"/>
    <n v="9014.68"/>
    <n v="0.39891318296670963"/>
    <x v="6"/>
    <x v="0"/>
    <n v="33"/>
    <x v="52"/>
    <s v="Wholesale"/>
    <x v="2"/>
  </r>
  <r>
    <x v="1574"/>
    <d v="2023-02-16T00:00:00"/>
    <x v="5"/>
    <x v="4"/>
    <n v="4759"/>
    <n v="5"/>
    <n v="5"/>
    <x v="1546"/>
    <n v="2804.47"/>
    <n v="8582.89"/>
    <n v="0.37968569248294087"/>
    <x v="3"/>
    <x v="0"/>
    <n v="7"/>
    <x v="70"/>
    <s v="Wholesale"/>
    <x v="3"/>
  </r>
  <r>
    <x v="1575"/>
    <d v="2023-11-05T00:00:00"/>
    <x v="8"/>
    <x v="2"/>
    <n v="2512"/>
    <n v="10"/>
    <n v="10"/>
    <x v="1547"/>
    <n v="1958.62"/>
    <n v="3021.81"/>
    <n v="0.13366109341825902"/>
    <x v="4"/>
    <x v="0"/>
    <n v="45"/>
    <x v="335"/>
    <s v="Wholesale"/>
    <x v="2"/>
  </r>
  <r>
    <x v="1576"/>
    <d v="2023-10-18T00:00:00"/>
    <x v="8"/>
    <x v="2"/>
    <n v="3400"/>
    <n v="7"/>
    <n v="5"/>
    <x v="1548"/>
    <n v="2354.31"/>
    <n v="6129.81"/>
    <n v="0.27111057054400711"/>
    <x v="11"/>
    <x v="0"/>
    <n v="42"/>
    <x v="467"/>
    <s v="Wholesale"/>
    <x v="1"/>
  </r>
  <r>
    <x v="1577"/>
    <d v="2023-09-02T00:00:00"/>
    <x v="4"/>
    <x v="3"/>
    <n v="4191"/>
    <n v="6"/>
    <n v="10"/>
    <x v="1549"/>
    <n v="2270.0700000000002"/>
    <n v="9010.9599999999991"/>
    <n v="0.39816184593087472"/>
    <x v="8"/>
    <x v="0"/>
    <n v="35"/>
    <x v="463"/>
    <s v="Wholesale"/>
    <x v="0"/>
  </r>
  <r>
    <x v="1578"/>
    <d v="2023-03-03T00:00:00"/>
    <x v="1"/>
    <x v="1"/>
    <n v="2521"/>
    <n v="10"/>
    <n v="10"/>
    <x v="1550"/>
    <n v="1293.9100000000001"/>
    <n v="9749.85"/>
    <n v="0.42971704350125611"/>
    <x v="5"/>
    <x v="0"/>
    <n v="9"/>
    <x v="219"/>
    <s v="Wholesale"/>
    <x v="3"/>
  </r>
  <r>
    <x v="1579"/>
    <d v="2023-05-18T00:00:00"/>
    <x v="8"/>
    <x v="2"/>
    <n v="3783"/>
    <n v="6"/>
    <n v="0"/>
    <x v="1551"/>
    <n v="2638.1"/>
    <n v="6869.41"/>
    <n v="0.30264384527271126"/>
    <x v="2"/>
    <x v="0"/>
    <n v="20"/>
    <x v="399"/>
    <s v="Wholesale"/>
    <x v="3"/>
  </r>
  <r>
    <x v="1580"/>
    <d v="2023-06-11T00:00:00"/>
    <x v="7"/>
    <x v="1"/>
    <n v="4457"/>
    <n v="6"/>
    <n v="15"/>
    <x v="1552"/>
    <n v="2563.4699999999998"/>
    <n v="7349.85"/>
    <n v="0.32334463962834403"/>
    <x v="10"/>
    <x v="0"/>
    <n v="24"/>
    <x v="118"/>
    <s v="Wholesale"/>
    <x v="2"/>
  </r>
  <r>
    <x v="1581"/>
    <d v="2023-10-03T00:00:00"/>
    <x v="4"/>
    <x v="3"/>
    <n v="4210"/>
    <n v="6"/>
    <n v="10"/>
    <x v="1553"/>
    <n v="2693.03"/>
    <n v="6575.81"/>
    <n v="0.28925002199348993"/>
    <x v="11"/>
    <x v="0"/>
    <n v="40"/>
    <x v="101"/>
    <s v="Wholesale"/>
    <x v="2"/>
  </r>
  <r>
    <x v="1582"/>
    <d v="2023-11-15T00:00:00"/>
    <x v="6"/>
    <x v="0"/>
    <n v="2274"/>
    <n v="10"/>
    <n v="0"/>
    <x v="1554"/>
    <n v="1140.1400000000001"/>
    <n v="11338.61"/>
    <n v="0.49861961301671065"/>
    <x v="4"/>
    <x v="0"/>
    <n v="46"/>
    <x v="291"/>
    <s v="Wholesale"/>
    <x v="0"/>
  </r>
  <r>
    <x v="1583"/>
    <d v="2023-02-23T00:00:00"/>
    <x v="2"/>
    <x v="2"/>
    <n v="2278"/>
    <n v="10"/>
    <n v="0"/>
    <x v="1555"/>
    <n v="1631.88"/>
    <n v="6461.25"/>
    <n v="0.28363696224758561"/>
    <x v="3"/>
    <x v="0"/>
    <n v="8"/>
    <x v="213"/>
    <s v="Wholesale"/>
    <x v="2"/>
  </r>
  <r>
    <x v="1584"/>
    <d v="2023-05-28T00:00:00"/>
    <x v="4"/>
    <x v="3"/>
    <n v="3798"/>
    <n v="6"/>
    <n v="0"/>
    <x v="1556"/>
    <n v="2844.5"/>
    <n v="5720.98"/>
    <n v="0.25105230823240299"/>
    <x v="2"/>
    <x v="0"/>
    <n v="22"/>
    <x v="117"/>
    <s v="Retail"/>
    <x v="1"/>
  </r>
  <r>
    <x v="1585"/>
    <d v="2023-02-21T00:00:00"/>
    <x v="6"/>
    <x v="0"/>
    <n v="2850"/>
    <n v="8"/>
    <n v="0"/>
    <x v="1557"/>
    <n v="2119.9699999999998"/>
    <n v="5840.21"/>
    <n v="0.25614956140350875"/>
    <x v="3"/>
    <x v="0"/>
    <n v="8"/>
    <x v="78"/>
    <s v="Wholesale"/>
    <x v="1"/>
  </r>
  <r>
    <x v="1586"/>
    <d v="2023-06-27T00:00:00"/>
    <x v="7"/>
    <x v="1"/>
    <n v="3354"/>
    <n v="8"/>
    <n v="15"/>
    <x v="1558"/>
    <n v="2428.56"/>
    <n v="3378.69"/>
    <n v="0.14814137640745029"/>
    <x v="10"/>
    <x v="0"/>
    <n v="26"/>
    <x v="306"/>
    <s v="Retail"/>
    <x v="0"/>
  </r>
  <r>
    <x v="1587"/>
    <d v="2023-07-10T00:00:00"/>
    <x v="0"/>
    <x v="0"/>
    <n v="2668"/>
    <n v="9"/>
    <n v="5"/>
    <x v="1559"/>
    <n v="1949.94"/>
    <n v="5261.9"/>
    <n v="0.23066975284287677"/>
    <x v="1"/>
    <x v="0"/>
    <n v="28"/>
    <x v="196"/>
    <s v="Wholesale"/>
    <x v="3"/>
  </r>
  <r>
    <x v="1588"/>
    <d v="2023-12-24T00:00:00"/>
    <x v="1"/>
    <x v="1"/>
    <n v="3357"/>
    <n v="8"/>
    <n v="15"/>
    <x v="1560"/>
    <n v="2208.5500000000002"/>
    <n v="5159.16"/>
    <n v="0.22600536193029491"/>
    <x v="9"/>
    <x v="0"/>
    <n v="52"/>
    <x v="172"/>
    <s v="Retail"/>
    <x v="1"/>
  </r>
  <r>
    <x v="1589"/>
    <d v="2023-12-27T00:00:00"/>
    <x v="7"/>
    <x v="1"/>
    <n v="4566"/>
    <n v="5"/>
    <n v="0"/>
    <x v="1561"/>
    <n v="3511.44"/>
    <n v="5272.8"/>
    <n v="0.23095926412614981"/>
    <x v="9"/>
    <x v="0"/>
    <n v="52"/>
    <x v="401"/>
    <s v="Wholesale"/>
    <x v="1"/>
  </r>
  <r>
    <x v="1590"/>
    <d v="2023-07-12T00:00:00"/>
    <x v="2"/>
    <x v="2"/>
    <n v="3361"/>
    <n v="8"/>
    <n v="15"/>
    <x v="1562"/>
    <n v="2388.48"/>
    <n v="3746.96"/>
    <n v="0.16394630449621087"/>
    <x v="1"/>
    <x v="0"/>
    <n v="28"/>
    <x v="204"/>
    <s v="Retail"/>
    <x v="3"/>
  </r>
  <r>
    <x v="1591"/>
    <d v="2023-03-08T00:00:00"/>
    <x v="6"/>
    <x v="0"/>
    <n v="3814"/>
    <n v="6"/>
    <n v="0"/>
    <x v="1563"/>
    <n v="2860.48"/>
    <n v="5721.15"/>
    <n v="0.25000655479811218"/>
    <x v="5"/>
    <x v="0"/>
    <n v="10"/>
    <x v="138"/>
    <s v="Wholesale"/>
    <x v="3"/>
  </r>
  <r>
    <x v="1592"/>
    <d v="2023-09-16T00:00:00"/>
    <x v="6"/>
    <x v="0"/>
    <n v="3634"/>
    <n v="7"/>
    <n v="10"/>
    <x v="1564"/>
    <n v="2681.48"/>
    <n v="4123.82"/>
    <n v="0.18012509718618688"/>
    <x v="8"/>
    <x v="0"/>
    <n v="37"/>
    <x v="186"/>
    <s v="Wholesale"/>
    <x v="2"/>
  </r>
  <r>
    <x v="1593"/>
    <d v="2023-12-10T00:00:00"/>
    <x v="4"/>
    <x v="3"/>
    <n v="3448"/>
    <n v="7"/>
    <n v="5"/>
    <x v="1565"/>
    <n v="2671.34"/>
    <n v="4229.8"/>
    <n v="0.18447220138513337"/>
    <x v="9"/>
    <x v="0"/>
    <n v="50"/>
    <x v="436"/>
    <s v="Wholesale"/>
    <x v="1"/>
  </r>
  <r>
    <x v="1594"/>
    <d v="2023-08-15T00:00:00"/>
    <x v="8"/>
    <x v="2"/>
    <n v="3020"/>
    <n v="8"/>
    <n v="5"/>
    <x v="1566"/>
    <n v="1938.1"/>
    <n v="7447.16"/>
    <n v="0.32446671314046704"/>
    <x v="6"/>
    <x v="0"/>
    <n v="33"/>
    <x v="294"/>
    <s v="Retail"/>
    <x v="3"/>
  </r>
  <r>
    <x v="1595"/>
    <d v="2023-05-28T00:00:00"/>
    <x v="4"/>
    <x v="3"/>
    <n v="3280"/>
    <n v="7"/>
    <n v="0"/>
    <x v="1567"/>
    <n v="2435.46"/>
    <n v="5911.8"/>
    <n v="0.25748257839721256"/>
    <x v="2"/>
    <x v="0"/>
    <n v="22"/>
    <x v="160"/>
    <s v="Retail"/>
    <x v="3"/>
  </r>
  <r>
    <x v="1596"/>
    <d v="2023-01-14T00:00:00"/>
    <x v="9"/>
    <x v="5"/>
    <n v="3289"/>
    <n v="7"/>
    <n v="0"/>
    <x v="1568"/>
    <n v="2130.44"/>
    <n v="8109.94"/>
    <n v="0.35225383312339831"/>
    <x v="0"/>
    <x v="0"/>
    <n v="2"/>
    <x v="345"/>
    <s v="Wholesale"/>
    <x v="3"/>
  </r>
  <r>
    <x v="1597"/>
    <d v="2023-09-01T00:00:00"/>
    <x v="3"/>
    <x v="3"/>
    <n v="3013"/>
    <n v="9"/>
    <n v="15"/>
    <x v="1569"/>
    <n v="2402.69"/>
    <n v="1425.24"/>
    <n v="6.1834013392944295E-2"/>
    <x v="8"/>
    <x v="0"/>
    <n v="35"/>
    <x v="61"/>
    <s v="Retail"/>
    <x v="1"/>
  </r>
  <r>
    <x v="1598"/>
    <d v="2023-05-27T00:00:00"/>
    <x v="8"/>
    <x v="2"/>
    <n v="3302"/>
    <n v="7"/>
    <n v="0"/>
    <x v="1570"/>
    <n v="2504.67"/>
    <n v="5581.29"/>
    <n v="0.24146794150731157"/>
    <x v="2"/>
    <x v="0"/>
    <n v="21"/>
    <x v="19"/>
    <s v="Wholesale"/>
    <x v="1"/>
  </r>
  <r>
    <x v="1599"/>
    <d v="2023-04-22T00:00:00"/>
    <x v="3"/>
    <x v="3"/>
    <n v="3898"/>
    <n v="7"/>
    <n v="15"/>
    <x v="1571"/>
    <n v="2936.15"/>
    <n v="2640.07"/>
    <n v="0.11382997529437636"/>
    <x v="7"/>
    <x v="0"/>
    <n v="16"/>
    <x v="263"/>
    <s v="Wholesale"/>
    <x v="3"/>
  </r>
  <r>
    <x v="1600"/>
    <d v="2023-01-17T00:00:00"/>
    <x v="5"/>
    <x v="4"/>
    <n v="4072"/>
    <n v="6"/>
    <n v="5"/>
    <x v="1572"/>
    <n v="2107.3000000000002"/>
    <n v="10566.63"/>
    <n v="0.45525411022645013"/>
    <x v="0"/>
    <x v="0"/>
    <n v="3"/>
    <x v="307"/>
    <s v="Retail"/>
    <x v="0"/>
  </r>
  <r>
    <x v="1601"/>
    <d v="2023-02-24T00:00:00"/>
    <x v="5"/>
    <x v="4"/>
    <n v="4300"/>
    <n v="6"/>
    <n v="10"/>
    <x v="1573"/>
    <n v="3366.68"/>
    <n v="3019.95"/>
    <n v="0.13005813953488371"/>
    <x v="3"/>
    <x v="0"/>
    <n v="8"/>
    <x v="322"/>
    <s v="Retail"/>
    <x v="3"/>
  </r>
  <r>
    <x v="1602"/>
    <d v="2023-10-05T00:00:00"/>
    <x v="6"/>
    <x v="0"/>
    <n v="3914"/>
    <n v="7"/>
    <n v="15"/>
    <x v="1574"/>
    <n v="3014.44"/>
    <n v="2187.21"/>
    <n v="9.3918834779696245E-2"/>
    <x v="11"/>
    <x v="0"/>
    <n v="40"/>
    <x v="26"/>
    <s v="Retail"/>
    <x v="2"/>
  </r>
  <r>
    <x v="1603"/>
    <d v="2023-07-27T00:00:00"/>
    <x v="3"/>
    <x v="3"/>
    <n v="2453"/>
    <n v="10"/>
    <n v="5"/>
    <x v="1575"/>
    <n v="1495.38"/>
    <n v="8349.73"/>
    <n v="0.35830368828716713"/>
    <x v="1"/>
    <x v="0"/>
    <n v="30"/>
    <x v="211"/>
    <s v="Retail"/>
    <x v="2"/>
  </r>
  <r>
    <x v="1604"/>
    <d v="2023-08-26T00:00:00"/>
    <x v="6"/>
    <x v="0"/>
    <n v="2341"/>
    <n v="10"/>
    <n v="0"/>
    <x v="1576"/>
    <n v="1781.97"/>
    <n v="5590.35"/>
    <n v="0.23880179410508331"/>
    <x v="6"/>
    <x v="0"/>
    <n v="34"/>
    <x v="327"/>
    <s v="Retail"/>
    <x v="3"/>
  </r>
  <r>
    <x v="1605"/>
    <d v="2023-12-14T00:00:00"/>
    <x v="8"/>
    <x v="2"/>
    <n v="3444"/>
    <n v="8"/>
    <n v="15"/>
    <x v="1577"/>
    <n v="1931"/>
    <n v="7971.17"/>
    <n v="0.34036901345904214"/>
    <x v="9"/>
    <x v="0"/>
    <n v="50"/>
    <x v="440"/>
    <s v="Wholesale"/>
    <x v="3"/>
  </r>
  <r>
    <x v="1606"/>
    <d v="2023-09-16T00:00:00"/>
    <x v="4"/>
    <x v="3"/>
    <n v="3910"/>
    <n v="6"/>
    <n v="0"/>
    <x v="1578"/>
    <n v="2196.14"/>
    <n v="10283.15"/>
    <n v="0.43832693947144075"/>
    <x v="8"/>
    <x v="0"/>
    <n v="37"/>
    <x v="283"/>
    <s v="Wholesale"/>
    <x v="2"/>
  </r>
  <r>
    <x v="1607"/>
    <d v="2023-12-19T00:00:00"/>
    <x v="1"/>
    <x v="1"/>
    <n v="4607"/>
    <n v="6"/>
    <n v="15"/>
    <x v="1579"/>
    <n v="2882.27"/>
    <n v="6202.05"/>
    <n v="0.26396532131411282"/>
    <x v="9"/>
    <x v="0"/>
    <n v="51"/>
    <x v="85"/>
    <s v="Wholesale"/>
    <x v="3"/>
  </r>
  <r>
    <x v="1608"/>
    <d v="2023-03-14T00:00:00"/>
    <x v="3"/>
    <x v="3"/>
    <n v="4701"/>
    <n v="5"/>
    <n v="0"/>
    <x v="1580"/>
    <n v="2834.36"/>
    <n v="9333.2099999999991"/>
    <n v="0.39707338864071473"/>
    <x v="5"/>
    <x v="0"/>
    <n v="11"/>
    <x v="473"/>
    <s v="Wholesale"/>
    <x v="1"/>
  </r>
  <r>
    <x v="1609"/>
    <d v="2023-08-13T00:00:00"/>
    <x v="4"/>
    <x v="3"/>
    <n v="4359"/>
    <n v="6"/>
    <n v="10"/>
    <x v="1581"/>
    <n v="3075.06"/>
    <n v="5088.2299999999996"/>
    <n v="0.21616536242597265"/>
    <x v="6"/>
    <x v="0"/>
    <n v="33"/>
    <x v="1"/>
    <s v="Retail"/>
    <x v="2"/>
  </r>
  <r>
    <x v="1610"/>
    <d v="2023-12-08T00:00:00"/>
    <x v="1"/>
    <x v="1"/>
    <n v="4138"/>
    <n v="6"/>
    <n v="5"/>
    <x v="1582"/>
    <n v="3278.56"/>
    <n v="3915.22"/>
    <n v="0.16599340303392604"/>
    <x v="9"/>
    <x v="0"/>
    <n v="49"/>
    <x v="72"/>
    <s v="Wholesale"/>
    <x v="2"/>
  </r>
  <r>
    <x v="1611"/>
    <d v="2023-12-29T00:00:00"/>
    <x v="3"/>
    <x v="3"/>
    <n v="2759"/>
    <n v="9"/>
    <n v="5"/>
    <x v="1583"/>
    <n v="1891.95"/>
    <n v="6561.87"/>
    <n v="0.27816969026407989"/>
    <x v="9"/>
    <x v="0"/>
    <n v="52"/>
    <x v="483"/>
    <s v="Retail"/>
    <x v="1"/>
  </r>
  <r>
    <x v="1612"/>
    <d v="2023-01-17T00:00:00"/>
    <x v="7"/>
    <x v="1"/>
    <n v="2949"/>
    <n v="8"/>
    <n v="0"/>
    <x v="1584"/>
    <n v="1677.57"/>
    <n v="10171.459999999999"/>
    <n v="0.43114021702271954"/>
    <x v="0"/>
    <x v="0"/>
    <n v="3"/>
    <x v="484"/>
    <s v="Retail"/>
    <x v="0"/>
  </r>
  <r>
    <x v="1613"/>
    <d v="2023-08-01T00:00:00"/>
    <x v="3"/>
    <x v="3"/>
    <n v="4974"/>
    <n v="5"/>
    <n v="5"/>
    <x v="1585"/>
    <n v="3850.61"/>
    <n v="4373.43"/>
    <n v="0.18510697733477241"/>
    <x v="6"/>
    <x v="0"/>
    <n v="31"/>
    <x v="332"/>
    <s v="Wholesale"/>
    <x v="1"/>
  </r>
  <r>
    <x v="1614"/>
    <d v="2023-03-10T00:00:00"/>
    <x v="6"/>
    <x v="0"/>
    <n v="4634"/>
    <n v="6"/>
    <n v="15"/>
    <x v="1586"/>
    <n v="2821.93"/>
    <n v="6701.79"/>
    <n v="0.28357282490035285"/>
    <x v="5"/>
    <x v="0"/>
    <n v="10"/>
    <x v="397"/>
    <s v="Retail"/>
    <x v="2"/>
  </r>
  <r>
    <x v="1615"/>
    <d v="2023-10-18T00:00:00"/>
    <x v="2"/>
    <x v="2"/>
    <n v="2933"/>
    <n v="9"/>
    <n v="10"/>
    <x v="1587"/>
    <n v="1817.26"/>
    <n v="7401.93"/>
    <n v="0.31156444545466028"/>
    <x v="11"/>
    <x v="0"/>
    <n v="42"/>
    <x v="315"/>
    <s v="Retail"/>
    <x v="0"/>
  </r>
  <r>
    <x v="1616"/>
    <d v="2023-03-30T00:00:00"/>
    <x v="7"/>
    <x v="1"/>
    <n v="3961"/>
    <n v="6"/>
    <n v="0"/>
    <x v="1588"/>
    <n v="2769.89"/>
    <n v="7146.68"/>
    <n v="0.30071025835226795"/>
    <x v="5"/>
    <x v="0"/>
    <n v="13"/>
    <x v="327"/>
    <s v="Retail"/>
    <x v="1"/>
  </r>
  <r>
    <x v="1617"/>
    <d v="2023-12-08T00:00:00"/>
    <x v="4"/>
    <x v="3"/>
    <n v="4176"/>
    <n v="6"/>
    <n v="5"/>
    <x v="1589"/>
    <n v="3027.54"/>
    <n v="5637.97"/>
    <n v="0.23685764939167844"/>
    <x v="9"/>
    <x v="0"/>
    <n v="49"/>
    <x v="10"/>
    <s v="Wholesale"/>
    <x v="1"/>
  </r>
  <r>
    <x v="1618"/>
    <d v="2023-02-11T00:00:00"/>
    <x v="0"/>
    <x v="0"/>
    <n v="3114"/>
    <n v="9"/>
    <n v="15"/>
    <x v="1590"/>
    <n v="1684.94"/>
    <n v="8657.6299999999992"/>
    <n v="0.36342849706784874"/>
    <x v="3"/>
    <x v="0"/>
    <n v="6"/>
    <x v="211"/>
    <s v="Retail"/>
    <x v="1"/>
  </r>
  <r>
    <x v="1619"/>
    <d v="2023-12-24T00:00:00"/>
    <x v="8"/>
    <x v="2"/>
    <n v="3971"/>
    <n v="6"/>
    <n v="0"/>
    <x v="1591"/>
    <n v="2163.27"/>
    <n v="10846.38"/>
    <n v="0.45523293880634597"/>
    <x v="9"/>
    <x v="0"/>
    <n v="52"/>
    <x v="48"/>
    <s v="Wholesale"/>
    <x v="1"/>
  </r>
  <r>
    <x v="1620"/>
    <d v="2023-04-26T00:00:00"/>
    <x v="1"/>
    <x v="1"/>
    <n v="4783"/>
    <n v="5"/>
    <n v="0"/>
    <x v="1592"/>
    <n v="3084.51"/>
    <n v="8492.4699999999993"/>
    <n v="0.35511060004181472"/>
    <x v="7"/>
    <x v="0"/>
    <n v="17"/>
    <x v="201"/>
    <s v="Wholesale"/>
    <x v="2"/>
  </r>
  <r>
    <x v="1621"/>
    <d v="2023-03-27T00:00:00"/>
    <x v="0"/>
    <x v="0"/>
    <n v="4432"/>
    <n v="6"/>
    <n v="10"/>
    <x v="1593"/>
    <n v="3480.12"/>
    <n v="3052.05"/>
    <n v="0.12752582230244686"/>
    <x v="5"/>
    <x v="0"/>
    <n v="13"/>
    <x v="170"/>
    <s v="Wholesale"/>
    <x v="0"/>
  </r>
  <r>
    <x v="1622"/>
    <d v="2023-04-03T00:00:00"/>
    <x v="4"/>
    <x v="3"/>
    <n v="4693"/>
    <n v="6"/>
    <n v="15"/>
    <x v="1594"/>
    <n v="2860.28"/>
    <n v="6772.62"/>
    <n v="0.28296712249783784"/>
    <x v="7"/>
    <x v="0"/>
    <n v="14"/>
    <x v="64"/>
    <s v="Wholesale"/>
    <x v="2"/>
  </r>
  <r>
    <x v="1623"/>
    <d v="2023-06-12T00:00:00"/>
    <x v="0"/>
    <x v="0"/>
    <n v="3520"/>
    <n v="8"/>
    <n v="15"/>
    <x v="1595"/>
    <n v="2555.94"/>
    <n v="3488.47"/>
    <n v="0.14574156082887699"/>
    <x v="10"/>
    <x v="0"/>
    <n v="24"/>
    <x v="2"/>
    <s v="Wholesale"/>
    <x v="1"/>
  </r>
  <r>
    <x v="1624"/>
    <d v="2023-01-19T00:00:00"/>
    <x v="1"/>
    <x v="1"/>
    <n v="3424"/>
    <n v="7"/>
    <n v="0"/>
    <x v="1596"/>
    <n v="2412.12"/>
    <n v="7083.15"/>
    <n v="0.29552528371161546"/>
    <x v="0"/>
    <x v="0"/>
    <n v="3"/>
    <x v="282"/>
    <s v="Wholesale"/>
    <x v="1"/>
  </r>
  <r>
    <x v="1625"/>
    <d v="2023-11-11T00:00:00"/>
    <x v="0"/>
    <x v="0"/>
    <n v="2409"/>
    <n v="10"/>
    <n v="0"/>
    <x v="1597"/>
    <n v="1366.1"/>
    <n v="10429.02"/>
    <n v="0.43291905354919058"/>
    <x v="4"/>
    <x v="0"/>
    <n v="45"/>
    <x v="485"/>
    <s v="Wholesale"/>
    <x v="1"/>
  </r>
  <r>
    <x v="1626"/>
    <d v="2023-07-03T00:00:00"/>
    <x v="0"/>
    <x v="0"/>
    <n v="3175"/>
    <n v="8"/>
    <n v="5"/>
    <x v="1598"/>
    <n v="1825.27"/>
    <n v="9527.81"/>
    <n v="0.39485329465395769"/>
    <x v="1"/>
    <x v="0"/>
    <n v="27"/>
    <x v="104"/>
    <s v="Retail"/>
    <x v="3"/>
  </r>
  <r>
    <x v="1627"/>
    <d v="2023-05-05T00:00:00"/>
    <x v="8"/>
    <x v="2"/>
    <n v="2542"/>
    <n v="10"/>
    <n v="5"/>
    <x v="1599"/>
    <n v="1284.53"/>
    <n v="11303.66"/>
    <n v="0.46807983767443784"/>
    <x v="2"/>
    <x v="0"/>
    <n v="18"/>
    <x v="417"/>
    <s v="Wholesale"/>
    <x v="0"/>
  </r>
  <r>
    <x v="1628"/>
    <d v="2023-02-27T00:00:00"/>
    <x v="2"/>
    <x v="2"/>
    <n v="3451"/>
    <n v="7"/>
    <n v="0"/>
    <x v="1600"/>
    <n v="2684.52"/>
    <n v="5365.36"/>
    <n v="0.22210373804694289"/>
    <x v="3"/>
    <x v="0"/>
    <n v="9"/>
    <x v="478"/>
    <s v="Wholesale"/>
    <x v="1"/>
  </r>
  <r>
    <x v="1629"/>
    <d v="2023-06-17T00:00:00"/>
    <x v="7"/>
    <x v="1"/>
    <n v="4738"/>
    <n v="6"/>
    <n v="15"/>
    <x v="1601"/>
    <n v="2445.08"/>
    <n v="9493.2999999999993"/>
    <n v="0.39287280974018984"/>
    <x v="10"/>
    <x v="0"/>
    <n v="24"/>
    <x v="309"/>
    <s v="Wholesale"/>
    <x v="0"/>
  </r>
  <r>
    <x v="1630"/>
    <d v="2023-05-17T00:00:00"/>
    <x v="9"/>
    <x v="5"/>
    <n v="3181"/>
    <n v="8"/>
    <n v="5"/>
    <x v="1602"/>
    <n v="1891.32"/>
    <n v="9045.06"/>
    <n v="0.37414004202584422"/>
    <x v="2"/>
    <x v="0"/>
    <n v="20"/>
    <x v="91"/>
    <s v="Retail"/>
    <x v="2"/>
  </r>
  <r>
    <x v="1631"/>
    <d v="2023-02-26T00:00:00"/>
    <x v="1"/>
    <x v="1"/>
    <n v="2838"/>
    <n v="9"/>
    <n v="5"/>
    <x v="1603"/>
    <n v="1903.42"/>
    <n v="7134.1"/>
    <n v="0.29400904186705901"/>
    <x v="3"/>
    <x v="0"/>
    <n v="9"/>
    <x v="465"/>
    <s v="Wholesale"/>
    <x v="3"/>
  </r>
  <r>
    <x v="1632"/>
    <d v="2023-03-11T00:00:00"/>
    <x v="0"/>
    <x v="0"/>
    <n v="3468"/>
    <n v="7"/>
    <n v="0"/>
    <x v="1604"/>
    <n v="2154.58"/>
    <n v="9193.9500000000007"/>
    <n v="0.37872590212555612"/>
    <x v="5"/>
    <x v="0"/>
    <n v="10"/>
    <x v="14"/>
    <s v="Wholesale"/>
    <x v="1"/>
  </r>
  <r>
    <x v="1633"/>
    <d v="2023-02-07T00:00:00"/>
    <x v="7"/>
    <x v="1"/>
    <n v="4498"/>
    <n v="6"/>
    <n v="10"/>
    <x v="1605"/>
    <n v="2639.61"/>
    <n v="8451.52"/>
    <n v="0.34795382309833178"/>
    <x v="3"/>
    <x v="0"/>
    <n v="6"/>
    <x v="164"/>
    <s v="Retail"/>
    <x v="3"/>
  </r>
  <r>
    <x v="1634"/>
    <d v="2023-12-13T00:00:00"/>
    <x v="6"/>
    <x v="0"/>
    <n v="3002"/>
    <n v="9"/>
    <n v="10"/>
    <x v="1606"/>
    <n v="1939.12"/>
    <n v="6864.16"/>
    <n v="0.28228752847895638"/>
    <x v="9"/>
    <x v="0"/>
    <n v="50"/>
    <x v="80"/>
    <s v="Wholesale"/>
    <x v="0"/>
  </r>
  <r>
    <x v="1635"/>
    <d v="2023-08-10T00:00:00"/>
    <x v="9"/>
    <x v="5"/>
    <n v="2706"/>
    <n v="9"/>
    <n v="0"/>
    <x v="1607"/>
    <n v="2125.4899999999998"/>
    <n v="5224.63"/>
    <n v="0.21452861952861954"/>
    <x v="6"/>
    <x v="0"/>
    <n v="32"/>
    <x v="399"/>
    <s v="Retail"/>
    <x v="2"/>
  </r>
  <r>
    <x v="1636"/>
    <d v="2023-01-06T00:00:00"/>
    <x v="2"/>
    <x v="2"/>
    <n v="4513"/>
    <n v="6"/>
    <n v="10"/>
    <x v="1608"/>
    <n v="2654.57"/>
    <n v="8442.77"/>
    <n v="0.346438272972729"/>
    <x v="0"/>
    <x v="0"/>
    <n v="1"/>
    <x v="137"/>
    <s v="Wholesale"/>
    <x v="0"/>
  </r>
  <r>
    <x v="1637"/>
    <d v="2023-04-08T00:00:00"/>
    <x v="5"/>
    <x v="4"/>
    <n v="3584"/>
    <n v="8"/>
    <n v="15"/>
    <x v="1609"/>
    <n v="2863.72"/>
    <n v="1461.41"/>
    <n v="5.9964630383403363E-2"/>
    <x v="7"/>
    <x v="0"/>
    <n v="14"/>
    <x v="95"/>
    <s v="Retail"/>
    <x v="1"/>
  </r>
  <r>
    <x v="1638"/>
    <d v="2023-10-10T00:00:00"/>
    <x v="4"/>
    <x v="3"/>
    <n v="4115"/>
    <n v="7"/>
    <n v="15"/>
    <x v="1610"/>
    <n v="2784.14"/>
    <n v="4995.29"/>
    <n v="0.20402054381898568"/>
    <x v="11"/>
    <x v="0"/>
    <n v="41"/>
    <x v="0"/>
    <s v="Wholesale"/>
    <x v="0"/>
  </r>
  <r>
    <x v="1639"/>
    <d v="2023-04-11T00:00:00"/>
    <x v="0"/>
    <x v="0"/>
    <n v="4123"/>
    <n v="7"/>
    <n v="15"/>
    <x v="1611"/>
    <n v="2304.9899999999998"/>
    <n v="8396.91"/>
    <n v="0.34228604854505473"/>
    <x v="7"/>
    <x v="0"/>
    <n v="15"/>
    <x v="196"/>
    <s v="Retail"/>
    <x v="2"/>
  </r>
  <r>
    <x v="1640"/>
    <d v="2023-01-19T00:00:00"/>
    <x v="5"/>
    <x v="4"/>
    <n v="2455"/>
    <n v="10"/>
    <n v="0"/>
    <x v="1612"/>
    <n v="1918.25"/>
    <n v="5367.5"/>
    <n v="0.21863543788187373"/>
    <x v="0"/>
    <x v="0"/>
    <n v="3"/>
    <x v="264"/>
    <s v="Wholesale"/>
    <x v="0"/>
  </r>
  <r>
    <x v="1641"/>
    <d v="2023-09-23T00:00:00"/>
    <x v="4"/>
    <x v="3"/>
    <n v="4127"/>
    <n v="7"/>
    <n v="15"/>
    <x v="1613"/>
    <n v="2752.29"/>
    <n v="5289.62"/>
    <n v="0.21541356062657677"/>
    <x v="8"/>
    <x v="0"/>
    <n v="38"/>
    <x v="141"/>
    <s v="Wholesale"/>
    <x v="0"/>
  </r>
  <r>
    <x v="1642"/>
    <d v="2023-11-15T00:00:00"/>
    <x v="5"/>
    <x v="4"/>
    <n v="3697"/>
    <n v="7"/>
    <n v="5"/>
    <x v="1614"/>
    <n v="2049.92"/>
    <n v="10235.61"/>
    <n v="0.41633472374471481"/>
    <x v="4"/>
    <x v="0"/>
    <n v="46"/>
    <x v="401"/>
    <s v="Retail"/>
    <x v="2"/>
  </r>
  <r>
    <x v="1643"/>
    <d v="2023-02-18T00:00:00"/>
    <x v="3"/>
    <x v="3"/>
    <n v="3074"/>
    <n v="8"/>
    <n v="0"/>
    <x v="1615"/>
    <n v="1941.83"/>
    <n v="9057.39"/>
    <n v="0.36830635979180221"/>
    <x v="3"/>
    <x v="0"/>
    <n v="7"/>
    <x v="478"/>
    <s v="Wholesale"/>
    <x v="3"/>
  </r>
  <r>
    <x v="1644"/>
    <d v="2023-10-23T00:00:00"/>
    <x v="6"/>
    <x v="0"/>
    <n v="4824"/>
    <n v="6"/>
    <n v="15"/>
    <x v="1616"/>
    <n v="3415.36"/>
    <n v="4110.25"/>
    <n v="0.16706703411049328"/>
    <x v="11"/>
    <x v="0"/>
    <n v="43"/>
    <x v="302"/>
    <s v="Retail"/>
    <x v="2"/>
  </r>
  <r>
    <x v="1645"/>
    <d v="2023-03-13T00:00:00"/>
    <x v="8"/>
    <x v="2"/>
    <n v="2739"/>
    <n v="10"/>
    <n v="10"/>
    <x v="1617"/>
    <n v="1585.63"/>
    <n v="8794.7199999999993"/>
    <n v="0.35676929941990182"/>
    <x v="5"/>
    <x v="0"/>
    <n v="11"/>
    <x v="53"/>
    <s v="Wholesale"/>
    <x v="1"/>
  </r>
  <r>
    <x v="1646"/>
    <d v="2023-01-01T00:00:00"/>
    <x v="6"/>
    <x v="0"/>
    <n v="2739"/>
    <n v="10"/>
    <n v="10"/>
    <x v="1617"/>
    <n v="2072.84"/>
    <n v="3922.6"/>
    <n v="0.15912539045069166"/>
    <x v="0"/>
    <x v="0"/>
    <n v="1"/>
    <x v="448"/>
    <s v="Wholesale"/>
    <x v="1"/>
  </r>
  <r>
    <x v="1647"/>
    <d v="2023-08-05T00:00:00"/>
    <x v="0"/>
    <x v="0"/>
    <n v="4358"/>
    <n v="6"/>
    <n v="5"/>
    <x v="1618"/>
    <n v="3040.7"/>
    <n v="6596.39"/>
    <n v="0.26554873875832308"/>
    <x v="6"/>
    <x v="0"/>
    <n v="31"/>
    <x v="385"/>
    <s v="Wholesale"/>
    <x v="0"/>
  </r>
  <r>
    <x v="1648"/>
    <d v="2023-02-06T00:00:00"/>
    <x v="2"/>
    <x v="2"/>
    <n v="2762"/>
    <n v="10"/>
    <n v="10"/>
    <x v="1619"/>
    <n v="2192.63"/>
    <n v="2931.68"/>
    <n v="0.11793708262933461"/>
    <x v="3"/>
    <x v="0"/>
    <n v="6"/>
    <x v="113"/>
    <s v="Wholesale"/>
    <x v="0"/>
  </r>
  <r>
    <x v="1649"/>
    <d v="2023-12-28T00:00:00"/>
    <x v="5"/>
    <x v="4"/>
    <n v="3111"/>
    <n v="8"/>
    <n v="0"/>
    <x v="1620"/>
    <n v="2125.36"/>
    <n v="7885.11"/>
    <n v="0.31682377049180327"/>
    <x v="9"/>
    <x v="0"/>
    <n v="52"/>
    <x v="63"/>
    <s v="Retail"/>
    <x v="1"/>
  </r>
  <r>
    <x v="1650"/>
    <d v="2023-07-18T00:00:00"/>
    <x v="6"/>
    <x v="0"/>
    <n v="2929"/>
    <n v="10"/>
    <n v="15"/>
    <x v="1621"/>
    <n v="1601.98"/>
    <n v="8876.7000000000007"/>
    <n v="0.35654409254312858"/>
    <x v="1"/>
    <x v="0"/>
    <n v="29"/>
    <x v="276"/>
    <s v="Retail"/>
    <x v="3"/>
  </r>
  <r>
    <x v="1651"/>
    <d v="2023-05-03T00:00:00"/>
    <x v="7"/>
    <x v="1"/>
    <n v="4614"/>
    <n v="6"/>
    <n v="10"/>
    <x v="1622"/>
    <n v="2567.4899999999998"/>
    <n v="9510.65"/>
    <n v="0.38171466872160414"/>
    <x v="2"/>
    <x v="0"/>
    <n v="18"/>
    <x v="184"/>
    <s v="Wholesale"/>
    <x v="1"/>
  </r>
  <r>
    <x v="1652"/>
    <d v="2023-01-28T00:00:00"/>
    <x v="1"/>
    <x v="1"/>
    <n v="3569"/>
    <n v="7"/>
    <n v="0"/>
    <x v="1623"/>
    <n v="2748.45"/>
    <n v="5743.86"/>
    <n v="0.22991073930272585"/>
    <x v="0"/>
    <x v="0"/>
    <n v="4"/>
    <x v="302"/>
    <s v="Retail"/>
    <x v="0"/>
  </r>
  <r>
    <x v="1653"/>
    <d v="2023-08-13T00:00:00"/>
    <x v="4"/>
    <x v="3"/>
    <n v="4636"/>
    <n v="6"/>
    <n v="10"/>
    <x v="1624"/>
    <n v="3057.73"/>
    <n v="6688.03"/>
    <n v="0.26715359665100818"/>
    <x v="6"/>
    <x v="0"/>
    <n v="33"/>
    <x v="181"/>
    <s v="Retail"/>
    <x v="2"/>
  </r>
  <r>
    <x v="1654"/>
    <d v="2023-10-05T00:00:00"/>
    <x v="8"/>
    <x v="2"/>
    <n v="2638"/>
    <n v="10"/>
    <n v="5"/>
    <x v="1625"/>
    <n v="1880.88"/>
    <n v="6252.2"/>
    <n v="0.24947927057978531"/>
    <x v="11"/>
    <x v="0"/>
    <n v="40"/>
    <x v="262"/>
    <s v="Wholesale"/>
    <x v="2"/>
  </r>
  <r>
    <x v="1655"/>
    <d v="2023-08-30T00:00:00"/>
    <x v="9"/>
    <x v="5"/>
    <n v="3302"/>
    <n v="8"/>
    <n v="5"/>
    <x v="1626"/>
    <n v="2330.7600000000002"/>
    <n v="6449.12"/>
    <n v="0.25698619656348626"/>
    <x v="6"/>
    <x v="0"/>
    <n v="35"/>
    <x v="190"/>
    <s v="Wholesale"/>
    <x v="3"/>
  </r>
  <r>
    <x v="1656"/>
    <d v="2023-02-04T00:00:00"/>
    <x v="6"/>
    <x v="0"/>
    <n v="4226"/>
    <n v="7"/>
    <n v="15"/>
    <x v="1627"/>
    <n v="2770.38"/>
    <n v="5752.01"/>
    <n v="0.22875635819874565"/>
    <x v="3"/>
    <x v="0"/>
    <n v="5"/>
    <x v="351"/>
    <s v="Retail"/>
    <x v="2"/>
  </r>
  <r>
    <x v="1657"/>
    <d v="2023-09-10T00:00:00"/>
    <x v="1"/>
    <x v="1"/>
    <n v="4193"/>
    <n v="6"/>
    <n v="0"/>
    <x v="1628"/>
    <n v="3123.62"/>
    <n v="6416.26"/>
    <n v="0.25503855632403211"/>
    <x v="8"/>
    <x v="0"/>
    <n v="37"/>
    <x v="292"/>
    <s v="Retail"/>
    <x v="0"/>
  </r>
  <r>
    <x v="1658"/>
    <d v="2023-11-20T00:00:00"/>
    <x v="8"/>
    <x v="2"/>
    <n v="3598"/>
    <n v="7"/>
    <n v="0"/>
    <x v="1629"/>
    <n v="2342.86"/>
    <n v="8786.01"/>
    <n v="0.34884499325021839"/>
    <x v="4"/>
    <x v="0"/>
    <n v="47"/>
    <x v="292"/>
    <s v="Wholesale"/>
    <x v="1"/>
  </r>
  <r>
    <x v="1659"/>
    <d v="2023-05-17T00:00:00"/>
    <x v="9"/>
    <x v="5"/>
    <n v="2805"/>
    <n v="9"/>
    <n v="0"/>
    <x v="1630"/>
    <n v="2139.29"/>
    <n v="5991.39"/>
    <n v="0.23732976827094476"/>
    <x v="2"/>
    <x v="0"/>
    <n v="20"/>
    <x v="204"/>
    <s v="Wholesale"/>
    <x v="0"/>
  </r>
  <r>
    <x v="1660"/>
    <d v="2023-04-30T00:00:00"/>
    <x v="0"/>
    <x v="0"/>
    <n v="3508"/>
    <n v="8"/>
    <n v="10"/>
    <x v="1631"/>
    <n v="2304.66"/>
    <n v="6820.35"/>
    <n v="0.27003159445077918"/>
    <x v="7"/>
    <x v="0"/>
    <n v="18"/>
    <x v="173"/>
    <s v="Wholesale"/>
    <x v="2"/>
  </r>
  <r>
    <x v="1661"/>
    <d v="2023-11-18T00:00:00"/>
    <x v="5"/>
    <x v="4"/>
    <n v="2811"/>
    <n v="9"/>
    <n v="0"/>
    <x v="1632"/>
    <n v="1749.64"/>
    <n v="9552.27"/>
    <n v="0.37757500296454405"/>
    <x v="4"/>
    <x v="0"/>
    <n v="46"/>
    <x v="126"/>
    <s v="Wholesale"/>
    <x v="3"/>
  </r>
  <r>
    <x v="1662"/>
    <d v="2023-12-12T00:00:00"/>
    <x v="0"/>
    <x v="0"/>
    <n v="2666"/>
    <n v="10"/>
    <n v="5"/>
    <x v="1633"/>
    <n v="1623.8"/>
    <n v="9089"/>
    <n v="0.3588660322975481"/>
    <x v="9"/>
    <x v="0"/>
    <n v="50"/>
    <x v="231"/>
    <s v="Retail"/>
    <x v="2"/>
  </r>
  <r>
    <x v="1663"/>
    <d v="2023-01-14T00:00:00"/>
    <x v="0"/>
    <x v="0"/>
    <n v="4023"/>
    <n v="7"/>
    <n v="10"/>
    <x v="1634"/>
    <n v="2382.96"/>
    <n v="8664.18"/>
    <n v="0.3418510232827906"/>
    <x v="0"/>
    <x v="0"/>
    <n v="2"/>
    <x v="67"/>
    <s v="Retail"/>
    <x v="1"/>
  </r>
  <r>
    <x v="1664"/>
    <d v="2023-08-29T00:00:00"/>
    <x v="6"/>
    <x v="0"/>
    <n v="4457"/>
    <n v="6"/>
    <n v="5"/>
    <x v="1635"/>
    <n v="2524.54"/>
    <n v="10257.66"/>
    <n v="0.40376698983267006"/>
    <x v="6"/>
    <x v="0"/>
    <n v="35"/>
    <x v="387"/>
    <s v="Retail"/>
    <x v="2"/>
  </r>
  <r>
    <x v="1665"/>
    <d v="2023-10-27T00:00:00"/>
    <x v="8"/>
    <x v="2"/>
    <n v="4465"/>
    <n v="6"/>
    <n v="5"/>
    <x v="1636"/>
    <n v="2580.52"/>
    <n v="9967.3700000000008"/>
    <n v="0.39163749238718298"/>
    <x v="11"/>
    <x v="0"/>
    <n v="43"/>
    <x v="405"/>
    <s v="Wholesale"/>
    <x v="0"/>
  </r>
  <r>
    <x v="1666"/>
    <d v="2023-11-21T00:00:00"/>
    <x v="9"/>
    <x v="5"/>
    <n v="2828"/>
    <n v="9"/>
    <n v="0"/>
    <x v="1637"/>
    <n v="1641.21"/>
    <n v="10681.11"/>
    <n v="0.41965700141442719"/>
    <x v="4"/>
    <x v="0"/>
    <n v="47"/>
    <x v="406"/>
    <s v="Retail"/>
    <x v="0"/>
  </r>
  <r>
    <x v="1667"/>
    <d v="2023-04-17T00:00:00"/>
    <x v="0"/>
    <x v="0"/>
    <n v="2996"/>
    <n v="10"/>
    <n v="15"/>
    <x v="1638"/>
    <n v="2041.34"/>
    <n v="5052.62"/>
    <n v="0.1984065027880311"/>
    <x v="7"/>
    <x v="0"/>
    <n v="16"/>
    <x v="182"/>
    <s v="Retail"/>
    <x v="2"/>
  </r>
  <r>
    <x v="1668"/>
    <d v="2023-12-19T00:00:00"/>
    <x v="4"/>
    <x v="3"/>
    <n v="4043"/>
    <n v="7"/>
    <n v="10"/>
    <x v="1639"/>
    <n v="2546.58"/>
    <n v="7644.87"/>
    <n v="0.30014133776191654"/>
    <x v="9"/>
    <x v="0"/>
    <n v="51"/>
    <x v="113"/>
    <s v="Wholesale"/>
    <x v="0"/>
  </r>
  <r>
    <x v="1669"/>
    <d v="2023-12-20T00:00:00"/>
    <x v="6"/>
    <x v="0"/>
    <n v="4310"/>
    <n v="7"/>
    <n v="15"/>
    <x v="1640"/>
    <n v="2409.54"/>
    <n v="8777.7000000000007"/>
    <n v="0.34228392052876838"/>
    <x v="9"/>
    <x v="0"/>
    <n v="51"/>
    <x v="372"/>
    <s v="Retail"/>
    <x v="0"/>
  </r>
  <r>
    <x v="1670"/>
    <d v="2023-06-01T00:00:00"/>
    <x v="1"/>
    <x v="1"/>
    <n v="3860"/>
    <n v="7"/>
    <n v="5"/>
    <x v="1641"/>
    <n v="3054.78"/>
    <n v="4285.54"/>
    <n v="0.16695391328061085"/>
    <x v="10"/>
    <x v="0"/>
    <n v="22"/>
    <x v="197"/>
    <s v="Wholesale"/>
    <x v="2"/>
  </r>
  <r>
    <x v="1671"/>
    <d v="2023-04-30T00:00:00"/>
    <x v="8"/>
    <x v="2"/>
    <n v="4280"/>
    <n v="6"/>
    <n v="0"/>
    <x v="1642"/>
    <n v="3370.36"/>
    <n v="5457.83"/>
    <n v="0.21253232087227414"/>
    <x v="7"/>
    <x v="0"/>
    <n v="18"/>
    <x v="280"/>
    <s v="Retail"/>
    <x v="0"/>
  </r>
  <r>
    <x v="1672"/>
    <d v="2023-07-27T00:00:00"/>
    <x v="4"/>
    <x v="3"/>
    <n v="4290"/>
    <n v="6"/>
    <n v="0"/>
    <x v="1643"/>
    <n v="2662.54"/>
    <n v="9764.7900000000009"/>
    <n v="0.37936247086247088"/>
    <x v="1"/>
    <x v="0"/>
    <n v="30"/>
    <x v="138"/>
    <s v="Wholesale"/>
    <x v="1"/>
  </r>
  <r>
    <x v="1673"/>
    <d v="2023-08-23T00:00:00"/>
    <x v="6"/>
    <x v="0"/>
    <n v="4770"/>
    <n v="6"/>
    <n v="10"/>
    <x v="1644"/>
    <n v="3511.27"/>
    <n v="4690.3999999999996"/>
    <n v="0.18209488314310115"/>
    <x v="6"/>
    <x v="0"/>
    <n v="34"/>
    <x v="176"/>
    <s v="Wholesale"/>
    <x v="1"/>
  </r>
  <r>
    <x v="1674"/>
    <d v="2023-10-29T00:00:00"/>
    <x v="7"/>
    <x v="1"/>
    <n v="3220"/>
    <n v="8"/>
    <n v="0"/>
    <x v="1645"/>
    <n v="1998.11"/>
    <n v="9775.15"/>
    <n v="0.37947010869565218"/>
    <x v="11"/>
    <x v="0"/>
    <n v="44"/>
    <x v="323"/>
    <s v="Retail"/>
    <x v="0"/>
  </r>
  <r>
    <x v="1675"/>
    <d v="2023-12-03T00:00:00"/>
    <x v="5"/>
    <x v="4"/>
    <n v="3369"/>
    <n v="9"/>
    <n v="15"/>
    <x v="1646"/>
    <n v="1749.39"/>
    <n v="10028.33"/>
    <n v="0.38910442578139398"/>
    <x v="9"/>
    <x v="0"/>
    <n v="49"/>
    <x v="438"/>
    <s v="Retail"/>
    <x v="2"/>
  </r>
  <r>
    <x v="1676"/>
    <d v="2023-10-31T00:00:00"/>
    <x v="7"/>
    <x v="1"/>
    <n v="3685"/>
    <n v="7"/>
    <n v="0"/>
    <x v="1647"/>
    <n v="1896.16"/>
    <n v="12521.91"/>
    <n v="0.48543942624539638"/>
    <x v="11"/>
    <x v="0"/>
    <n v="44"/>
    <x v="476"/>
    <s v="Retail"/>
    <x v="2"/>
  </r>
  <r>
    <x v="1677"/>
    <d v="2023-03-13T00:00:00"/>
    <x v="2"/>
    <x v="2"/>
    <n v="3882"/>
    <n v="7"/>
    <n v="5"/>
    <x v="1648"/>
    <n v="2417.23"/>
    <n v="8894.69"/>
    <n v="0.34455109954174468"/>
    <x v="5"/>
    <x v="0"/>
    <n v="11"/>
    <x v="250"/>
    <s v="Retail"/>
    <x v="3"/>
  </r>
  <r>
    <x v="1678"/>
    <d v="2023-06-09T00:00:00"/>
    <x v="4"/>
    <x v="3"/>
    <n v="3810"/>
    <n v="8"/>
    <n v="15"/>
    <x v="1649"/>
    <n v="2176.7800000000002"/>
    <n v="8493.73"/>
    <n v="0.32784197931140957"/>
    <x v="10"/>
    <x v="0"/>
    <n v="23"/>
    <x v="257"/>
    <s v="Retail"/>
    <x v="3"/>
  </r>
  <r>
    <x v="1679"/>
    <d v="2023-09-22T00:00:00"/>
    <x v="8"/>
    <x v="2"/>
    <n v="3409"/>
    <n v="8"/>
    <n v="5"/>
    <x v="1650"/>
    <n v="2460.87"/>
    <n v="6221.47"/>
    <n v="0.2401333158357907"/>
    <x v="8"/>
    <x v="0"/>
    <n v="38"/>
    <x v="385"/>
    <s v="Wholesale"/>
    <x v="0"/>
  </r>
  <r>
    <x v="1680"/>
    <d v="2023-11-27T00:00:00"/>
    <x v="4"/>
    <x v="3"/>
    <n v="4334"/>
    <n v="6"/>
    <n v="0"/>
    <x v="1651"/>
    <n v="2828.68"/>
    <n v="9031.89"/>
    <n v="0.34732694970004613"/>
    <x v="4"/>
    <x v="0"/>
    <n v="48"/>
    <x v="113"/>
    <s v="Retail"/>
    <x v="3"/>
  </r>
  <r>
    <x v="1681"/>
    <d v="2023-03-25T00:00:00"/>
    <x v="7"/>
    <x v="1"/>
    <n v="2742"/>
    <n v="10"/>
    <n v="5"/>
    <x v="1652"/>
    <n v="1916.81"/>
    <n v="6880.89"/>
    <n v="0.26415179085569507"/>
    <x v="5"/>
    <x v="0"/>
    <n v="12"/>
    <x v="213"/>
    <s v="Wholesale"/>
    <x v="1"/>
  </r>
  <r>
    <x v="1682"/>
    <d v="2023-04-17T00:00:00"/>
    <x v="6"/>
    <x v="0"/>
    <n v="3732"/>
    <n v="7"/>
    <n v="0"/>
    <x v="1653"/>
    <n v="2238.13"/>
    <n v="10457.08"/>
    <n v="0.40028632674934927"/>
    <x v="7"/>
    <x v="0"/>
    <n v="16"/>
    <x v="329"/>
    <s v="Retail"/>
    <x v="2"/>
  </r>
  <r>
    <x v="1683"/>
    <d v="2023-05-04T00:00:00"/>
    <x v="7"/>
    <x v="1"/>
    <n v="3629"/>
    <n v="8"/>
    <n v="10"/>
    <x v="1654"/>
    <n v="2251.77"/>
    <n v="8114.68"/>
    <n v="0.31056458773460704"/>
    <x v="2"/>
    <x v="0"/>
    <n v="18"/>
    <x v="303"/>
    <s v="Retail"/>
    <x v="2"/>
  </r>
  <r>
    <x v="1684"/>
    <d v="2023-11-18T00:00:00"/>
    <x v="6"/>
    <x v="0"/>
    <n v="3426"/>
    <n v="9"/>
    <n v="15"/>
    <x v="1655"/>
    <n v="2510.06"/>
    <n v="3618.36"/>
    <n v="0.13805844579513066"/>
    <x v="4"/>
    <x v="0"/>
    <n v="46"/>
    <x v="115"/>
    <s v="Retail"/>
    <x v="2"/>
  </r>
  <r>
    <x v="1685"/>
    <d v="2023-02-12T00:00:00"/>
    <x v="8"/>
    <x v="2"/>
    <n v="4412"/>
    <n v="7"/>
    <n v="15"/>
    <x v="1656"/>
    <n v="3433.08"/>
    <n v="2219.85"/>
    <n v="8.4561204354815359E-2"/>
    <x v="3"/>
    <x v="0"/>
    <n v="7"/>
    <x v="241"/>
    <s v="Retail"/>
    <x v="3"/>
  </r>
  <r>
    <x v="1686"/>
    <d v="2023-04-01T00:00:00"/>
    <x v="0"/>
    <x v="0"/>
    <n v="2919"/>
    <n v="9"/>
    <n v="0"/>
    <x v="1657"/>
    <n v="1784.6"/>
    <n v="10209.620000000001"/>
    <n v="0.38862700315937732"/>
    <x v="7"/>
    <x v="0"/>
    <n v="13"/>
    <x v="136"/>
    <s v="Retail"/>
    <x v="2"/>
  </r>
  <r>
    <x v="1687"/>
    <d v="2023-05-08T00:00:00"/>
    <x v="2"/>
    <x v="2"/>
    <n v="2629"/>
    <n v="10"/>
    <n v="0"/>
    <x v="1658"/>
    <n v="1612.31"/>
    <n v="10166.870000000001"/>
    <n v="0.38672004564473189"/>
    <x v="2"/>
    <x v="0"/>
    <n v="19"/>
    <x v="432"/>
    <s v="Retail"/>
    <x v="2"/>
  </r>
  <r>
    <x v="1688"/>
    <d v="2023-11-10T00:00:00"/>
    <x v="3"/>
    <x v="3"/>
    <n v="4423"/>
    <n v="7"/>
    <n v="15"/>
    <x v="1659"/>
    <n v="2998.01"/>
    <n v="5330.77"/>
    <n v="0.20256109678779949"/>
    <x v="4"/>
    <x v="0"/>
    <n v="45"/>
    <x v="121"/>
    <s v="Retail"/>
    <x v="1"/>
  </r>
  <r>
    <x v="1689"/>
    <d v="2023-01-05T00:00:00"/>
    <x v="7"/>
    <x v="1"/>
    <n v="4621"/>
    <n v="6"/>
    <n v="5"/>
    <x v="1660"/>
    <n v="3395.94"/>
    <n v="5964.03"/>
    <n v="0.22642740805703937"/>
    <x v="0"/>
    <x v="0"/>
    <n v="1"/>
    <x v="18"/>
    <s v="Retail"/>
    <x v="3"/>
  </r>
  <r>
    <x v="1690"/>
    <d v="2023-07-01T00:00:00"/>
    <x v="0"/>
    <x v="0"/>
    <n v="4624"/>
    <n v="6"/>
    <n v="5"/>
    <x v="1661"/>
    <n v="2768.07"/>
    <n v="9748.4"/>
    <n v="0.36986280580343595"/>
    <x v="1"/>
    <x v="0"/>
    <n v="26"/>
    <x v="139"/>
    <s v="Retail"/>
    <x v="3"/>
  </r>
  <r>
    <x v="1691"/>
    <d v="2023-08-25T00:00:00"/>
    <x v="3"/>
    <x v="3"/>
    <n v="3083"/>
    <n v="9"/>
    <n v="5"/>
    <x v="1662"/>
    <n v="1957.76"/>
    <n v="8739.7800000000007"/>
    <n v="0.3315590305637594"/>
    <x v="6"/>
    <x v="0"/>
    <n v="34"/>
    <x v="105"/>
    <s v="Retail"/>
    <x v="2"/>
  </r>
  <r>
    <x v="1692"/>
    <d v="2023-04-17T00:00:00"/>
    <x v="8"/>
    <x v="2"/>
    <n v="4897"/>
    <n v="6"/>
    <n v="10"/>
    <x v="1663"/>
    <n v="3389.07"/>
    <n v="6109.41"/>
    <n v="0.23103373947768474"/>
    <x v="7"/>
    <x v="0"/>
    <n v="16"/>
    <x v="390"/>
    <s v="Wholesale"/>
    <x v="2"/>
  </r>
  <r>
    <x v="1693"/>
    <d v="2023-11-28T00:00:00"/>
    <x v="7"/>
    <x v="1"/>
    <n v="3481"/>
    <n v="8"/>
    <n v="5"/>
    <x v="1664"/>
    <n v="2520.36"/>
    <n v="6292.72"/>
    <n v="0.2378596592025885"/>
    <x v="4"/>
    <x v="0"/>
    <n v="48"/>
    <x v="337"/>
    <s v="Wholesale"/>
    <x v="3"/>
  </r>
  <r>
    <x v="1694"/>
    <d v="2023-02-12T00:00:00"/>
    <x v="7"/>
    <x v="1"/>
    <n v="3116"/>
    <n v="10"/>
    <n v="15"/>
    <x v="1665"/>
    <n v="1615.62"/>
    <n v="10329.790000000001"/>
    <n v="0.39000943894887868"/>
    <x v="3"/>
    <x v="0"/>
    <n v="7"/>
    <x v="475"/>
    <s v="Wholesale"/>
    <x v="3"/>
  </r>
  <r>
    <x v="1695"/>
    <d v="2023-07-09T00:00:00"/>
    <x v="8"/>
    <x v="2"/>
    <n v="2944"/>
    <n v="10"/>
    <n v="10"/>
    <x v="1666"/>
    <n v="1585.8"/>
    <n v="10638"/>
    <n v="0.4014945652173913"/>
    <x v="1"/>
    <x v="0"/>
    <n v="28"/>
    <x v="39"/>
    <s v="Retail"/>
    <x v="2"/>
  </r>
  <r>
    <x v="1696"/>
    <d v="2023-11-04T00:00:00"/>
    <x v="9"/>
    <x v="5"/>
    <n v="3317"/>
    <n v="8"/>
    <n v="0"/>
    <x v="1667"/>
    <n v="2319.2199999999998"/>
    <n v="7982.24"/>
    <n v="0.30080795899909557"/>
    <x v="4"/>
    <x v="0"/>
    <n v="44"/>
    <x v="152"/>
    <s v="Retail"/>
    <x v="0"/>
  </r>
  <r>
    <x v="1697"/>
    <d v="2023-11-16T00:00:00"/>
    <x v="7"/>
    <x v="1"/>
    <n v="3321"/>
    <n v="8"/>
    <n v="0"/>
    <x v="1668"/>
    <n v="1873.2"/>
    <n v="11582.43"/>
    <n v="0.43595415537488708"/>
    <x v="4"/>
    <x v="0"/>
    <n v="46"/>
    <x v="27"/>
    <s v="Retail"/>
    <x v="1"/>
  </r>
  <r>
    <x v="1698"/>
    <d v="2023-08-31T00:00:00"/>
    <x v="7"/>
    <x v="1"/>
    <n v="3132"/>
    <n v="10"/>
    <n v="15"/>
    <x v="1669"/>
    <n v="1910.65"/>
    <n v="7515.51"/>
    <n v="0.28230448501239574"/>
    <x v="6"/>
    <x v="0"/>
    <n v="35"/>
    <x v="474"/>
    <s v="Wholesale"/>
    <x v="2"/>
  </r>
  <r>
    <x v="1699"/>
    <d v="2023-06-08T00:00:00"/>
    <x v="0"/>
    <x v="0"/>
    <n v="3132"/>
    <n v="10"/>
    <n v="15"/>
    <x v="1669"/>
    <n v="1879.77"/>
    <n v="7824.34"/>
    <n v="0.2939050409435805"/>
    <x v="10"/>
    <x v="0"/>
    <n v="23"/>
    <x v="120"/>
    <s v="Retail"/>
    <x v="1"/>
  </r>
  <r>
    <x v="1700"/>
    <d v="2023-02-28T00:00:00"/>
    <x v="1"/>
    <x v="1"/>
    <n v="2809"/>
    <n v="10"/>
    <n v="5"/>
    <x v="1670"/>
    <n v="1922.93"/>
    <n v="7456.25"/>
    <n v="0.27941204024657584"/>
    <x v="3"/>
    <x v="0"/>
    <n v="9"/>
    <x v="344"/>
    <s v="Retail"/>
    <x v="1"/>
  </r>
  <r>
    <x v="1701"/>
    <d v="2023-02-25T00:00:00"/>
    <x v="5"/>
    <x v="4"/>
    <n v="4486"/>
    <n v="7"/>
    <n v="15"/>
    <x v="1671"/>
    <n v="2505.94"/>
    <n v="9150.1299999999992"/>
    <n v="0.3428080639299857"/>
    <x v="3"/>
    <x v="0"/>
    <n v="8"/>
    <x v="272"/>
    <s v="Wholesale"/>
    <x v="0"/>
  </r>
  <r>
    <x v="1702"/>
    <d v="2023-11-23T00:00:00"/>
    <x v="0"/>
    <x v="0"/>
    <n v="3298"/>
    <n v="9"/>
    <n v="10"/>
    <x v="1672"/>
    <n v="1776.46"/>
    <n v="10725.64"/>
    <n v="0.40150184548809975"/>
    <x v="4"/>
    <x v="0"/>
    <n v="47"/>
    <x v="289"/>
    <s v="Retail"/>
    <x v="2"/>
  </r>
  <r>
    <x v="1703"/>
    <d v="2023-09-20T00:00:00"/>
    <x v="2"/>
    <x v="2"/>
    <n v="4459"/>
    <n v="6"/>
    <n v="0"/>
    <x v="1673"/>
    <n v="2793.26"/>
    <n v="9994.44"/>
    <n v="0.37356806458847275"/>
    <x v="8"/>
    <x v="0"/>
    <n v="38"/>
    <x v="49"/>
    <s v="Wholesale"/>
    <x v="3"/>
  </r>
  <r>
    <x v="1704"/>
    <d v="2023-05-13T00:00:00"/>
    <x v="3"/>
    <x v="3"/>
    <n v="3148"/>
    <n v="10"/>
    <n v="15"/>
    <x v="1674"/>
    <n v="1986.81"/>
    <n v="6889.9"/>
    <n v="0.25748934897974435"/>
    <x v="2"/>
    <x v="0"/>
    <n v="19"/>
    <x v="325"/>
    <s v="Wholesale"/>
    <x v="0"/>
  </r>
  <r>
    <x v="1705"/>
    <d v="2023-02-28T00:00:00"/>
    <x v="4"/>
    <x v="3"/>
    <n v="3936"/>
    <n v="8"/>
    <n v="15"/>
    <x v="1675"/>
    <n v="2068.85"/>
    <n v="10214"/>
    <n v="0.3816206360593018"/>
    <x v="3"/>
    <x v="0"/>
    <n v="9"/>
    <x v="259"/>
    <s v="Wholesale"/>
    <x v="3"/>
  </r>
  <r>
    <x v="1706"/>
    <d v="2023-08-23T00:00:00"/>
    <x v="0"/>
    <x v="0"/>
    <n v="3307"/>
    <n v="9"/>
    <n v="10"/>
    <x v="1676"/>
    <n v="2183.6799999999998"/>
    <n v="7133.58"/>
    <n v="0.26631051977287235"/>
    <x v="6"/>
    <x v="0"/>
    <n v="34"/>
    <x v="423"/>
    <s v="Wholesale"/>
    <x v="3"/>
  </r>
  <r>
    <x v="1707"/>
    <d v="2023-01-26T00:00:00"/>
    <x v="3"/>
    <x v="3"/>
    <n v="3353"/>
    <n v="8"/>
    <n v="0"/>
    <x v="1677"/>
    <n v="2020.71"/>
    <n v="10658.29"/>
    <n v="0.3973415597971966"/>
    <x v="0"/>
    <x v="0"/>
    <n v="4"/>
    <x v="399"/>
    <s v="Retail"/>
    <x v="2"/>
  </r>
  <r>
    <x v="1708"/>
    <d v="2023-11-04T00:00:00"/>
    <x v="7"/>
    <x v="1"/>
    <n v="3729"/>
    <n v="8"/>
    <n v="10"/>
    <x v="1678"/>
    <n v="2082.65"/>
    <n v="10187.58"/>
    <n v="0.37944265665504606"/>
    <x v="4"/>
    <x v="0"/>
    <n v="44"/>
    <x v="232"/>
    <s v="Wholesale"/>
    <x v="3"/>
  </r>
  <r>
    <x v="1709"/>
    <d v="2023-07-05T00:00:00"/>
    <x v="6"/>
    <x v="0"/>
    <n v="4718"/>
    <n v="6"/>
    <n v="5"/>
    <x v="1679"/>
    <n v="2695.3"/>
    <n v="10720.77"/>
    <n v="0.39865130184511727"/>
    <x v="1"/>
    <x v="0"/>
    <n v="27"/>
    <x v="206"/>
    <s v="Retail"/>
    <x v="1"/>
  </r>
  <r>
    <x v="1710"/>
    <d v="2023-02-14T00:00:00"/>
    <x v="2"/>
    <x v="2"/>
    <n v="3955"/>
    <n v="8"/>
    <n v="15"/>
    <x v="1680"/>
    <n v="2940.48"/>
    <n v="3370.14"/>
    <n v="0.12531196549416226"/>
    <x v="3"/>
    <x v="0"/>
    <n v="7"/>
    <x v="125"/>
    <s v="Wholesale"/>
    <x v="1"/>
  </r>
  <r>
    <x v="1711"/>
    <d v="2023-01-09T00:00:00"/>
    <x v="0"/>
    <x v="0"/>
    <n v="3539"/>
    <n v="8"/>
    <n v="5"/>
    <x v="1681"/>
    <n v="2591.64"/>
    <n v="6163.25"/>
    <n v="0.2291477669874035"/>
    <x v="0"/>
    <x v="0"/>
    <n v="2"/>
    <x v="453"/>
    <s v="Retail"/>
    <x v="0"/>
  </r>
  <r>
    <x v="1712"/>
    <d v="2023-01-13T00:00:00"/>
    <x v="4"/>
    <x v="3"/>
    <n v="3736"/>
    <n v="8"/>
    <n v="10"/>
    <x v="1682"/>
    <n v="2429.54"/>
    <n v="7462.91"/>
    <n v="0.27743984951225314"/>
    <x v="0"/>
    <x v="0"/>
    <n v="2"/>
    <x v="0"/>
    <s v="Wholesale"/>
    <x v="3"/>
  </r>
  <r>
    <x v="1713"/>
    <d v="2023-11-26T00:00:00"/>
    <x v="4"/>
    <x v="3"/>
    <n v="3745"/>
    <n v="8"/>
    <n v="10"/>
    <x v="1683"/>
    <n v="2434.87"/>
    <n v="7485.06"/>
    <n v="0.27759457053849579"/>
    <x v="4"/>
    <x v="0"/>
    <n v="48"/>
    <x v="484"/>
    <s v="Retail"/>
    <x v="0"/>
  </r>
  <r>
    <x v="1714"/>
    <d v="2023-05-21T00:00:00"/>
    <x v="5"/>
    <x v="4"/>
    <n v="3549"/>
    <n v="8"/>
    <n v="5"/>
    <x v="1684"/>
    <n v="2678.71"/>
    <n v="5542.74"/>
    <n v="0.2054967299906571"/>
    <x v="2"/>
    <x v="0"/>
    <n v="21"/>
    <x v="259"/>
    <s v="Wholesale"/>
    <x v="0"/>
  </r>
  <r>
    <x v="1715"/>
    <d v="2023-10-11T00:00:00"/>
    <x v="5"/>
    <x v="4"/>
    <n v="4057"/>
    <n v="7"/>
    <n v="5"/>
    <x v="1685"/>
    <n v="2804.17"/>
    <n v="7349.87"/>
    <n v="0.27242879197006564"/>
    <x v="11"/>
    <x v="0"/>
    <n v="41"/>
    <x v="91"/>
    <s v="Wholesale"/>
    <x v="0"/>
  </r>
  <r>
    <x v="1716"/>
    <d v="2023-05-06T00:00:00"/>
    <x v="8"/>
    <x v="2"/>
    <n v="4498"/>
    <n v="6"/>
    <n v="0"/>
    <x v="1686"/>
    <n v="2473.16"/>
    <n v="12149.04"/>
    <n v="0.45016451756336151"/>
    <x v="2"/>
    <x v="0"/>
    <n v="18"/>
    <x v="410"/>
    <s v="Retail"/>
    <x v="0"/>
  </r>
  <r>
    <x v="1717"/>
    <d v="2023-06-08T00:00:00"/>
    <x v="7"/>
    <x v="1"/>
    <n v="3172"/>
    <n v="9"/>
    <n v="5"/>
    <x v="1687"/>
    <n v="1806.72"/>
    <n v="10860.11"/>
    <n v="0.40043767468271357"/>
    <x v="10"/>
    <x v="0"/>
    <n v="23"/>
    <x v="149"/>
    <s v="Wholesale"/>
    <x v="3"/>
  </r>
  <r>
    <x v="1718"/>
    <d v="2023-09-30T00:00:00"/>
    <x v="0"/>
    <x v="0"/>
    <n v="3775"/>
    <n v="8"/>
    <n v="10"/>
    <x v="1688"/>
    <n v="2897.31"/>
    <n v="4001.55"/>
    <n v="0.14722406181015454"/>
    <x v="8"/>
    <x v="0"/>
    <n v="39"/>
    <x v="441"/>
    <s v="Wholesale"/>
    <x v="2"/>
  </r>
  <r>
    <x v="1719"/>
    <d v="2023-06-19T00:00:00"/>
    <x v="4"/>
    <x v="3"/>
    <n v="3022"/>
    <n v="10"/>
    <n v="10"/>
    <x v="1689"/>
    <n v="1912.77"/>
    <n v="8070.29"/>
    <n v="0.29672365615118756"/>
    <x v="10"/>
    <x v="0"/>
    <n v="25"/>
    <x v="466"/>
    <s v="Wholesale"/>
    <x v="1"/>
  </r>
  <r>
    <x v="1720"/>
    <d v="2023-10-10T00:00:00"/>
    <x v="6"/>
    <x v="0"/>
    <n v="2866"/>
    <n v="10"/>
    <n v="5"/>
    <x v="1690"/>
    <n v="1435.34"/>
    <n v="12873.62"/>
    <n v="0.47282550409519963"/>
    <x v="11"/>
    <x v="0"/>
    <n v="41"/>
    <x v="435"/>
    <s v="Wholesale"/>
    <x v="2"/>
  </r>
  <r>
    <x v="1721"/>
    <d v="2023-08-11T00:00:00"/>
    <x v="6"/>
    <x v="0"/>
    <n v="2723"/>
    <n v="10"/>
    <n v="0"/>
    <x v="1691"/>
    <n v="1957.09"/>
    <n v="7659.06"/>
    <n v="0.2812728608152773"/>
    <x v="6"/>
    <x v="0"/>
    <n v="32"/>
    <x v="11"/>
    <s v="Wholesale"/>
    <x v="1"/>
  </r>
  <r>
    <x v="1722"/>
    <d v="2023-04-12T00:00:00"/>
    <x v="4"/>
    <x v="3"/>
    <n v="3586"/>
    <n v="8"/>
    <n v="5"/>
    <x v="1692"/>
    <n v="2013.72"/>
    <n v="11143.81"/>
    <n v="0.40889313705345348"/>
    <x v="7"/>
    <x v="0"/>
    <n v="15"/>
    <x v="241"/>
    <s v="Retail"/>
    <x v="0"/>
  </r>
  <r>
    <x v="1723"/>
    <d v="2023-12-07T00:00:00"/>
    <x v="3"/>
    <x v="3"/>
    <n v="3211"/>
    <n v="10"/>
    <n v="15"/>
    <x v="1693"/>
    <n v="1992.4"/>
    <n v="7369.52"/>
    <n v="0.27001007565903973"/>
    <x v="9"/>
    <x v="0"/>
    <n v="49"/>
    <x v="296"/>
    <s v="Retail"/>
    <x v="0"/>
  </r>
  <r>
    <x v="1724"/>
    <d v="2023-03-04T00:00:00"/>
    <x v="6"/>
    <x v="0"/>
    <n v="2880"/>
    <n v="10"/>
    <n v="5"/>
    <x v="1694"/>
    <n v="1849.33"/>
    <n v="8866.67"/>
    <n v="0.32407419590643277"/>
    <x v="5"/>
    <x v="0"/>
    <n v="9"/>
    <x v="400"/>
    <s v="Retail"/>
    <x v="0"/>
  </r>
  <r>
    <x v="1725"/>
    <d v="2023-06-19T00:00:00"/>
    <x v="7"/>
    <x v="1"/>
    <n v="4804"/>
    <n v="6"/>
    <n v="5"/>
    <x v="1695"/>
    <n v="2760.79"/>
    <n v="10818.08"/>
    <n v="0.3950684371211125"/>
    <x v="10"/>
    <x v="0"/>
    <n v="25"/>
    <x v="469"/>
    <s v="Retail"/>
    <x v="2"/>
  </r>
  <r>
    <x v="1726"/>
    <d v="2023-07-27T00:00:00"/>
    <x v="8"/>
    <x v="2"/>
    <n v="3606"/>
    <n v="8"/>
    <n v="5"/>
    <x v="1696"/>
    <n v="2393.6799999999998"/>
    <n v="8256.16"/>
    <n v="0.30125813702309018"/>
    <x v="1"/>
    <x v="0"/>
    <n v="30"/>
    <x v="127"/>
    <s v="Wholesale"/>
    <x v="1"/>
  </r>
  <r>
    <x v="1727"/>
    <d v="2023-12-23T00:00:00"/>
    <x v="6"/>
    <x v="0"/>
    <n v="4123"/>
    <n v="7"/>
    <n v="5"/>
    <x v="1697"/>
    <n v="2587.0500000000002"/>
    <n v="9308.57"/>
    <n v="0.33950641824060512"/>
    <x v="9"/>
    <x v="0"/>
    <n v="51"/>
    <x v="114"/>
    <s v="Wholesale"/>
    <x v="1"/>
  </r>
  <r>
    <x v="1728"/>
    <d v="2023-12-10T00:00:00"/>
    <x v="0"/>
    <x v="0"/>
    <n v="3585"/>
    <n v="9"/>
    <n v="15"/>
    <x v="1698"/>
    <n v="1808.05"/>
    <n v="11152.8"/>
    <n v="0.40666174419558615"/>
    <x v="9"/>
    <x v="0"/>
    <n v="50"/>
    <x v="170"/>
    <s v="Wholesale"/>
    <x v="2"/>
  </r>
  <r>
    <x v="1729"/>
    <d v="2023-03-14T00:00:00"/>
    <x v="5"/>
    <x v="4"/>
    <n v="3055"/>
    <n v="9"/>
    <n v="0"/>
    <x v="1699"/>
    <n v="2371.4899999999998"/>
    <n v="6151.59"/>
    <n v="0.22373486088379707"/>
    <x v="5"/>
    <x v="0"/>
    <n v="11"/>
    <x v="281"/>
    <s v="Retail"/>
    <x v="2"/>
  </r>
  <r>
    <x v="1730"/>
    <d v="2023-03-28T00:00:00"/>
    <x v="9"/>
    <x v="5"/>
    <n v="3936"/>
    <n v="7"/>
    <n v="0"/>
    <x v="1700"/>
    <n v="2088.87"/>
    <n v="12929.93"/>
    <n v="0.4692918844367015"/>
    <x v="5"/>
    <x v="0"/>
    <n v="13"/>
    <x v="380"/>
    <s v="Retail"/>
    <x v="1"/>
  </r>
  <r>
    <x v="1731"/>
    <d v="2023-06-17T00:00:00"/>
    <x v="2"/>
    <x v="2"/>
    <n v="3950"/>
    <n v="7"/>
    <n v="0"/>
    <x v="1701"/>
    <n v="2110.0300000000002"/>
    <n v="12879.76"/>
    <n v="0.46581410488245933"/>
    <x v="10"/>
    <x v="0"/>
    <n v="24"/>
    <x v="24"/>
    <s v="Retail"/>
    <x v="3"/>
  </r>
  <r>
    <x v="1732"/>
    <d v="2023-01-13T00:00:00"/>
    <x v="8"/>
    <x v="2"/>
    <n v="3073"/>
    <n v="10"/>
    <n v="10"/>
    <x v="1702"/>
    <n v="2277.0300000000002"/>
    <n v="4886.72"/>
    <n v="0.17669016885417799"/>
    <x v="0"/>
    <x v="0"/>
    <n v="2"/>
    <x v="468"/>
    <s v="Wholesale"/>
    <x v="2"/>
  </r>
  <r>
    <x v="1733"/>
    <d v="2023-03-06T00:00:00"/>
    <x v="5"/>
    <x v="4"/>
    <n v="4073"/>
    <n v="8"/>
    <n v="15"/>
    <x v="1703"/>
    <n v="2055.4299999999998"/>
    <n v="11253"/>
    <n v="0.40629829147470425"/>
    <x v="5"/>
    <x v="0"/>
    <n v="10"/>
    <x v="354"/>
    <s v="Retail"/>
    <x v="1"/>
  </r>
  <r>
    <x v="1734"/>
    <d v="2023-07-19T00:00:00"/>
    <x v="6"/>
    <x v="0"/>
    <n v="3079"/>
    <n v="10"/>
    <n v="10"/>
    <x v="1704"/>
    <n v="1957.91"/>
    <n v="8131.95"/>
    <n v="0.29345566742448848"/>
    <x v="1"/>
    <x v="0"/>
    <n v="29"/>
    <x v="486"/>
    <s v="Wholesale"/>
    <x v="2"/>
  </r>
  <r>
    <x v="1735"/>
    <d v="2023-09-10T00:00:00"/>
    <x v="1"/>
    <x v="1"/>
    <n v="4399"/>
    <n v="7"/>
    <n v="10"/>
    <x v="1705"/>
    <n v="2643.91"/>
    <n v="9206.34"/>
    <n v="0.33219454637958845"/>
    <x v="8"/>
    <x v="0"/>
    <n v="37"/>
    <x v="392"/>
    <s v="Retail"/>
    <x v="0"/>
  </r>
  <r>
    <x v="1736"/>
    <d v="2023-08-12T00:00:00"/>
    <x v="2"/>
    <x v="2"/>
    <n v="3080"/>
    <n v="9"/>
    <n v="0"/>
    <x v="1706"/>
    <n v="1962.04"/>
    <n v="10061.66"/>
    <n v="0.36297474747474745"/>
    <x v="6"/>
    <x v="0"/>
    <n v="32"/>
    <x v="67"/>
    <s v="Wholesale"/>
    <x v="3"/>
  </r>
  <r>
    <x v="1737"/>
    <d v="2023-06-06T00:00:00"/>
    <x v="2"/>
    <x v="2"/>
    <n v="3648"/>
    <n v="8"/>
    <n v="5"/>
    <x v="1707"/>
    <n v="2490.1799999999998"/>
    <n v="7803.38"/>
    <n v="0.28145847760849491"/>
    <x v="10"/>
    <x v="0"/>
    <n v="23"/>
    <x v="231"/>
    <s v="Wholesale"/>
    <x v="1"/>
  </r>
  <r>
    <x v="1738"/>
    <d v="2023-04-10T00:00:00"/>
    <x v="2"/>
    <x v="2"/>
    <n v="3094"/>
    <n v="9"/>
    <n v="0"/>
    <x v="1708"/>
    <n v="1792.94"/>
    <n v="11709.54"/>
    <n v="0.42051066580478347"/>
    <x v="7"/>
    <x v="0"/>
    <n v="15"/>
    <x v="158"/>
    <s v="Retail"/>
    <x v="3"/>
  </r>
  <r>
    <x v="1739"/>
    <d v="2023-07-27T00:00:00"/>
    <x v="6"/>
    <x v="0"/>
    <n v="3258"/>
    <n v="9"/>
    <n v="5"/>
    <x v="1709"/>
    <n v="2407.59"/>
    <n v="6187.55"/>
    <n v="0.22212708977272319"/>
    <x v="1"/>
    <x v="0"/>
    <n v="30"/>
    <x v="274"/>
    <s v="Wholesale"/>
    <x v="3"/>
  </r>
  <r>
    <x v="1740"/>
    <d v="2023-08-04T00:00:00"/>
    <x v="3"/>
    <x v="3"/>
    <n v="4656"/>
    <n v="6"/>
    <n v="0"/>
    <x v="1710"/>
    <n v="3423.6"/>
    <n v="7394.39"/>
    <n v="0.26469036368843069"/>
    <x v="6"/>
    <x v="0"/>
    <n v="31"/>
    <x v="235"/>
    <s v="Wholesale"/>
    <x v="0"/>
  </r>
  <r>
    <x v="1741"/>
    <d v="2023-12-06T00:00:00"/>
    <x v="6"/>
    <x v="0"/>
    <n v="2796"/>
    <n v="10"/>
    <n v="0"/>
    <x v="1711"/>
    <n v="2179.5700000000002"/>
    <n v="6164.34"/>
    <n v="0.22046995708154507"/>
    <x v="9"/>
    <x v="0"/>
    <n v="49"/>
    <x v="397"/>
    <s v="Wholesale"/>
    <x v="0"/>
  </r>
  <r>
    <x v="1742"/>
    <d v="2023-08-04T00:00:00"/>
    <x v="3"/>
    <x v="3"/>
    <n v="2799"/>
    <n v="10"/>
    <n v="0"/>
    <x v="1712"/>
    <n v="1728.47"/>
    <n v="10705.29"/>
    <n v="0.38246838156484464"/>
    <x v="6"/>
    <x v="0"/>
    <n v="31"/>
    <x v="311"/>
    <s v="Wholesale"/>
    <x v="1"/>
  </r>
  <r>
    <x v="1743"/>
    <d v="2023-01-01T00:00:00"/>
    <x v="0"/>
    <x v="0"/>
    <n v="3666"/>
    <n v="9"/>
    <n v="15"/>
    <x v="1713"/>
    <n v="2148"/>
    <n v="8712.8700000000008"/>
    <n v="0.31067573783468655"/>
    <x v="0"/>
    <x v="0"/>
    <n v="1"/>
    <x v="64"/>
    <s v="Retail"/>
    <x v="2"/>
  </r>
  <r>
    <x v="1744"/>
    <d v="2023-03-30T00:00:00"/>
    <x v="7"/>
    <x v="1"/>
    <n v="3695"/>
    <n v="8"/>
    <n v="5"/>
    <x v="1714"/>
    <n v="2615.9699999999998"/>
    <n v="7154.2"/>
    <n v="0.25476105690477885"/>
    <x v="5"/>
    <x v="0"/>
    <n v="13"/>
    <x v="129"/>
    <s v="Retail"/>
    <x v="3"/>
  </r>
  <r>
    <x v="1745"/>
    <d v="2023-06-09T00:00:00"/>
    <x v="2"/>
    <x v="2"/>
    <n v="3511"/>
    <n v="8"/>
    <n v="0"/>
    <x v="1715"/>
    <n v="1957.95"/>
    <n v="12424.37"/>
    <n v="0.44233729706636288"/>
    <x v="10"/>
    <x v="0"/>
    <n v="23"/>
    <x v="268"/>
    <s v="Retail"/>
    <x v="0"/>
  </r>
  <r>
    <x v="1746"/>
    <d v="2023-08-14T00:00:00"/>
    <x v="6"/>
    <x v="0"/>
    <n v="3468"/>
    <n v="9"/>
    <n v="10"/>
    <x v="1716"/>
    <n v="1872.71"/>
    <n v="11236.38"/>
    <n v="0.40000213593062495"/>
    <x v="6"/>
    <x v="0"/>
    <n v="33"/>
    <x v="213"/>
    <s v="Retail"/>
    <x v="1"/>
  </r>
  <r>
    <x v="1747"/>
    <d v="2023-01-21T00:00:00"/>
    <x v="0"/>
    <x v="0"/>
    <n v="4018"/>
    <n v="7"/>
    <n v="0"/>
    <x v="1717"/>
    <n v="2859.57"/>
    <n v="8109.04"/>
    <n v="0.2883111711583588"/>
    <x v="0"/>
    <x v="0"/>
    <n v="3"/>
    <x v="428"/>
    <s v="Wholesale"/>
    <x v="0"/>
  </r>
  <r>
    <x v="1748"/>
    <d v="2023-11-04T00:00:00"/>
    <x v="6"/>
    <x v="0"/>
    <n v="4234"/>
    <n v="7"/>
    <n v="5"/>
    <x v="1718"/>
    <n v="3301.54"/>
    <n v="5045.32"/>
    <n v="0.17919101011858887"/>
    <x v="4"/>
    <x v="0"/>
    <n v="44"/>
    <x v="229"/>
    <s v="Wholesale"/>
    <x v="1"/>
  </r>
  <r>
    <x v="1749"/>
    <d v="2023-11-07T00:00:00"/>
    <x v="9"/>
    <x v="5"/>
    <n v="3313"/>
    <n v="9"/>
    <n v="5"/>
    <x v="1719"/>
    <n v="1934.35"/>
    <n v="10917.04"/>
    <n v="0.38540500562201357"/>
    <x v="4"/>
    <x v="0"/>
    <n v="45"/>
    <x v="387"/>
    <s v="Wholesale"/>
    <x v="0"/>
  </r>
  <r>
    <x v="1750"/>
    <d v="2023-04-29T00:00:00"/>
    <x v="1"/>
    <x v="1"/>
    <n v="4722"/>
    <n v="6"/>
    <n v="0"/>
    <x v="1720"/>
    <n v="3320.61"/>
    <n v="8408.34"/>
    <n v="0.29677890724269379"/>
    <x v="7"/>
    <x v="0"/>
    <n v="17"/>
    <x v="239"/>
    <s v="Wholesale"/>
    <x v="1"/>
  </r>
  <r>
    <x v="1751"/>
    <d v="2023-06-11T00:00:00"/>
    <x v="1"/>
    <x v="1"/>
    <n v="4972"/>
    <n v="6"/>
    <n v="5"/>
    <x v="1721"/>
    <n v="3566.1"/>
    <n v="6943.79"/>
    <n v="0.24501383184429293"/>
    <x v="10"/>
    <x v="0"/>
    <n v="24"/>
    <x v="403"/>
    <s v="Retail"/>
    <x v="2"/>
  </r>
  <r>
    <x v="1752"/>
    <d v="2023-08-17T00:00:00"/>
    <x v="2"/>
    <x v="2"/>
    <n v="3316"/>
    <n v="9"/>
    <n v="5"/>
    <x v="1722"/>
    <n v="2051.14"/>
    <n v="9891.56"/>
    <n v="0.34888649045210535"/>
    <x v="6"/>
    <x v="0"/>
    <n v="33"/>
    <x v="461"/>
    <s v="Wholesale"/>
    <x v="0"/>
  </r>
  <r>
    <x v="1753"/>
    <d v="2023-10-29T00:00:00"/>
    <x v="6"/>
    <x v="0"/>
    <n v="3734"/>
    <n v="8"/>
    <n v="5"/>
    <x v="1723"/>
    <n v="2774.31"/>
    <n v="6183.89"/>
    <n v="0.21790833873650381"/>
    <x v="11"/>
    <x v="0"/>
    <n v="44"/>
    <x v="21"/>
    <s v="Wholesale"/>
    <x v="2"/>
  </r>
  <r>
    <x v="1754"/>
    <d v="2023-07-27T00:00:00"/>
    <x v="3"/>
    <x v="3"/>
    <n v="4277"/>
    <n v="7"/>
    <n v="5"/>
    <x v="1724"/>
    <n v="2868.4"/>
    <n v="8363.2800000000007"/>
    <n v="0.29404631522692637"/>
    <x v="1"/>
    <x v="0"/>
    <n v="30"/>
    <x v="305"/>
    <s v="Wholesale"/>
    <x v="1"/>
  </r>
  <r>
    <x v="1755"/>
    <d v="2023-04-06T00:00:00"/>
    <x v="3"/>
    <x v="3"/>
    <n v="2845"/>
    <n v="10"/>
    <n v="0"/>
    <x v="1725"/>
    <n v="1835.88"/>
    <n v="10091.18"/>
    <n v="0.35469876977152903"/>
    <x v="7"/>
    <x v="0"/>
    <n v="14"/>
    <x v="17"/>
    <s v="Wholesale"/>
    <x v="2"/>
  </r>
  <r>
    <x v="1756"/>
    <d v="2023-05-31T00:00:00"/>
    <x v="1"/>
    <x v="1"/>
    <n v="4196"/>
    <n v="8"/>
    <n v="15"/>
    <x v="1726"/>
    <n v="3267.77"/>
    <n v="2390.61"/>
    <n v="8.3784626815454497E-2"/>
    <x v="2"/>
    <x v="0"/>
    <n v="22"/>
    <x v="323"/>
    <s v="Retail"/>
    <x v="3"/>
  </r>
  <r>
    <x v="1757"/>
    <d v="2023-04-13T00:00:00"/>
    <x v="5"/>
    <x v="4"/>
    <n v="3968"/>
    <n v="8"/>
    <n v="10"/>
    <x v="1727"/>
    <n v="2153.59"/>
    <n v="11340.84"/>
    <n v="0.3969548051075269"/>
    <x v="7"/>
    <x v="0"/>
    <n v="15"/>
    <x v="39"/>
    <s v="Retail"/>
    <x v="1"/>
  </r>
  <r>
    <x v="1758"/>
    <d v="2023-06-16T00:00:00"/>
    <x v="6"/>
    <x v="0"/>
    <n v="4537"/>
    <n v="7"/>
    <n v="10"/>
    <x v="1728"/>
    <n v="3579.21"/>
    <n v="3528.65"/>
    <n v="0.12345231972739137"/>
    <x v="10"/>
    <x v="0"/>
    <n v="24"/>
    <x v="53"/>
    <s v="Wholesale"/>
    <x v="2"/>
  </r>
  <r>
    <x v="1759"/>
    <d v="2023-03-07T00:00:00"/>
    <x v="3"/>
    <x v="3"/>
    <n v="3998"/>
    <n v="8"/>
    <n v="10"/>
    <x v="1729"/>
    <n v="2754.25"/>
    <n v="6751.59"/>
    <n v="0.23454748207437054"/>
    <x v="5"/>
    <x v="0"/>
    <n v="10"/>
    <x v="333"/>
    <s v="Wholesale"/>
    <x v="3"/>
  </r>
  <r>
    <x v="1760"/>
    <d v="2023-01-17T00:00:00"/>
    <x v="9"/>
    <x v="5"/>
    <n v="3372"/>
    <n v="9"/>
    <n v="5"/>
    <x v="1730"/>
    <n v="1774.99"/>
    <n v="12855.67"/>
    <n v="0.44590365791901665"/>
    <x v="0"/>
    <x v="0"/>
    <n v="3"/>
    <x v="459"/>
    <s v="Retail"/>
    <x v="2"/>
  </r>
  <r>
    <x v="1761"/>
    <d v="2023-01-27T00:00:00"/>
    <x v="0"/>
    <x v="0"/>
    <n v="3036"/>
    <n v="10"/>
    <n v="5"/>
    <x v="1731"/>
    <n v="1877.15"/>
    <n v="10070.5"/>
    <n v="0.34916094584286805"/>
    <x v="0"/>
    <x v="0"/>
    <n v="4"/>
    <x v="27"/>
    <s v="Retail"/>
    <x v="3"/>
  </r>
  <r>
    <x v="1762"/>
    <d v="2023-06-16T00:00:00"/>
    <x v="8"/>
    <x v="2"/>
    <n v="4850"/>
    <n v="7"/>
    <n v="15"/>
    <x v="1732"/>
    <n v="3578.87"/>
    <n v="3805.38"/>
    <n v="0.13186797193104047"/>
    <x v="10"/>
    <x v="0"/>
    <n v="24"/>
    <x v="389"/>
    <s v="Wholesale"/>
    <x v="0"/>
  </r>
  <r>
    <x v="1763"/>
    <d v="2023-05-29T00:00:00"/>
    <x v="8"/>
    <x v="2"/>
    <n v="3377"/>
    <n v="9"/>
    <n v="5"/>
    <x v="1733"/>
    <n v="2174.16"/>
    <n v="9305.89"/>
    <n v="0.3223003219231575"/>
    <x v="2"/>
    <x v="0"/>
    <n v="22"/>
    <x v="297"/>
    <s v="Retail"/>
    <x v="2"/>
  </r>
  <r>
    <x v="1764"/>
    <d v="2023-02-15T00:00:00"/>
    <x v="4"/>
    <x v="3"/>
    <n v="4011"/>
    <n v="8"/>
    <n v="10"/>
    <x v="1734"/>
    <n v="3100.55"/>
    <n v="4074.78"/>
    <n v="0.1410973988199119"/>
    <x v="3"/>
    <x v="0"/>
    <n v="7"/>
    <x v="271"/>
    <s v="Wholesale"/>
    <x v="2"/>
  </r>
  <r>
    <x v="1765"/>
    <d v="2023-08-22T00:00:00"/>
    <x v="3"/>
    <x v="3"/>
    <n v="3209"/>
    <n v="9"/>
    <n v="0"/>
    <x v="1735"/>
    <n v="2070"/>
    <n v="10250.99"/>
    <n v="0.35493888715764688"/>
    <x v="6"/>
    <x v="0"/>
    <n v="34"/>
    <x v="307"/>
    <s v="Retail"/>
    <x v="0"/>
  </r>
  <r>
    <x v="1766"/>
    <d v="2023-03-30T00:00:00"/>
    <x v="3"/>
    <x v="3"/>
    <n v="3045"/>
    <n v="10"/>
    <n v="5"/>
    <x v="1736"/>
    <n v="2236.46"/>
    <n v="6562.88"/>
    <n v="0.22687339037248294"/>
    <x v="5"/>
    <x v="0"/>
    <n v="13"/>
    <x v="243"/>
    <s v="Wholesale"/>
    <x v="1"/>
  </r>
  <r>
    <x v="1767"/>
    <d v="2023-12-17T00:00:00"/>
    <x v="3"/>
    <x v="3"/>
    <n v="3051"/>
    <n v="10"/>
    <n v="5"/>
    <x v="1737"/>
    <n v="2175.9"/>
    <n v="7225.48"/>
    <n v="0.2492877227483655"/>
    <x v="9"/>
    <x v="0"/>
    <n v="51"/>
    <x v="103"/>
    <s v="Wholesale"/>
    <x v="3"/>
  </r>
  <r>
    <x v="1768"/>
    <d v="2023-05-29T00:00:00"/>
    <x v="1"/>
    <x v="1"/>
    <n v="3801"/>
    <n v="9"/>
    <n v="15"/>
    <x v="1738"/>
    <n v="2404.4699999999998"/>
    <n v="7437.43"/>
    <n v="0.25577823517375026"/>
    <x v="2"/>
    <x v="0"/>
    <n v="22"/>
    <x v="94"/>
    <s v="Retail"/>
    <x v="0"/>
  </r>
  <r>
    <x v="1769"/>
    <d v="2023-08-28T00:00:00"/>
    <x v="7"/>
    <x v="1"/>
    <n v="3648"/>
    <n v="8"/>
    <n v="0"/>
    <x v="1739"/>
    <n v="2806.45"/>
    <n v="6732.4"/>
    <n v="0.23068804824561404"/>
    <x v="6"/>
    <x v="0"/>
    <n v="35"/>
    <x v="365"/>
    <s v="Wholesale"/>
    <x v="1"/>
  </r>
  <r>
    <x v="1770"/>
    <d v="2023-11-04T00:00:00"/>
    <x v="6"/>
    <x v="0"/>
    <n v="4176"/>
    <n v="7"/>
    <n v="0"/>
    <x v="1740"/>
    <n v="2341.11"/>
    <n v="12844.26"/>
    <n v="0.43939039408866998"/>
    <x v="4"/>
    <x v="0"/>
    <n v="44"/>
    <x v="242"/>
    <s v="Wholesale"/>
    <x v="3"/>
  </r>
  <r>
    <x v="1771"/>
    <d v="2023-05-31T00:00:00"/>
    <x v="0"/>
    <x v="0"/>
    <n v="4300"/>
    <n v="8"/>
    <n v="15"/>
    <x v="1741"/>
    <n v="2652.31"/>
    <n v="8021.53"/>
    <n v="0.27433413132694939"/>
    <x v="2"/>
    <x v="0"/>
    <n v="22"/>
    <x v="281"/>
    <s v="Wholesale"/>
    <x v="3"/>
  </r>
  <r>
    <x v="1772"/>
    <d v="2023-02-08T00:00:00"/>
    <x v="8"/>
    <x v="2"/>
    <n v="4407"/>
    <n v="7"/>
    <n v="5"/>
    <x v="1742"/>
    <n v="2843.89"/>
    <n v="9399.2999999999993"/>
    <n v="0.32072352426334727"/>
    <x v="3"/>
    <x v="0"/>
    <n v="6"/>
    <x v="41"/>
    <s v="Retail"/>
    <x v="1"/>
  </r>
  <r>
    <x v="1773"/>
    <d v="2023-04-27T00:00:00"/>
    <x v="5"/>
    <x v="4"/>
    <n v="3665"/>
    <n v="8"/>
    <n v="0"/>
    <x v="1743"/>
    <n v="2769.76"/>
    <n v="7161.96"/>
    <n v="0.24426875852660301"/>
    <x v="7"/>
    <x v="0"/>
    <n v="17"/>
    <x v="289"/>
    <s v="Wholesale"/>
    <x v="3"/>
  </r>
  <r>
    <x v="1774"/>
    <d v="2023-04-02T00:00:00"/>
    <x v="3"/>
    <x v="3"/>
    <n v="4932"/>
    <n v="7"/>
    <n v="15"/>
    <x v="1744"/>
    <n v="3445.68"/>
    <n v="5225.6499999999996"/>
    <n v="0.17807390596141132"/>
    <x v="7"/>
    <x v="0"/>
    <n v="14"/>
    <x v="398"/>
    <s v="Wholesale"/>
    <x v="1"/>
  </r>
  <r>
    <x v="1775"/>
    <d v="2023-02-27T00:00:00"/>
    <x v="6"/>
    <x v="0"/>
    <n v="4891"/>
    <n v="6"/>
    <n v="0"/>
    <x v="1745"/>
    <n v="3065.32"/>
    <n v="10954.08"/>
    <n v="0.37327335923124105"/>
    <x v="3"/>
    <x v="0"/>
    <n v="9"/>
    <x v="202"/>
    <s v="Retail"/>
    <x v="2"/>
  </r>
  <r>
    <x v="1776"/>
    <d v="2023-08-23T00:00:00"/>
    <x v="0"/>
    <x v="0"/>
    <n v="4935"/>
    <n v="7"/>
    <n v="15"/>
    <x v="1746"/>
    <n v="2844.61"/>
    <n v="9450.9500000000007"/>
    <n v="0.32186321337045459"/>
    <x v="6"/>
    <x v="0"/>
    <n v="34"/>
    <x v="470"/>
    <s v="Retail"/>
    <x v="3"/>
  </r>
  <r>
    <x v="1777"/>
    <d v="2023-05-22T00:00:00"/>
    <x v="0"/>
    <x v="0"/>
    <n v="4940"/>
    <n v="7"/>
    <n v="15"/>
    <x v="1747"/>
    <n v="2613.2399999999998"/>
    <n v="11100.33"/>
    <n v="0.37765216207940666"/>
    <x v="2"/>
    <x v="0"/>
    <n v="21"/>
    <x v="280"/>
    <s v="Retail"/>
    <x v="2"/>
  </r>
  <r>
    <x v="1778"/>
    <d v="2023-05-31T00:00:00"/>
    <x v="3"/>
    <x v="3"/>
    <n v="4900"/>
    <n v="6"/>
    <n v="0"/>
    <x v="1748"/>
    <n v="3405.52"/>
    <n v="8966.9"/>
    <n v="0.30499659863945577"/>
    <x v="2"/>
    <x v="0"/>
    <n v="22"/>
    <x v="487"/>
    <s v="Retail"/>
    <x v="2"/>
  </r>
  <r>
    <x v="1779"/>
    <d v="2023-06-23T00:00:00"/>
    <x v="7"/>
    <x v="1"/>
    <n v="3110"/>
    <n v="10"/>
    <n v="5"/>
    <x v="1749"/>
    <n v="2071.6"/>
    <n v="8829.01"/>
    <n v="0.29883262819427991"/>
    <x v="10"/>
    <x v="0"/>
    <n v="25"/>
    <x v="250"/>
    <s v="Retail"/>
    <x v="1"/>
  </r>
  <r>
    <x v="1780"/>
    <d v="2023-12-16T00:00:00"/>
    <x v="2"/>
    <x v="2"/>
    <n v="4227"/>
    <n v="7"/>
    <n v="0"/>
    <x v="1750"/>
    <n v="3080.6"/>
    <n v="8024.77"/>
    <n v="0.27120788130724255"/>
    <x v="9"/>
    <x v="0"/>
    <n v="50"/>
    <x v="119"/>
    <s v="Retail"/>
    <x v="0"/>
  </r>
  <r>
    <x v="1781"/>
    <d v="2023-07-20T00:00:00"/>
    <x v="5"/>
    <x v="4"/>
    <n v="4987"/>
    <n v="7"/>
    <n v="15"/>
    <x v="1751"/>
    <n v="2797.2"/>
    <n v="10092.219999999999"/>
    <n v="0.34011859405883865"/>
    <x v="1"/>
    <x v="0"/>
    <n v="29"/>
    <x v="318"/>
    <s v="Retail"/>
    <x v="3"/>
  </r>
  <r>
    <x v="1782"/>
    <d v="2023-05-09T00:00:00"/>
    <x v="4"/>
    <x v="3"/>
    <n v="4378"/>
    <n v="8"/>
    <n v="15"/>
    <x v="1752"/>
    <n v="2841.25"/>
    <n v="7040.36"/>
    <n v="0.23648859269610081"/>
    <x v="2"/>
    <x v="0"/>
    <n v="19"/>
    <x v="65"/>
    <s v="Wholesale"/>
    <x v="3"/>
  </r>
  <r>
    <x v="1783"/>
    <d v="2023-05-03T00:00:00"/>
    <x v="7"/>
    <x v="1"/>
    <n v="3142"/>
    <n v="10"/>
    <n v="5"/>
    <x v="1753"/>
    <n v="2436.09"/>
    <n v="5488.1"/>
    <n v="0.1838621059331971"/>
    <x v="2"/>
    <x v="0"/>
    <n v="18"/>
    <x v="447"/>
    <s v="Wholesale"/>
    <x v="1"/>
  </r>
  <r>
    <x v="1784"/>
    <d v="2023-09-17T00:00:00"/>
    <x v="9"/>
    <x v="5"/>
    <n v="4269"/>
    <n v="7"/>
    <n v="0"/>
    <x v="1754"/>
    <n v="2768.91"/>
    <n v="10500.61"/>
    <n v="0.35139075728675168"/>
    <x v="8"/>
    <x v="0"/>
    <n v="38"/>
    <x v="28"/>
    <s v="Retail"/>
    <x v="2"/>
  </r>
  <r>
    <x v="1785"/>
    <d v="2023-11-25T00:00:00"/>
    <x v="9"/>
    <x v="5"/>
    <n v="2999"/>
    <n v="10"/>
    <n v="0"/>
    <x v="1755"/>
    <n v="1681.38"/>
    <n v="13176.2"/>
    <n v="0.43935311770590202"/>
    <x v="4"/>
    <x v="0"/>
    <n v="47"/>
    <x v="256"/>
    <s v="Wholesale"/>
    <x v="3"/>
  </r>
  <r>
    <x v="1786"/>
    <d v="2023-08-18T00:00:00"/>
    <x v="5"/>
    <x v="4"/>
    <n v="4511"/>
    <n v="7"/>
    <n v="5"/>
    <x v="1756"/>
    <n v="2790.9"/>
    <n v="10461.84"/>
    <n v="0.3487495062195502"/>
    <x v="6"/>
    <x v="0"/>
    <n v="33"/>
    <x v="266"/>
    <s v="Wholesale"/>
    <x v="1"/>
  </r>
  <r>
    <x v="1787"/>
    <d v="2023-11-06T00:00:00"/>
    <x v="9"/>
    <x v="5"/>
    <n v="4513"/>
    <n v="7"/>
    <n v="5"/>
    <x v="1757"/>
    <n v="3227.36"/>
    <n v="7419.93"/>
    <n v="0.24723663801649037"/>
    <x v="4"/>
    <x v="0"/>
    <n v="45"/>
    <x v="446"/>
    <s v="Wholesale"/>
    <x v="0"/>
  </r>
  <r>
    <x v="1788"/>
    <d v="2023-10-30T00:00:00"/>
    <x v="5"/>
    <x v="4"/>
    <n v="4532"/>
    <n v="7"/>
    <n v="5"/>
    <x v="1758"/>
    <n v="2703.1"/>
    <n v="11216.1"/>
    <n v="0.37216054257444142"/>
    <x v="11"/>
    <x v="0"/>
    <n v="44"/>
    <x v="151"/>
    <s v="Retail"/>
    <x v="0"/>
  </r>
  <r>
    <x v="1789"/>
    <d v="2023-11-23T00:00:00"/>
    <x v="7"/>
    <x v="1"/>
    <n v="4790"/>
    <n v="7"/>
    <n v="10"/>
    <x v="1759"/>
    <n v="2756.25"/>
    <n v="10883.28"/>
    <n v="0.36064817576299835"/>
    <x v="4"/>
    <x v="0"/>
    <n v="47"/>
    <x v="429"/>
    <s v="Wholesale"/>
    <x v="1"/>
  </r>
  <r>
    <x v="1790"/>
    <d v="2023-06-14T00:00:00"/>
    <x v="0"/>
    <x v="0"/>
    <n v="3362"/>
    <n v="10"/>
    <n v="10"/>
    <x v="1760"/>
    <n v="1784.52"/>
    <n v="12412.76"/>
    <n v="0.41023068279463282"/>
    <x v="10"/>
    <x v="0"/>
    <n v="24"/>
    <x v="5"/>
    <s v="Retail"/>
    <x v="3"/>
  </r>
  <r>
    <x v="1791"/>
    <d v="2023-05-06T00:00:00"/>
    <x v="2"/>
    <x v="2"/>
    <n v="4325"/>
    <n v="7"/>
    <n v="0"/>
    <x v="1761"/>
    <n v="2366.4699999999998"/>
    <n v="13709.68"/>
    <n v="0.45283831544178366"/>
    <x v="2"/>
    <x v="0"/>
    <n v="18"/>
    <x v="58"/>
    <s v="Retail"/>
    <x v="2"/>
  </r>
  <r>
    <x v="1792"/>
    <d v="2023-05-31T00:00:00"/>
    <x v="9"/>
    <x v="5"/>
    <n v="3553"/>
    <n v="9"/>
    <n v="5"/>
    <x v="1762"/>
    <n v="2644.88"/>
    <n v="6574.2"/>
    <n v="0.21641212516232883"/>
    <x v="2"/>
    <x v="0"/>
    <n v="22"/>
    <x v="229"/>
    <s v="Retail"/>
    <x v="2"/>
  </r>
  <r>
    <x v="1793"/>
    <d v="2023-05-19T00:00:00"/>
    <x v="7"/>
    <x v="1"/>
    <n v="4228"/>
    <n v="8"/>
    <n v="10"/>
    <x v="1763"/>
    <n v="3211.23"/>
    <n v="4751.78"/>
    <n v="0.15609494901713444"/>
    <x v="2"/>
    <x v="0"/>
    <n v="20"/>
    <x v="396"/>
    <s v="Retail"/>
    <x v="0"/>
  </r>
  <r>
    <x v="1794"/>
    <d v="2023-01-02T00:00:00"/>
    <x v="9"/>
    <x v="5"/>
    <n v="3815"/>
    <n v="8"/>
    <n v="0"/>
    <x v="1764"/>
    <n v="2267.19"/>
    <n v="12382.5"/>
    <n v="0.40571756225425948"/>
    <x v="0"/>
    <x v="0"/>
    <n v="1"/>
    <x v="381"/>
    <s v="Wholesale"/>
    <x v="1"/>
  </r>
  <r>
    <x v="1795"/>
    <d v="2023-09-15T00:00:00"/>
    <x v="4"/>
    <x v="3"/>
    <n v="3213"/>
    <n v="10"/>
    <n v="5"/>
    <x v="1765"/>
    <n v="2064.2399999999998"/>
    <n v="9881.06"/>
    <n v="0.32371975690861138"/>
    <x v="8"/>
    <x v="0"/>
    <n v="37"/>
    <x v="201"/>
    <s v="Wholesale"/>
    <x v="1"/>
  </r>
  <r>
    <x v="1796"/>
    <d v="2023-05-01T00:00:00"/>
    <x v="4"/>
    <x v="3"/>
    <n v="3055"/>
    <n v="10"/>
    <n v="0"/>
    <x v="1766"/>
    <n v="1876.02"/>
    <n v="11789.83"/>
    <n v="0.38591914893617019"/>
    <x v="2"/>
    <x v="0"/>
    <n v="18"/>
    <x v="222"/>
    <s v="Retail"/>
    <x v="3"/>
  </r>
  <r>
    <x v="1797"/>
    <d v="2023-06-08T00:00:00"/>
    <x v="6"/>
    <x v="0"/>
    <n v="4494"/>
    <n v="8"/>
    <n v="15"/>
    <x v="1767"/>
    <n v="2253.5500000000002"/>
    <n v="12530.81"/>
    <n v="0.41005032854263196"/>
    <x v="10"/>
    <x v="0"/>
    <n v="23"/>
    <x v="211"/>
    <s v="Retail"/>
    <x v="0"/>
  </r>
  <r>
    <x v="1798"/>
    <d v="2023-05-14T00:00:00"/>
    <x v="5"/>
    <x v="4"/>
    <n v="3397"/>
    <n v="10"/>
    <n v="10"/>
    <x v="1768"/>
    <n v="2341.37"/>
    <n v="7159.27"/>
    <n v="0.23416969221208256"/>
    <x v="2"/>
    <x v="0"/>
    <n v="20"/>
    <x v="305"/>
    <s v="Retail"/>
    <x v="3"/>
  </r>
  <r>
    <x v="1799"/>
    <d v="2023-09-16T00:00:00"/>
    <x v="4"/>
    <x v="3"/>
    <n v="4500"/>
    <n v="8"/>
    <n v="15"/>
    <x v="1769"/>
    <n v="2713.82"/>
    <n v="8889.41"/>
    <n v="0.29050359477124182"/>
    <x v="8"/>
    <x v="0"/>
    <n v="37"/>
    <x v="212"/>
    <s v="Wholesale"/>
    <x v="2"/>
  </r>
  <r>
    <x v="1800"/>
    <d v="2023-02-11T00:00:00"/>
    <x v="3"/>
    <x v="3"/>
    <n v="4504"/>
    <n v="8"/>
    <n v="15"/>
    <x v="1770"/>
    <n v="2384.23"/>
    <n v="11553.38"/>
    <n v="0.37722612579667741"/>
    <x v="3"/>
    <x v="0"/>
    <n v="6"/>
    <x v="334"/>
    <s v="Retail"/>
    <x v="0"/>
  </r>
  <r>
    <x v="1801"/>
    <d v="2023-10-13T00:00:00"/>
    <x v="3"/>
    <x v="3"/>
    <n v="3225"/>
    <n v="10"/>
    <n v="5"/>
    <x v="1771"/>
    <n v="2110.31"/>
    <n v="9534.43"/>
    <n v="0.31120130558955528"/>
    <x v="11"/>
    <x v="0"/>
    <n v="41"/>
    <x v="301"/>
    <s v="Wholesale"/>
    <x v="3"/>
  </r>
  <r>
    <x v="1802"/>
    <d v="2023-03-25T00:00:00"/>
    <x v="8"/>
    <x v="2"/>
    <n v="4870"/>
    <n v="7"/>
    <n v="10"/>
    <x v="1772"/>
    <n v="3690.52"/>
    <n v="4847.3500000000004"/>
    <n v="0.15799191682148561"/>
    <x v="5"/>
    <x v="0"/>
    <n v="12"/>
    <x v="31"/>
    <s v="Wholesale"/>
    <x v="3"/>
  </r>
  <r>
    <x v="1803"/>
    <d v="2023-12-22T00:00:00"/>
    <x v="1"/>
    <x v="1"/>
    <n v="3410"/>
    <n v="9"/>
    <n v="0"/>
    <x v="1773"/>
    <n v="2326.63"/>
    <n v="9750.34"/>
    <n v="0.31770413815575105"/>
    <x v="9"/>
    <x v="0"/>
    <n v="51"/>
    <x v="477"/>
    <s v="Retail"/>
    <x v="1"/>
  </r>
  <r>
    <x v="1804"/>
    <d v="2023-07-21T00:00:00"/>
    <x v="0"/>
    <x v="0"/>
    <n v="3071"/>
    <n v="10"/>
    <n v="0"/>
    <x v="1774"/>
    <n v="1806.87"/>
    <n v="12641.29"/>
    <n v="0.41163432106805603"/>
    <x v="1"/>
    <x v="0"/>
    <n v="29"/>
    <x v="472"/>
    <s v="Retail"/>
    <x v="3"/>
  </r>
  <r>
    <x v="1805"/>
    <d v="2023-01-07T00:00:00"/>
    <x v="3"/>
    <x v="3"/>
    <n v="3239"/>
    <n v="10"/>
    <n v="5"/>
    <x v="1775"/>
    <n v="1702.7"/>
    <n v="13743.52"/>
    <n v="0.44664597585349608"/>
    <x v="0"/>
    <x v="0"/>
    <n v="1"/>
    <x v="475"/>
    <s v="Wholesale"/>
    <x v="0"/>
  </r>
  <r>
    <x v="1806"/>
    <d v="2023-06-15T00:00:00"/>
    <x v="7"/>
    <x v="1"/>
    <n v="3244"/>
    <n v="10"/>
    <n v="5"/>
    <x v="1776"/>
    <n v="1693.76"/>
    <n v="13880.38"/>
    <n v="0.45039846842754233"/>
    <x v="10"/>
    <x v="0"/>
    <n v="24"/>
    <x v="211"/>
    <s v="Wholesale"/>
    <x v="3"/>
  </r>
  <r>
    <x v="1807"/>
    <d v="2023-12-14T00:00:00"/>
    <x v="5"/>
    <x v="4"/>
    <n v="4040"/>
    <n v="9"/>
    <n v="15"/>
    <x v="1777"/>
    <n v="2890.98"/>
    <n v="4887.2"/>
    <n v="0.1581311072283699"/>
    <x v="9"/>
    <x v="0"/>
    <n v="50"/>
    <x v="179"/>
    <s v="Retail"/>
    <x v="2"/>
  </r>
  <r>
    <x v="1808"/>
    <d v="2023-04-22T00:00:00"/>
    <x v="9"/>
    <x v="5"/>
    <n v="3615"/>
    <n v="9"/>
    <n v="5"/>
    <x v="1778"/>
    <n v="1833.63"/>
    <n v="14405.62"/>
    <n v="0.46607685650271369"/>
    <x v="7"/>
    <x v="0"/>
    <n v="16"/>
    <x v="322"/>
    <s v="Retail"/>
    <x v="2"/>
  </r>
  <r>
    <x v="1809"/>
    <d v="2023-12-22T00:00:00"/>
    <x v="9"/>
    <x v="5"/>
    <n v="4652"/>
    <n v="7"/>
    <n v="5"/>
    <x v="1779"/>
    <n v="2722.78"/>
    <n v="11876.35"/>
    <n v="0.3839031154843256"/>
    <x v="9"/>
    <x v="0"/>
    <n v="51"/>
    <x v="441"/>
    <s v="Wholesale"/>
    <x v="1"/>
  </r>
  <r>
    <x v="1810"/>
    <d v="2023-12-01T00:00:00"/>
    <x v="9"/>
    <x v="5"/>
    <n v="4436"/>
    <n v="7"/>
    <n v="0"/>
    <x v="1780"/>
    <n v="2832.31"/>
    <n v="11225.84"/>
    <n v="0.36151745459229678"/>
    <x v="9"/>
    <x v="0"/>
    <n v="48"/>
    <x v="468"/>
    <s v="Wholesale"/>
    <x v="0"/>
  </r>
  <r>
    <x v="1811"/>
    <d v="2023-02-16T00:00:00"/>
    <x v="2"/>
    <x v="2"/>
    <n v="4935"/>
    <n v="7"/>
    <n v="10"/>
    <x v="1781"/>
    <n v="2496.73"/>
    <n v="13613.42"/>
    <n v="0.43786429938405624"/>
    <x v="3"/>
    <x v="0"/>
    <n v="7"/>
    <x v="418"/>
    <s v="Wholesale"/>
    <x v="0"/>
  </r>
  <r>
    <x v="1812"/>
    <d v="2023-11-26T00:00:00"/>
    <x v="4"/>
    <x v="3"/>
    <n v="3662"/>
    <n v="10"/>
    <n v="15"/>
    <x v="1782"/>
    <n v="2820.76"/>
    <n v="2919.44"/>
    <n v="9.3791242329810134E-2"/>
    <x v="4"/>
    <x v="0"/>
    <n v="48"/>
    <x v="463"/>
    <s v="Wholesale"/>
    <x v="2"/>
  </r>
  <r>
    <x v="1813"/>
    <d v="2023-05-04T00:00:00"/>
    <x v="7"/>
    <x v="1"/>
    <n v="4329"/>
    <n v="8"/>
    <n v="10"/>
    <x v="1783"/>
    <n v="2237.62"/>
    <n v="13267.83"/>
    <n v="0.4256766381766382"/>
    <x v="2"/>
    <x v="0"/>
    <n v="18"/>
    <x v="237"/>
    <s v="Retail"/>
    <x v="2"/>
  </r>
  <r>
    <x v="1814"/>
    <d v="2023-01-08T00:00:00"/>
    <x v="2"/>
    <x v="2"/>
    <n v="4596"/>
    <n v="8"/>
    <n v="15"/>
    <x v="1784"/>
    <n v="2868.84"/>
    <n v="8302.0499999999993"/>
    <n v="0.26564179849485486"/>
    <x v="0"/>
    <x v="0"/>
    <n v="2"/>
    <x v="13"/>
    <s v="Retail"/>
    <x v="0"/>
  </r>
  <r>
    <x v="1815"/>
    <d v="2023-01-18T00:00:00"/>
    <x v="5"/>
    <x v="4"/>
    <n v="3677"/>
    <n v="10"/>
    <n v="15"/>
    <x v="1785"/>
    <n v="2682.74"/>
    <n v="4427.0600000000004"/>
    <n v="0.14164552304468159"/>
    <x v="0"/>
    <x v="0"/>
    <n v="3"/>
    <x v="266"/>
    <s v="Retail"/>
    <x v="3"/>
  </r>
  <r>
    <x v="1816"/>
    <d v="2023-09-19T00:00:00"/>
    <x v="7"/>
    <x v="1"/>
    <n v="4599"/>
    <n v="8"/>
    <n v="15"/>
    <x v="1786"/>
    <n v="2711.03"/>
    <n v="9584.98"/>
    <n v="0.30649182047248119"/>
    <x v="8"/>
    <x v="0"/>
    <n v="38"/>
    <x v="446"/>
    <s v="Wholesale"/>
    <x v="0"/>
  </r>
  <r>
    <x v="1817"/>
    <d v="2023-10-13T00:00:00"/>
    <x v="1"/>
    <x v="1"/>
    <n v="4606"/>
    <n v="8"/>
    <n v="15"/>
    <x v="1787"/>
    <n v="3604.52"/>
    <n v="2484.63"/>
    <n v="7.9328433501060003E-2"/>
    <x v="11"/>
    <x v="0"/>
    <n v="41"/>
    <x v="415"/>
    <s v="Wholesale"/>
    <x v="1"/>
  </r>
  <r>
    <x v="1818"/>
    <d v="2023-09-15T00:00:00"/>
    <x v="4"/>
    <x v="3"/>
    <n v="3871"/>
    <n v="9"/>
    <n v="10"/>
    <x v="1788"/>
    <n v="2369.34"/>
    <n v="10031.049999999999"/>
    <n v="0.3199176529495999"/>
    <x v="8"/>
    <x v="0"/>
    <n v="37"/>
    <x v="223"/>
    <s v="Retail"/>
    <x v="2"/>
  </r>
  <r>
    <x v="1819"/>
    <d v="2023-07-20T00:00:00"/>
    <x v="3"/>
    <x v="3"/>
    <n v="3921"/>
    <n v="8"/>
    <n v="0"/>
    <x v="1789"/>
    <n v="2513.98"/>
    <n v="11256.14"/>
    <n v="0.35884149451670488"/>
    <x v="1"/>
    <x v="0"/>
    <n v="29"/>
    <x v="103"/>
    <s v="Wholesale"/>
    <x v="1"/>
  </r>
  <r>
    <x v="1820"/>
    <d v="2023-10-21T00:00:00"/>
    <x v="3"/>
    <x v="3"/>
    <n v="3697"/>
    <n v="10"/>
    <n v="15"/>
    <x v="1790"/>
    <n v="2280.87"/>
    <n v="8615.7900000000009"/>
    <n v="0.27417429076039401"/>
    <x v="11"/>
    <x v="0"/>
    <n v="42"/>
    <x v="13"/>
    <s v="Wholesale"/>
    <x v="2"/>
  </r>
  <r>
    <x v="1821"/>
    <d v="2023-11-12T00:00:00"/>
    <x v="2"/>
    <x v="2"/>
    <n v="3678"/>
    <n v="9"/>
    <n v="5"/>
    <x v="1791"/>
    <n v="2081.5300000000002"/>
    <n v="12713.1"/>
    <n v="0.40427196321418007"/>
    <x v="4"/>
    <x v="0"/>
    <n v="46"/>
    <x v="2"/>
    <s v="Retail"/>
    <x v="1"/>
  </r>
  <r>
    <x v="1822"/>
    <d v="2023-09-05T00:00:00"/>
    <x v="0"/>
    <x v="0"/>
    <n v="3499"/>
    <n v="10"/>
    <n v="10"/>
    <x v="1792"/>
    <n v="1786.72"/>
    <n v="13623.83"/>
    <n v="0.43262614715315489"/>
    <x v="8"/>
    <x v="0"/>
    <n v="36"/>
    <x v="162"/>
    <s v="Retail"/>
    <x v="0"/>
  </r>
  <r>
    <x v="1823"/>
    <d v="2023-01-16T00:00:00"/>
    <x v="5"/>
    <x v="4"/>
    <n v="4152"/>
    <n v="8"/>
    <n v="5"/>
    <x v="1793"/>
    <n v="2454.6"/>
    <n v="11918.39"/>
    <n v="0.37769971351789877"/>
    <x v="0"/>
    <x v="0"/>
    <n v="3"/>
    <x v="280"/>
    <s v="Retail"/>
    <x v="2"/>
  </r>
  <r>
    <x v="1824"/>
    <d v="2023-01-03T00:00:00"/>
    <x v="8"/>
    <x v="2"/>
    <n v="3706"/>
    <n v="9"/>
    <n v="5"/>
    <x v="1794"/>
    <n v="2460.1"/>
    <n v="9545.3799999999992"/>
    <n v="0.30124627993801734"/>
    <x v="0"/>
    <x v="0"/>
    <n v="1"/>
    <x v="347"/>
    <s v="Wholesale"/>
    <x v="0"/>
  </r>
  <r>
    <x v="1825"/>
    <d v="2023-08-19T00:00:00"/>
    <x v="7"/>
    <x v="1"/>
    <n v="3969"/>
    <n v="8"/>
    <n v="0"/>
    <x v="1795"/>
    <n v="3029.67"/>
    <n v="7514.62"/>
    <n v="0.23666603678508441"/>
    <x v="6"/>
    <x v="0"/>
    <n v="33"/>
    <x v="69"/>
    <s v="Retail"/>
    <x v="1"/>
  </r>
  <r>
    <x v="1826"/>
    <d v="2023-10-12T00:00:00"/>
    <x v="5"/>
    <x v="4"/>
    <n v="3943"/>
    <n v="9"/>
    <n v="10"/>
    <x v="1796"/>
    <n v="2639.45"/>
    <n v="8183.29"/>
    <n v="0.25622184023570449"/>
    <x v="11"/>
    <x v="0"/>
    <n v="41"/>
    <x v="48"/>
    <s v="Wholesale"/>
    <x v="1"/>
  </r>
  <r>
    <x v="1827"/>
    <d v="2023-08-02T00:00:00"/>
    <x v="1"/>
    <x v="1"/>
    <n v="4807"/>
    <n v="7"/>
    <n v="5"/>
    <x v="1797"/>
    <n v="3591.01"/>
    <n v="6829.5"/>
    <n v="0.21364520099916945"/>
    <x v="6"/>
    <x v="0"/>
    <n v="31"/>
    <x v="138"/>
    <s v="Wholesale"/>
    <x v="3"/>
  </r>
  <r>
    <x v="1828"/>
    <d v="2023-07-05T00:00:00"/>
    <x v="6"/>
    <x v="0"/>
    <n v="4809"/>
    <n v="7"/>
    <n v="5"/>
    <x v="1798"/>
    <n v="2944.9"/>
    <n v="11365.52"/>
    <n v="0.35539628860047812"/>
    <x v="1"/>
    <x v="0"/>
    <n v="27"/>
    <x v="288"/>
    <s v="Retail"/>
    <x v="0"/>
  </r>
  <r>
    <x v="1829"/>
    <d v="2023-03-31T00:00:00"/>
    <x v="0"/>
    <x v="0"/>
    <n v="3558"/>
    <n v="10"/>
    <n v="10"/>
    <x v="1799"/>
    <n v="2812.55"/>
    <n v="3896.47"/>
    <n v="0.12168103179064392"/>
    <x v="5"/>
    <x v="0"/>
    <n v="13"/>
    <x v="47"/>
    <s v="Retail"/>
    <x v="0"/>
  </r>
  <r>
    <x v="1830"/>
    <d v="2023-07-06T00:00:00"/>
    <x v="0"/>
    <x v="0"/>
    <n v="3377"/>
    <n v="10"/>
    <n v="5"/>
    <x v="1800"/>
    <n v="1826.24"/>
    <n v="13819.08"/>
    <n v="0.43074918566775244"/>
    <x v="1"/>
    <x v="0"/>
    <n v="27"/>
    <x v="298"/>
    <s v="Wholesale"/>
    <x v="1"/>
  </r>
  <r>
    <x v="1831"/>
    <d v="2023-06-19T00:00:00"/>
    <x v="0"/>
    <x v="0"/>
    <n v="3378"/>
    <n v="10"/>
    <n v="5"/>
    <x v="1801"/>
    <n v="1929.95"/>
    <n v="12791.51"/>
    <n v="0.39860116543579199"/>
    <x v="10"/>
    <x v="0"/>
    <n v="25"/>
    <x v="427"/>
    <s v="Wholesale"/>
    <x v="3"/>
  </r>
  <r>
    <x v="1832"/>
    <d v="2023-08-28T00:00:00"/>
    <x v="6"/>
    <x v="0"/>
    <n v="3755"/>
    <n v="9"/>
    <n v="5"/>
    <x v="1802"/>
    <n v="2165.69"/>
    <n v="12614.02"/>
    <n v="0.39289586594092868"/>
    <x v="6"/>
    <x v="0"/>
    <n v="35"/>
    <x v="147"/>
    <s v="Wholesale"/>
    <x v="0"/>
  </r>
  <r>
    <x v="1833"/>
    <d v="2023-12-26T00:00:00"/>
    <x v="6"/>
    <x v="0"/>
    <n v="4832"/>
    <n v="7"/>
    <n v="5"/>
    <x v="1803"/>
    <n v="3672.72"/>
    <n v="6423.78"/>
    <n v="0.19991348404122888"/>
    <x v="9"/>
    <x v="0"/>
    <n v="52"/>
    <x v="232"/>
    <s v="Wholesale"/>
    <x v="2"/>
  </r>
  <r>
    <x v="1834"/>
    <d v="2023-04-27T00:00:00"/>
    <x v="2"/>
    <x v="2"/>
    <n v="4243"/>
    <n v="8"/>
    <n v="5"/>
    <x v="1804"/>
    <n v="2474.4"/>
    <n v="12451.6"/>
    <n v="0.38613443814580051"/>
    <x v="7"/>
    <x v="0"/>
    <n v="17"/>
    <x v="290"/>
    <s v="Retail"/>
    <x v="0"/>
  </r>
  <r>
    <x v="1835"/>
    <d v="2023-08-03T00:00:00"/>
    <x v="1"/>
    <x v="1"/>
    <n v="4035"/>
    <n v="8"/>
    <n v="0"/>
    <x v="1805"/>
    <n v="2923"/>
    <n v="8896"/>
    <n v="0.27558859975216854"/>
    <x v="6"/>
    <x v="0"/>
    <n v="31"/>
    <x v="373"/>
    <s v="Wholesale"/>
    <x v="3"/>
  </r>
  <r>
    <x v="1836"/>
    <d v="2023-10-10T00:00:00"/>
    <x v="9"/>
    <x v="5"/>
    <n v="4248"/>
    <n v="8"/>
    <n v="5"/>
    <x v="1806"/>
    <n v="2633.59"/>
    <n v="11216.08"/>
    <n v="0.34741054613935968"/>
    <x v="11"/>
    <x v="0"/>
    <n v="41"/>
    <x v="408"/>
    <s v="Retail"/>
    <x v="0"/>
  </r>
  <r>
    <x v="1837"/>
    <d v="2023-06-07T00:00:00"/>
    <x v="8"/>
    <x v="2"/>
    <n v="3591"/>
    <n v="9"/>
    <n v="0"/>
    <x v="1807"/>
    <n v="2171.1999999999998"/>
    <n v="12778.19"/>
    <n v="0.39537702280392339"/>
    <x v="10"/>
    <x v="0"/>
    <n v="23"/>
    <x v="469"/>
    <s v="Retail"/>
    <x v="1"/>
  </r>
  <r>
    <x v="1838"/>
    <d v="2023-06-09T00:00:00"/>
    <x v="2"/>
    <x v="2"/>
    <n v="4861"/>
    <n v="7"/>
    <n v="5"/>
    <x v="1808"/>
    <n v="2627.06"/>
    <n v="13936.26"/>
    <n v="0.43112079726161728"/>
    <x v="10"/>
    <x v="0"/>
    <n v="23"/>
    <x v="301"/>
    <s v="Wholesale"/>
    <x v="2"/>
  </r>
  <r>
    <x v="1839"/>
    <d v="2023-02-27T00:00:00"/>
    <x v="1"/>
    <x v="1"/>
    <n v="4491"/>
    <n v="8"/>
    <n v="10"/>
    <x v="1809"/>
    <n v="3590.81"/>
    <n v="3608.69"/>
    <n v="0.11160252603973379"/>
    <x v="3"/>
    <x v="0"/>
    <n v="9"/>
    <x v="274"/>
    <s v="Wholesale"/>
    <x v="0"/>
  </r>
  <r>
    <x v="1840"/>
    <d v="2023-11-15T00:00:00"/>
    <x v="2"/>
    <x v="2"/>
    <n v="4233"/>
    <n v="9"/>
    <n v="15"/>
    <x v="1810"/>
    <n v="2664.74"/>
    <n v="8399.7800000000007"/>
    <n v="0.25939297366320341"/>
    <x v="4"/>
    <x v="0"/>
    <n v="46"/>
    <x v="323"/>
    <s v="Retail"/>
    <x v="3"/>
  </r>
  <r>
    <x v="1841"/>
    <d v="2023-05-23T00:00:00"/>
    <x v="5"/>
    <x v="4"/>
    <n v="3812"/>
    <n v="10"/>
    <n v="15"/>
    <x v="1811"/>
    <n v="2664.44"/>
    <n v="5757.57"/>
    <n v="0.17769180914758348"/>
    <x v="2"/>
    <x v="0"/>
    <n v="21"/>
    <x v="315"/>
    <s v="Retail"/>
    <x v="0"/>
  </r>
  <r>
    <x v="1842"/>
    <d v="2023-03-11T00:00:00"/>
    <x v="8"/>
    <x v="2"/>
    <n v="3241"/>
    <n v="10"/>
    <n v="0"/>
    <x v="1812"/>
    <n v="2068.4699999999998"/>
    <n v="11725.29"/>
    <n v="0.36178000617093492"/>
    <x v="5"/>
    <x v="0"/>
    <n v="10"/>
    <x v="8"/>
    <s v="Retail"/>
    <x v="0"/>
  </r>
  <r>
    <x v="1843"/>
    <d v="2023-01-13T00:00:00"/>
    <x v="2"/>
    <x v="2"/>
    <n v="4280"/>
    <n v="8"/>
    <n v="5"/>
    <x v="1813"/>
    <n v="2900.81"/>
    <n v="9321.51"/>
    <n v="0.28656880226266601"/>
    <x v="0"/>
    <x v="0"/>
    <n v="2"/>
    <x v="93"/>
    <s v="Retail"/>
    <x v="1"/>
  </r>
  <r>
    <x v="1844"/>
    <d v="2023-05-18T00:00:00"/>
    <x v="0"/>
    <x v="0"/>
    <n v="4068"/>
    <n v="8"/>
    <n v="0"/>
    <x v="1814"/>
    <n v="2217.0500000000002"/>
    <n v="14807.63"/>
    <n v="0.45500338003933133"/>
    <x v="2"/>
    <x v="0"/>
    <n v="20"/>
    <x v="321"/>
    <s v="Retail"/>
    <x v="3"/>
  </r>
  <r>
    <x v="1845"/>
    <d v="2023-12-12T00:00:00"/>
    <x v="6"/>
    <x v="0"/>
    <n v="4789"/>
    <n v="8"/>
    <n v="15"/>
    <x v="1815"/>
    <n v="2750.48"/>
    <n v="10561.39"/>
    <n v="0.32431521992802131"/>
    <x v="9"/>
    <x v="0"/>
    <n v="50"/>
    <x v="300"/>
    <s v="Retail"/>
    <x v="2"/>
  </r>
  <r>
    <x v="1846"/>
    <d v="2023-06-07T00:00:00"/>
    <x v="3"/>
    <x v="3"/>
    <n v="3836"/>
    <n v="10"/>
    <n v="15"/>
    <x v="1816"/>
    <n v="2547.2800000000002"/>
    <n v="7133.22"/>
    <n v="0.21877016500030669"/>
    <x v="10"/>
    <x v="0"/>
    <n v="23"/>
    <x v="146"/>
    <s v="Wholesale"/>
    <x v="1"/>
  </r>
  <r>
    <x v="1847"/>
    <d v="2023-08-31T00:00:00"/>
    <x v="3"/>
    <x v="3"/>
    <n v="4537"/>
    <n v="8"/>
    <n v="10"/>
    <x v="1817"/>
    <n v="2886.32"/>
    <n v="9575.81"/>
    <n v="0.2931394337912962"/>
    <x v="6"/>
    <x v="0"/>
    <n v="35"/>
    <x v="0"/>
    <s v="Wholesale"/>
    <x v="1"/>
  </r>
  <r>
    <x v="1848"/>
    <d v="2023-07-23T00:00:00"/>
    <x v="4"/>
    <x v="3"/>
    <n v="3846"/>
    <n v="10"/>
    <n v="15"/>
    <x v="1818"/>
    <n v="2618.25"/>
    <n v="6508.49"/>
    <n v="0.19909118717689883"/>
    <x v="1"/>
    <x v="0"/>
    <n v="30"/>
    <x v="279"/>
    <s v="Retail"/>
    <x v="3"/>
  </r>
  <r>
    <x v="1849"/>
    <d v="2023-11-26T00:00:00"/>
    <x v="1"/>
    <x v="1"/>
    <n v="4091"/>
    <n v="8"/>
    <n v="0"/>
    <x v="1819"/>
    <n v="2192.9499999999998"/>
    <n v="15184.42"/>
    <n v="0.46395807870936201"/>
    <x v="4"/>
    <x v="0"/>
    <n v="48"/>
    <x v="53"/>
    <s v="Wholesale"/>
    <x v="2"/>
  </r>
  <r>
    <x v="1850"/>
    <d v="2023-04-12T00:00:00"/>
    <x v="4"/>
    <x v="3"/>
    <n v="4290"/>
    <n v="9"/>
    <n v="15"/>
    <x v="1820"/>
    <n v="3412.42"/>
    <n v="2106.7600000000002"/>
    <n v="6.4194280664868902E-2"/>
    <x v="7"/>
    <x v="0"/>
    <n v="15"/>
    <x v="54"/>
    <s v="Wholesale"/>
    <x v="2"/>
  </r>
  <r>
    <x v="1851"/>
    <d v="2023-10-11T00:00:00"/>
    <x v="1"/>
    <x v="1"/>
    <n v="4947"/>
    <n v="7"/>
    <n v="5"/>
    <x v="1821"/>
    <n v="3406.47"/>
    <n v="9052.25"/>
    <n v="0.2751648679004971"/>
    <x v="11"/>
    <x v="0"/>
    <n v="41"/>
    <x v="202"/>
    <s v="Wholesale"/>
    <x v="1"/>
  </r>
  <r>
    <x v="1852"/>
    <d v="2023-01-02T00:00:00"/>
    <x v="7"/>
    <x v="1"/>
    <n v="4710"/>
    <n v="7"/>
    <n v="0"/>
    <x v="1822"/>
    <n v="2859.28"/>
    <n v="12955.05"/>
    <n v="0.39293448589626934"/>
    <x v="0"/>
    <x v="0"/>
    <n v="1"/>
    <x v="28"/>
    <s v="Retail"/>
    <x v="2"/>
  </r>
  <r>
    <x v="1853"/>
    <d v="2023-05-12T00:00:00"/>
    <x v="9"/>
    <x v="5"/>
    <n v="4316"/>
    <n v="9"/>
    <n v="15"/>
    <x v="1823"/>
    <n v="3234.14"/>
    <n v="3910.11"/>
    <n v="0.1184257391557179"/>
    <x v="2"/>
    <x v="0"/>
    <n v="19"/>
    <x v="448"/>
    <s v="Wholesale"/>
    <x v="0"/>
  </r>
  <r>
    <x v="1854"/>
    <d v="2023-08-16T00:00:00"/>
    <x v="3"/>
    <x v="3"/>
    <n v="3863"/>
    <n v="9"/>
    <n v="5"/>
    <x v="1824"/>
    <n v="2377.7800000000002"/>
    <n v="11628.6"/>
    <n v="0.35207615206797732"/>
    <x v="6"/>
    <x v="0"/>
    <n v="33"/>
    <x v="287"/>
    <s v="Wholesale"/>
    <x v="3"/>
  </r>
  <r>
    <x v="1855"/>
    <d v="2023-06-10T00:00:00"/>
    <x v="6"/>
    <x v="0"/>
    <n v="3865"/>
    <n v="9"/>
    <n v="5"/>
    <x v="1825"/>
    <n v="2285.0500000000002"/>
    <n v="12480.26"/>
    <n v="0.37766611440200332"/>
    <x v="10"/>
    <x v="0"/>
    <n v="23"/>
    <x v="255"/>
    <s v="Retail"/>
    <x v="3"/>
  </r>
  <r>
    <x v="1856"/>
    <d v="2023-11-24T00:00:00"/>
    <x v="6"/>
    <x v="0"/>
    <n v="4728"/>
    <n v="7"/>
    <n v="0"/>
    <x v="1826"/>
    <n v="3148.71"/>
    <n v="11055.06"/>
    <n v="0.334030094271211"/>
    <x v="4"/>
    <x v="0"/>
    <n v="47"/>
    <x v="10"/>
    <s v="Wholesale"/>
    <x v="0"/>
  </r>
  <r>
    <x v="1857"/>
    <d v="2023-09-18T00:00:00"/>
    <x v="1"/>
    <x v="1"/>
    <n v="4989"/>
    <n v="7"/>
    <n v="5"/>
    <x v="1827"/>
    <n v="3324.29"/>
    <n v="9906.82"/>
    <n v="0.29860640778132946"/>
    <x v="8"/>
    <x v="0"/>
    <n v="38"/>
    <x v="195"/>
    <s v="Wholesale"/>
    <x v="2"/>
  </r>
  <r>
    <x v="1858"/>
    <d v="2023-12-07T00:00:00"/>
    <x v="0"/>
    <x v="0"/>
    <n v="3907"/>
    <n v="10"/>
    <n v="15"/>
    <x v="1828"/>
    <n v="2847.84"/>
    <n v="4731.1000000000004"/>
    <n v="0.1424622472485283"/>
    <x v="9"/>
    <x v="0"/>
    <n v="49"/>
    <x v="214"/>
    <s v="Wholesale"/>
    <x v="1"/>
  </r>
  <r>
    <x v="1859"/>
    <d v="2023-12-08T00:00:00"/>
    <x v="5"/>
    <x v="4"/>
    <n v="3499"/>
    <n v="10"/>
    <n v="5"/>
    <x v="1829"/>
    <n v="1822.97"/>
    <n v="15010.81"/>
    <n v="0.45158195574675469"/>
    <x v="9"/>
    <x v="0"/>
    <n v="49"/>
    <x v="435"/>
    <s v="Wholesale"/>
    <x v="0"/>
  </r>
  <r>
    <x v="1860"/>
    <d v="2023-02-16T00:00:00"/>
    <x v="1"/>
    <x v="1"/>
    <n v="3921"/>
    <n v="10"/>
    <n v="15"/>
    <x v="1830"/>
    <n v="2638"/>
    <n v="6948.5"/>
    <n v="0.20848523035840197"/>
    <x v="3"/>
    <x v="0"/>
    <n v="7"/>
    <x v="135"/>
    <s v="Retail"/>
    <x v="2"/>
  </r>
  <r>
    <x v="1861"/>
    <d v="2023-11-19T00:00:00"/>
    <x v="5"/>
    <x v="4"/>
    <n v="4174"/>
    <n v="8"/>
    <n v="0"/>
    <x v="1831"/>
    <n v="3103.98"/>
    <n v="8560.1200000000008"/>
    <n v="0.25635241974125539"/>
    <x v="4"/>
    <x v="0"/>
    <n v="47"/>
    <x v="121"/>
    <s v="Retail"/>
    <x v="0"/>
  </r>
  <r>
    <x v="1862"/>
    <d v="2023-10-27T00:00:00"/>
    <x v="2"/>
    <x v="2"/>
    <n v="3930"/>
    <n v="10"/>
    <n v="15"/>
    <x v="1832"/>
    <n v="3041.94"/>
    <n v="2985.62"/>
    <n v="8.9376440652596909E-2"/>
    <x v="11"/>
    <x v="0"/>
    <n v="43"/>
    <x v="19"/>
    <s v="Wholesale"/>
    <x v="1"/>
  </r>
  <r>
    <x v="1863"/>
    <d v="2023-09-14T00:00:00"/>
    <x v="2"/>
    <x v="2"/>
    <n v="4777"/>
    <n v="7"/>
    <n v="0"/>
    <x v="1833"/>
    <n v="2808.04"/>
    <n v="13782.7"/>
    <n v="0.41217440712939984"/>
    <x v="8"/>
    <x v="0"/>
    <n v="37"/>
    <x v="151"/>
    <s v="Retail"/>
    <x v="2"/>
  </r>
  <r>
    <x v="1864"/>
    <d v="2023-12-13T00:00:00"/>
    <x v="9"/>
    <x v="5"/>
    <n v="4929"/>
    <n v="8"/>
    <n v="15"/>
    <x v="1834"/>
    <n v="3902.54"/>
    <n v="2296.9"/>
    <n v="6.8528994068716972E-2"/>
    <x v="9"/>
    <x v="0"/>
    <n v="50"/>
    <x v="406"/>
    <s v="Retail"/>
    <x v="2"/>
  </r>
  <r>
    <x v="1865"/>
    <d v="2023-12-27T00:00:00"/>
    <x v="8"/>
    <x v="2"/>
    <n v="4931"/>
    <n v="8"/>
    <n v="15"/>
    <x v="1835"/>
    <n v="3681.31"/>
    <n v="4080.35"/>
    <n v="0.12168961074594103"/>
    <x v="9"/>
    <x v="0"/>
    <n v="52"/>
    <x v="337"/>
    <s v="Wholesale"/>
    <x v="3"/>
  </r>
  <r>
    <x v="1866"/>
    <d v="2023-07-13T00:00:00"/>
    <x v="6"/>
    <x v="0"/>
    <n v="3923"/>
    <n v="9"/>
    <n v="5"/>
    <x v="1836"/>
    <n v="2576.89"/>
    <n v="10349.67"/>
    <n v="0.3085617433847172"/>
    <x v="1"/>
    <x v="0"/>
    <n v="28"/>
    <x v="92"/>
    <s v="Wholesale"/>
    <x v="2"/>
  </r>
  <r>
    <x v="1867"/>
    <d v="2023-08-19T00:00:00"/>
    <x v="2"/>
    <x v="2"/>
    <n v="3365"/>
    <n v="10"/>
    <n v="0"/>
    <x v="1837"/>
    <n v="2124.4"/>
    <n v="12405.95"/>
    <n v="0.36867607726597329"/>
    <x v="6"/>
    <x v="0"/>
    <n v="33"/>
    <x v="488"/>
    <s v="Wholesale"/>
    <x v="0"/>
  </r>
  <r>
    <x v="1868"/>
    <d v="2023-12-29T00:00:00"/>
    <x v="7"/>
    <x v="1"/>
    <n v="4431"/>
    <n v="8"/>
    <n v="5"/>
    <x v="1838"/>
    <n v="2288.92"/>
    <n v="15364.24"/>
    <n v="0.45624250198957111"/>
    <x v="9"/>
    <x v="0"/>
    <n v="52"/>
    <x v="342"/>
    <s v="Retail"/>
    <x v="0"/>
  </r>
  <r>
    <x v="1869"/>
    <d v="2023-11-13T00:00:00"/>
    <x v="0"/>
    <x v="0"/>
    <n v="4956"/>
    <n v="8"/>
    <n v="15"/>
    <x v="1839"/>
    <n v="2743.01"/>
    <n v="11756.72"/>
    <n v="0.34885581351184536"/>
    <x v="4"/>
    <x v="0"/>
    <n v="46"/>
    <x v="321"/>
    <s v="Retail"/>
    <x v="3"/>
  </r>
  <r>
    <x v="1870"/>
    <d v="2023-04-02T00:00:00"/>
    <x v="5"/>
    <x v="4"/>
    <n v="3548"/>
    <n v="10"/>
    <n v="5"/>
    <x v="1840"/>
    <n v="1981.88"/>
    <n v="13887.22"/>
    <n v="0.41201032457129294"/>
    <x v="7"/>
    <x v="0"/>
    <n v="14"/>
    <x v="218"/>
    <s v="Retail"/>
    <x v="0"/>
  </r>
  <r>
    <x v="1871"/>
    <d v="2023-06-16T00:00:00"/>
    <x v="3"/>
    <x v="3"/>
    <n v="4218"/>
    <n v="8"/>
    <n v="0"/>
    <x v="1841"/>
    <n v="2451.2800000000002"/>
    <n v="14133.8"/>
    <n v="0.41885372214319583"/>
    <x v="10"/>
    <x v="0"/>
    <n v="24"/>
    <x v="418"/>
    <s v="Wholesale"/>
    <x v="2"/>
  </r>
  <r>
    <x v="1872"/>
    <d v="2023-08-21T00:00:00"/>
    <x v="3"/>
    <x v="3"/>
    <n v="3959"/>
    <n v="9"/>
    <n v="5"/>
    <x v="1842"/>
    <n v="2969.1"/>
    <n v="7127.56"/>
    <n v="0.21056649369487543"/>
    <x v="6"/>
    <x v="0"/>
    <n v="34"/>
    <x v="346"/>
    <s v="Wholesale"/>
    <x v="2"/>
  </r>
  <r>
    <x v="1873"/>
    <d v="2023-09-01T00:00:00"/>
    <x v="5"/>
    <x v="4"/>
    <n v="4429"/>
    <n v="9"/>
    <n v="15"/>
    <x v="1843"/>
    <n v="2852.23"/>
    <n v="8211.7900000000009"/>
    <n v="0.2423654552511153"/>
    <x v="8"/>
    <x v="0"/>
    <n v="35"/>
    <x v="313"/>
    <s v="Retail"/>
    <x v="3"/>
  </r>
  <r>
    <x v="1874"/>
    <d v="2023-04-23T00:00:00"/>
    <x v="3"/>
    <x v="3"/>
    <n v="3568"/>
    <n v="10"/>
    <n v="5"/>
    <x v="1844"/>
    <n v="2324.34"/>
    <n v="10652.57"/>
    <n v="0.31427218550861458"/>
    <x v="7"/>
    <x v="0"/>
    <n v="17"/>
    <x v="351"/>
    <s v="Wholesale"/>
    <x v="1"/>
  </r>
  <r>
    <x v="1875"/>
    <d v="2023-07-24T00:00:00"/>
    <x v="1"/>
    <x v="1"/>
    <n v="4460"/>
    <n v="8"/>
    <n v="5"/>
    <x v="1844"/>
    <n v="2839.13"/>
    <n v="11182.96"/>
    <n v="0.32991975454330891"/>
    <x v="1"/>
    <x v="0"/>
    <n v="30"/>
    <x v="171"/>
    <s v="Wholesale"/>
    <x v="2"/>
  </r>
  <r>
    <x v="1876"/>
    <d v="2023-01-29T00:00:00"/>
    <x v="0"/>
    <x v="0"/>
    <n v="3397"/>
    <n v="10"/>
    <n v="0"/>
    <x v="1845"/>
    <n v="2147.12"/>
    <n v="12498.84"/>
    <n v="0.36793759199293496"/>
    <x v="0"/>
    <x v="0"/>
    <n v="5"/>
    <x v="457"/>
    <s v="Wholesale"/>
    <x v="1"/>
  </r>
  <r>
    <x v="1877"/>
    <d v="2023-10-19T00:00:00"/>
    <x v="5"/>
    <x v="4"/>
    <n v="4750"/>
    <n v="8"/>
    <n v="10"/>
    <x v="1846"/>
    <n v="3156.74"/>
    <n v="8946.11"/>
    <n v="0.26158216374269005"/>
    <x v="11"/>
    <x v="0"/>
    <n v="42"/>
    <x v="489"/>
    <s v="Wholesale"/>
    <x v="1"/>
  </r>
  <r>
    <x v="1878"/>
    <d v="2023-12-09T00:00:00"/>
    <x v="2"/>
    <x v="2"/>
    <n v="3425"/>
    <n v="10"/>
    <n v="0"/>
    <x v="1847"/>
    <n v="2166.6999999999998"/>
    <n v="12583"/>
    <n v="0.36738686131386861"/>
    <x v="9"/>
    <x v="0"/>
    <n v="49"/>
    <x v="330"/>
    <s v="Wholesale"/>
    <x v="3"/>
  </r>
  <r>
    <x v="1879"/>
    <d v="2023-02-03T00:00:00"/>
    <x v="1"/>
    <x v="1"/>
    <n v="4509"/>
    <n v="8"/>
    <n v="5"/>
    <x v="1848"/>
    <n v="3160.63"/>
    <n v="8983.3700000000008"/>
    <n v="0.26214734274141777"/>
    <x v="3"/>
    <x v="0"/>
    <n v="5"/>
    <x v="172"/>
    <s v="Wholesale"/>
    <x v="3"/>
  </r>
  <r>
    <x v="1880"/>
    <d v="2023-08-13T00:00:00"/>
    <x v="8"/>
    <x v="2"/>
    <n v="4529"/>
    <n v="8"/>
    <n v="5"/>
    <x v="1849"/>
    <n v="2987.43"/>
    <n v="10520.93"/>
    <n v="0.30565972504677458"/>
    <x v="6"/>
    <x v="0"/>
    <n v="33"/>
    <x v="185"/>
    <s v="Retail"/>
    <x v="2"/>
  </r>
  <r>
    <x v="1881"/>
    <d v="2023-09-24T00:00:00"/>
    <x v="6"/>
    <x v="0"/>
    <n v="4923"/>
    <n v="7"/>
    <n v="0"/>
    <x v="1850"/>
    <n v="3233.56"/>
    <n v="11826.09"/>
    <n v="0.34317315225907546"/>
    <x v="8"/>
    <x v="0"/>
    <n v="39"/>
    <x v="477"/>
    <s v="Wholesale"/>
    <x v="2"/>
  </r>
  <r>
    <x v="1882"/>
    <d v="2023-02-08T00:00:00"/>
    <x v="7"/>
    <x v="1"/>
    <n v="4057"/>
    <n v="10"/>
    <n v="15"/>
    <x v="1851"/>
    <n v="2540.12"/>
    <n v="9083.26"/>
    <n v="0.26340123823746903"/>
    <x v="3"/>
    <x v="0"/>
    <n v="6"/>
    <x v="285"/>
    <s v="Wholesale"/>
    <x v="1"/>
  </r>
  <r>
    <x v="1883"/>
    <d v="2023-08-18T00:00:00"/>
    <x v="8"/>
    <x v="2"/>
    <n v="3631"/>
    <n v="10"/>
    <n v="5"/>
    <x v="1852"/>
    <n v="2030.81"/>
    <n v="14186.35"/>
    <n v="0.41126411456898926"/>
    <x v="6"/>
    <x v="0"/>
    <n v="33"/>
    <x v="325"/>
    <s v="Wholesale"/>
    <x v="0"/>
  </r>
  <r>
    <x v="1884"/>
    <d v="2023-03-06T00:00:00"/>
    <x v="8"/>
    <x v="2"/>
    <n v="4261"/>
    <n v="9"/>
    <n v="10"/>
    <x v="1853"/>
    <n v="2389.34"/>
    <n v="13010.07"/>
    <n v="0.37694942067155163"/>
    <x v="5"/>
    <x v="0"/>
    <n v="10"/>
    <x v="477"/>
    <s v="Retail"/>
    <x v="2"/>
  </r>
  <r>
    <x v="1885"/>
    <d v="2023-05-21T00:00:00"/>
    <x v="4"/>
    <x v="3"/>
    <n v="4316"/>
    <n v="8"/>
    <n v="0"/>
    <x v="1854"/>
    <n v="2866.88"/>
    <n v="11592.97"/>
    <n v="0.33575561862835956"/>
    <x v="2"/>
    <x v="0"/>
    <n v="21"/>
    <x v="411"/>
    <s v="Retail"/>
    <x v="3"/>
  </r>
  <r>
    <x v="1886"/>
    <d v="2023-05-19T00:00:00"/>
    <x v="6"/>
    <x v="0"/>
    <n v="4269"/>
    <n v="9"/>
    <n v="10"/>
    <x v="1855"/>
    <n v="3041.59"/>
    <n v="7204.59"/>
    <n v="0.20835220322219619"/>
    <x v="2"/>
    <x v="0"/>
    <n v="20"/>
    <x v="100"/>
    <s v="Retail"/>
    <x v="2"/>
  </r>
  <r>
    <x v="1887"/>
    <d v="2023-05-12T00:00:00"/>
    <x v="4"/>
    <x v="3"/>
    <n v="4525"/>
    <n v="9"/>
    <n v="15"/>
    <x v="1856"/>
    <n v="3345.79"/>
    <n v="4504.17"/>
    <n v="0.13011721373632326"/>
    <x v="2"/>
    <x v="0"/>
    <n v="19"/>
    <x v="327"/>
    <s v="Retail"/>
    <x v="1"/>
  </r>
  <r>
    <x v="1888"/>
    <d v="2023-12-14T00:00:00"/>
    <x v="3"/>
    <x v="3"/>
    <n v="4328"/>
    <n v="8"/>
    <n v="0"/>
    <x v="1857"/>
    <n v="2383.0700000000002"/>
    <n v="15559.42"/>
    <n v="0.44938250924214418"/>
    <x v="9"/>
    <x v="0"/>
    <n v="50"/>
    <x v="81"/>
    <s v="Wholesale"/>
    <x v="0"/>
  </r>
  <r>
    <x v="1889"/>
    <d v="2023-07-26T00:00:00"/>
    <x v="7"/>
    <x v="1"/>
    <n v="3503"/>
    <n v="10"/>
    <n v="0"/>
    <x v="1858"/>
    <n v="1812.34"/>
    <n v="16906.580000000002"/>
    <n v="0.48263145874964319"/>
    <x v="1"/>
    <x v="0"/>
    <n v="30"/>
    <x v="411"/>
    <s v="Retail"/>
    <x v="3"/>
  </r>
  <r>
    <x v="1890"/>
    <d v="2023-01-07T00:00:00"/>
    <x v="9"/>
    <x v="5"/>
    <n v="4124"/>
    <n v="10"/>
    <n v="15"/>
    <x v="1859"/>
    <n v="2754.44"/>
    <n v="7509.58"/>
    <n v="0.21422890397672162"/>
    <x v="0"/>
    <x v="0"/>
    <n v="1"/>
    <x v="299"/>
    <s v="Wholesale"/>
    <x v="1"/>
  </r>
  <r>
    <x v="1891"/>
    <d v="2023-07-31T00:00:00"/>
    <x v="7"/>
    <x v="1"/>
    <n v="4588"/>
    <n v="9"/>
    <n v="15"/>
    <x v="1860"/>
    <n v="2939.46"/>
    <n v="8643.0400000000009"/>
    <n v="0.24625308420374839"/>
    <x v="1"/>
    <x v="0"/>
    <n v="31"/>
    <x v="168"/>
    <s v="Wholesale"/>
    <x v="1"/>
  </r>
  <r>
    <x v="1892"/>
    <d v="2023-04-22T00:00:00"/>
    <x v="7"/>
    <x v="1"/>
    <n v="4880"/>
    <n v="8"/>
    <n v="10"/>
    <x v="1861"/>
    <n v="2942.3"/>
    <n v="11597.59"/>
    <n v="0.33007712887067397"/>
    <x v="7"/>
    <x v="0"/>
    <n v="16"/>
    <x v="249"/>
    <s v="Wholesale"/>
    <x v="1"/>
  </r>
  <r>
    <x v="1893"/>
    <d v="2023-07-11T00:00:00"/>
    <x v="5"/>
    <x v="4"/>
    <n v="4883"/>
    <n v="8"/>
    <n v="10"/>
    <x v="1862"/>
    <n v="3068.71"/>
    <n v="10607.9"/>
    <n v="0.3017242360115594"/>
    <x v="1"/>
    <x v="0"/>
    <n v="28"/>
    <x v="63"/>
    <s v="Wholesale"/>
    <x v="1"/>
  </r>
  <r>
    <x v="1894"/>
    <d v="2023-04-17T00:00:00"/>
    <x v="5"/>
    <x v="4"/>
    <n v="4897"/>
    <n v="8"/>
    <n v="10"/>
    <x v="1863"/>
    <n v="2893.5"/>
    <n v="12110.39"/>
    <n v="0.34347531368411494"/>
    <x v="7"/>
    <x v="0"/>
    <n v="16"/>
    <x v="390"/>
    <s v="Retail"/>
    <x v="0"/>
  </r>
  <r>
    <x v="1895"/>
    <d v="2023-07-14T00:00:00"/>
    <x v="3"/>
    <x v="3"/>
    <n v="4373"/>
    <n v="9"/>
    <n v="10"/>
    <x v="1864"/>
    <n v="3276.65"/>
    <n v="5931.48"/>
    <n v="0.16745517527589329"/>
    <x v="1"/>
    <x v="0"/>
    <n v="28"/>
    <x v="252"/>
    <s v="Wholesale"/>
    <x v="2"/>
  </r>
  <r>
    <x v="1896"/>
    <d v="2023-04-17T00:00:00"/>
    <x v="7"/>
    <x v="1"/>
    <n v="4438"/>
    <n v="8"/>
    <n v="0"/>
    <x v="1865"/>
    <n v="2724.24"/>
    <n v="13710.11"/>
    <n v="0.38615677106804869"/>
    <x v="7"/>
    <x v="0"/>
    <n v="16"/>
    <x v="171"/>
    <s v="Retail"/>
    <x v="0"/>
  </r>
  <r>
    <x v="1897"/>
    <d v="2023-08-29T00:00:00"/>
    <x v="8"/>
    <x v="2"/>
    <n v="4934"/>
    <n v="8"/>
    <n v="10"/>
    <x v="1866"/>
    <n v="2956.25"/>
    <n v="11874.79"/>
    <n v="0.3342676102328514"/>
    <x v="6"/>
    <x v="0"/>
    <n v="35"/>
    <x v="111"/>
    <s v="Wholesale"/>
    <x v="1"/>
  </r>
  <r>
    <x v="1898"/>
    <d v="2023-06-05T00:00:00"/>
    <x v="6"/>
    <x v="0"/>
    <n v="4677"/>
    <n v="8"/>
    <n v="5"/>
    <x v="1867"/>
    <n v="2778.84"/>
    <n v="13314.5"/>
    <n v="0.37457940875279927"/>
    <x v="10"/>
    <x v="0"/>
    <n v="23"/>
    <x v="130"/>
    <s v="Wholesale"/>
    <x v="2"/>
  </r>
  <r>
    <x v="1899"/>
    <d v="2023-07-21T00:00:00"/>
    <x v="9"/>
    <x v="5"/>
    <n v="4651"/>
    <n v="9"/>
    <n v="15"/>
    <x v="1868"/>
    <n v="2935.74"/>
    <n v="9158.5300000000007"/>
    <n v="0.25740560396738071"/>
    <x v="1"/>
    <x v="0"/>
    <n v="29"/>
    <x v="208"/>
    <s v="Retail"/>
    <x v="0"/>
  </r>
  <r>
    <x v="1900"/>
    <d v="2023-08-09T00:00:00"/>
    <x v="8"/>
    <x v="2"/>
    <n v="3746"/>
    <n v="10"/>
    <n v="5"/>
    <x v="1869"/>
    <n v="2103.77"/>
    <n v="14549.35"/>
    <n v="0.40883890184617977"/>
    <x v="6"/>
    <x v="0"/>
    <n v="32"/>
    <x v="271"/>
    <s v="Wholesale"/>
    <x v="1"/>
  </r>
  <r>
    <x v="1901"/>
    <d v="2023-01-15T00:00:00"/>
    <x v="2"/>
    <x v="2"/>
    <n v="4168"/>
    <n v="9"/>
    <n v="5"/>
    <x v="1870"/>
    <n v="2676.31"/>
    <n v="11549.63"/>
    <n v="0.32409642949343925"/>
    <x v="0"/>
    <x v="0"/>
    <n v="3"/>
    <x v="262"/>
    <s v="Wholesale"/>
    <x v="2"/>
  </r>
  <r>
    <x v="1902"/>
    <d v="2023-01-12T00:00:00"/>
    <x v="3"/>
    <x v="3"/>
    <n v="4175"/>
    <n v="9"/>
    <n v="5"/>
    <x v="1871"/>
    <n v="2293.6999999999998"/>
    <n v="15052.96"/>
    <n v="0.42169583639738067"/>
    <x v="0"/>
    <x v="0"/>
    <n v="2"/>
    <x v="416"/>
    <s v="Wholesale"/>
    <x v="0"/>
  </r>
  <r>
    <x v="1903"/>
    <d v="2023-01-25T00:00:00"/>
    <x v="7"/>
    <x v="1"/>
    <n v="4669"/>
    <n v="9"/>
    <n v="15"/>
    <x v="1872"/>
    <n v="3405.87"/>
    <n v="5065.03"/>
    <n v="0.14180668769256827"/>
    <x v="0"/>
    <x v="0"/>
    <n v="4"/>
    <x v="168"/>
    <s v="Wholesale"/>
    <x v="2"/>
  </r>
  <r>
    <x v="1904"/>
    <d v="2023-08-22T00:00:00"/>
    <x v="9"/>
    <x v="5"/>
    <n v="4410"/>
    <n v="9"/>
    <n v="10"/>
    <x v="1873"/>
    <n v="3327.17"/>
    <n v="5776.44"/>
    <n v="0.16170991853531536"/>
    <x v="6"/>
    <x v="0"/>
    <n v="34"/>
    <x v="475"/>
    <s v="Retail"/>
    <x v="0"/>
  </r>
  <r>
    <x v="1905"/>
    <d v="2023-12-11T00:00:00"/>
    <x v="0"/>
    <x v="0"/>
    <n v="4683"/>
    <n v="9"/>
    <n v="15"/>
    <x v="1874"/>
    <n v="2793.12"/>
    <n v="10686.86"/>
    <n v="0.29830774362560175"/>
    <x v="9"/>
    <x v="0"/>
    <n v="50"/>
    <x v="376"/>
    <s v="Retail"/>
    <x v="1"/>
  </r>
  <r>
    <x v="1906"/>
    <d v="2023-09-17T00:00:00"/>
    <x v="2"/>
    <x v="2"/>
    <n v="3586"/>
    <n v="10"/>
    <n v="0"/>
    <x v="1875"/>
    <n v="2264.29"/>
    <n v="13217.06"/>
    <n v="0.3685738984941439"/>
    <x v="8"/>
    <x v="0"/>
    <n v="38"/>
    <x v="490"/>
    <s v="Retail"/>
    <x v="2"/>
  </r>
  <r>
    <x v="1907"/>
    <d v="2023-02-26T00:00:00"/>
    <x v="0"/>
    <x v="0"/>
    <n v="4699"/>
    <n v="9"/>
    <n v="15"/>
    <x v="1876"/>
    <n v="2386.62"/>
    <n v="14467.8"/>
    <n v="0.40247194855809953"/>
    <x v="3"/>
    <x v="0"/>
    <n v="9"/>
    <x v="38"/>
    <s v="Wholesale"/>
    <x v="2"/>
  </r>
  <r>
    <x v="1908"/>
    <d v="2023-10-14T00:00:00"/>
    <x v="7"/>
    <x v="1"/>
    <n v="4526"/>
    <n v="8"/>
    <n v="0"/>
    <x v="1877"/>
    <n v="3144.01"/>
    <n v="11055.96"/>
    <n v="0.30534577993813522"/>
    <x v="11"/>
    <x v="0"/>
    <n v="41"/>
    <x v="207"/>
    <s v="Retail"/>
    <x v="3"/>
  </r>
  <r>
    <x v="1909"/>
    <d v="2023-11-30T00:00:00"/>
    <x v="8"/>
    <x v="2"/>
    <n v="4245"/>
    <n v="9"/>
    <n v="5"/>
    <x v="1878"/>
    <n v="2383.0100000000002"/>
    <n v="14847.62"/>
    <n v="0.40908450946762276"/>
    <x v="4"/>
    <x v="0"/>
    <n v="48"/>
    <x v="168"/>
    <s v="Retail"/>
    <x v="0"/>
  </r>
  <r>
    <x v="1910"/>
    <d v="2023-11-27T00:00:00"/>
    <x v="2"/>
    <x v="2"/>
    <n v="4059"/>
    <n v="10"/>
    <n v="10"/>
    <x v="1879"/>
    <n v="3008.89"/>
    <n v="6442.14"/>
    <n v="0.17634721195696806"/>
    <x v="4"/>
    <x v="0"/>
    <n v="48"/>
    <x v="378"/>
    <s v="Wholesale"/>
    <x v="2"/>
  </r>
  <r>
    <x v="1911"/>
    <d v="2023-12-03T00:00:00"/>
    <x v="6"/>
    <x v="0"/>
    <n v="4524"/>
    <n v="9"/>
    <n v="10"/>
    <x v="1880"/>
    <n v="2358.16"/>
    <n v="15420.92"/>
    <n v="0.42082610166901352"/>
    <x v="9"/>
    <x v="0"/>
    <n v="49"/>
    <x v="422"/>
    <s v="Wholesale"/>
    <x v="1"/>
  </r>
  <r>
    <x v="1912"/>
    <d v="2023-05-09T00:00:00"/>
    <x v="6"/>
    <x v="0"/>
    <n v="3669"/>
    <n v="10"/>
    <n v="0"/>
    <x v="1881"/>
    <n v="2517.9"/>
    <n v="11510.97"/>
    <n v="0.3137358953393295"/>
    <x v="2"/>
    <x v="0"/>
    <n v="19"/>
    <x v="257"/>
    <s v="Retail"/>
    <x v="0"/>
  </r>
  <r>
    <x v="1913"/>
    <d v="2023-04-20T00:00:00"/>
    <x v="0"/>
    <x v="0"/>
    <n v="3881"/>
    <n v="10"/>
    <n v="5"/>
    <x v="1882"/>
    <n v="2288.1999999999998"/>
    <n v="13987.48"/>
    <n v="0.37937807673008855"/>
    <x v="7"/>
    <x v="0"/>
    <n v="16"/>
    <x v="378"/>
    <s v="Wholesale"/>
    <x v="1"/>
  </r>
  <r>
    <x v="1914"/>
    <d v="2023-04-01T00:00:00"/>
    <x v="5"/>
    <x v="4"/>
    <n v="4845"/>
    <n v="9"/>
    <n v="15"/>
    <x v="1883"/>
    <n v="3216.58"/>
    <n v="8115.02"/>
    <n v="0.21894467040342111"/>
    <x v="7"/>
    <x v="0"/>
    <n v="13"/>
    <x v="341"/>
    <s v="Wholesale"/>
    <x v="2"/>
  </r>
  <r>
    <x v="1915"/>
    <d v="2023-07-18T00:00:00"/>
    <x v="9"/>
    <x v="5"/>
    <n v="4131"/>
    <n v="10"/>
    <n v="10"/>
    <x v="1884"/>
    <n v="2694.16"/>
    <n v="10237.4"/>
    <n v="0.27535436671239139"/>
    <x v="1"/>
    <x v="0"/>
    <n v="29"/>
    <x v="28"/>
    <s v="Wholesale"/>
    <x v="1"/>
  </r>
  <r>
    <x v="1916"/>
    <d v="2023-06-09T00:00:00"/>
    <x v="9"/>
    <x v="5"/>
    <n v="4876"/>
    <n v="9"/>
    <n v="15"/>
    <x v="1885"/>
    <n v="2789.59"/>
    <n v="12195.11"/>
    <n v="0.32693437779815238"/>
    <x v="10"/>
    <x v="0"/>
    <n v="23"/>
    <x v="455"/>
    <s v="Wholesale"/>
    <x v="0"/>
  </r>
  <r>
    <x v="1917"/>
    <d v="2023-07-02T00:00:00"/>
    <x v="4"/>
    <x v="3"/>
    <n v="4913"/>
    <n v="8"/>
    <n v="5"/>
    <x v="1886"/>
    <n v="2839.36"/>
    <n v="14623.92"/>
    <n v="0.39165479340525133"/>
    <x v="1"/>
    <x v="0"/>
    <n v="27"/>
    <x v="50"/>
    <s v="Wholesale"/>
    <x v="3"/>
  </r>
  <r>
    <x v="1918"/>
    <d v="2023-06-10T00:00:00"/>
    <x v="0"/>
    <x v="0"/>
    <n v="3736"/>
    <n v="10"/>
    <n v="0"/>
    <x v="1887"/>
    <n v="1883.19"/>
    <n v="18528.14"/>
    <n v="0.49593522483940039"/>
    <x v="10"/>
    <x v="0"/>
    <n v="23"/>
    <x v="459"/>
    <s v="Retail"/>
    <x v="3"/>
  </r>
  <r>
    <x v="1919"/>
    <d v="2023-04-03T00:00:00"/>
    <x v="3"/>
    <x v="3"/>
    <n v="4618"/>
    <n v="9"/>
    <n v="10"/>
    <x v="1888"/>
    <n v="3180.88"/>
    <n v="8777.85"/>
    <n v="0.23466547968496862"/>
    <x v="7"/>
    <x v="0"/>
    <n v="14"/>
    <x v="456"/>
    <s v="Wholesale"/>
    <x v="0"/>
  </r>
  <r>
    <x v="1920"/>
    <d v="2023-03-07T00:00:00"/>
    <x v="6"/>
    <x v="0"/>
    <n v="4943"/>
    <n v="8"/>
    <n v="5"/>
    <x v="1889"/>
    <n v="3175.21"/>
    <n v="12165.12"/>
    <n v="0.32382635731550197"/>
    <x v="5"/>
    <x v="0"/>
    <n v="10"/>
    <x v="224"/>
    <s v="Retail"/>
    <x v="0"/>
  </r>
  <r>
    <x v="1921"/>
    <d v="2023-01-26T00:00:00"/>
    <x v="7"/>
    <x v="1"/>
    <n v="4398"/>
    <n v="9"/>
    <n v="5"/>
    <x v="1890"/>
    <n v="2698.45"/>
    <n v="13316.86"/>
    <n v="0.35414449417465144"/>
    <x v="0"/>
    <x v="0"/>
    <n v="4"/>
    <x v="41"/>
    <s v="Wholesale"/>
    <x v="1"/>
  </r>
  <r>
    <x v="1922"/>
    <d v="2023-10-18T00:00:00"/>
    <x v="5"/>
    <x v="4"/>
    <n v="4720"/>
    <n v="8"/>
    <n v="0"/>
    <x v="1891"/>
    <n v="3094.62"/>
    <n v="13003"/>
    <n v="0.3443591101694915"/>
    <x v="11"/>
    <x v="0"/>
    <n v="42"/>
    <x v="491"/>
    <s v="Retail"/>
    <x v="0"/>
  </r>
  <r>
    <x v="1923"/>
    <d v="2023-01-07T00:00:00"/>
    <x v="9"/>
    <x v="5"/>
    <n v="4721"/>
    <n v="8"/>
    <n v="0"/>
    <x v="1892"/>
    <n v="3475.31"/>
    <n v="9965.52"/>
    <n v="0.26386147002753657"/>
    <x v="0"/>
    <x v="0"/>
    <n v="1"/>
    <x v="319"/>
    <s v="Retail"/>
    <x v="3"/>
  </r>
  <r>
    <x v="1924"/>
    <d v="2023-10-07T00:00:00"/>
    <x v="9"/>
    <x v="5"/>
    <n v="4199"/>
    <n v="9"/>
    <n v="0"/>
    <x v="1893"/>
    <n v="2712.45"/>
    <n v="13378.93"/>
    <n v="0.35402423857532217"/>
    <x v="11"/>
    <x v="0"/>
    <n v="40"/>
    <x v="325"/>
    <s v="Retail"/>
    <x v="0"/>
  </r>
  <r>
    <x v="1925"/>
    <d v="2023-07-05T00:00:00"/>
    <x v="2"/>
    <x v="2"/>
    <n v="4205"/>
    <n v="9"/>
    <n v="0"/>
    <x v="1894"/>
    <n v="3250.7"/>
    <n v="8588.66"/>
    <n v="0.22694305720702868"/>
    <x v="1"/>
    <x v="0"/>
    <n v="27"/>
    <x v="58"/>
    <s v="Wholesale"/>
    <x v="1"/>
  </r>
  <r>
    <x v="1926"/>
    <d v="2023-09-13T00:00:00"/>
    <x v="5"/>
    <x v="4"/>
    <n v="4438"/>
    <n v="9"/>
    <n v="5"/>
    <x v="1895"/>
    <n v="3176.02"/>
    <n v="9360.69"/>
    <n v="0.24669165026129994"/>
    <x v="8"/>
    <x v="0"/>
    <n v="37"/>
    <x v="12"/>
    <s v="Wholesale"/>
    <x v="2"/>
  </r>
  <r>
    <x v="1927"/>
    <d v="2023-04-14T00:00:00"/>
    <x v="9"/>
    <x v="5"/>
    <n v="4999"/>
    <n v="8"/>
    <n v="5"/>
    <x v="1896"/>
    <n v="3302.23"/>
    <n v="11574.56"/>
    <n v="0.30465461513355302"/>
    <x v="7"/>
    <x v="0"/>
    <n v="15"/>
    <x v="248"/>
    <s v="Wholesale"/>
    <x v="0"/>
  </r>
  <r>
    <x v="1928"/>
    <d v="2023-09-10T00:00:00"/>
    <x v="8"/>
    <x v="2"/>
    <n v="4450"/>
    <n v="9"/>
    <n v="5"/>
    <x v="1897"/>
    <n v="2819.31"/>
    <n v="12673.73"/>
    <n v="0.33310283198633284"/>
    <x v="8"/>
    <x v="0"/>
    <n v="37"/>
    <x v="386"/>
    <s v="Retail"/>
    <x v="3"/>
  </r>
  <r>
    <x v="1929"/>
    <d v="2023-10-27T00:00:00"/>
    <x v="9"/>
    <x v="5"/>
    <n v="4712"/>
    <n v="9"/>
    <n v="10"/>
    <x v="1898"/>
    <n v="2821.73"/>
    <n v="12771.65"/>
    <n v="0.334623708314993"/>
    <x v="11"/>
    <x v="0"/>
    <n v="43"/>
    <x v="141"/>
    <s v="Wholesale"/>
    <x v="3"/>
  </r>
  <r>
    <x v="1930"/>
    <d v="2023-08-20T00:00:00"/>
    <x v="0"/>
    <x v="0"/>
    <n v="4712"/>
    <n v="9"/>
    <n v="10"/>
    <x v="1898"/>
    <n v="3194.79"/>
    <n v="9414.1299999999992"/>
    <n v="0.2466549812404368"/>
    <x v="6"/>
    <x v="0"/>
    <n v="34"/>
    <x v="492"/>
    <s v="Retail"/>
    <x v="3"/>
  </r>
  <r>
    <x v="1931"/>
    <d v="2023-01-23T00:00:00"/>
    <x v="1"/>
    <x v="1"/>
    <n v="4783"/>
    <n v="8"/>
    <n v="0"/>
    <x v="1899"/>
    <n v="2552.98"/>
    <n v="17840.14"/>
    <n v="0.4662382395985783"/>
    <x v="0"/>
    <x v="0"/>
    <n v="4"/>
    <x v="468"/>
    <s v="Retail"/>
    <x v="3"/>
  </r>
  <r>
    <x v="1932"/>
    <d v="2023-12-20T00:00:00"/>
    <x v="4"/>
    <x v="3"/>
    <n v="4792"/>
    <n v="8"/>
    <n v="0"/>
    <x v="1900"/>
    <n v="2934.26"/>
    <n v="14861.88"/>
    <n v="0.38767424874791317"/>
    <x v="9"/>
    <x v="0"/>
    <n v="51"/>
    <x v="390"/>
    <s v="Wholesale"/>
    <x v="1"/>
  </r>
  <r>
    <x v="1933"/>
    <d v="2023-12-19T00:00:00"/>
    <x v="0"/>
    <x v="0"/>
    <n v="4267"/>
    <n v="9"/>
    <n v="0"/>
    <x v="1901"/>
    <n v="3113.2"/>
    <n v="10384.16"/>
    <n v="0.27039970835611798"/>
    <x v="9"/>
    <x v="0"/>
    <n v="51"/>
    <x v="437"/>
    <s v="Wholesale"/>
    <x v="0"/>
  </r>
  <r>
    <x v="1934"/>
    <d v="2023-11-05T00:00:00"/>
    <x v="0"/>
    <x v="0"/>
    <n v="4509"/>
    <n v="9"/>
    <n v="5"/>
    <x v="1902"/>
    <n v="2622.8"/>
    <n v="14946.77"/>
    <n v="0.38770464269641358"/>
    <x v="4"/>
    <x v="0"/>
    <n v="45"/>
    <x v="128"/>
    <s v="Retail"/>
    <x v="2"/>
  </r>
  <r>
    <x v="1935"/>
    <d v="2023-04-10T00:00:00"/>
    <x v="2"/>
    <x v="2"/>
    <n v="4835"/>
    <n v="8"/>
    <n v="0"/>
    <x v="1903"/>
    <n v="3214.29"/>
    <n v="12965.69"/>
    <n v="0.3352039813857291"/>
    <x v="7"/>
    <x v="0"/>
    <n v="15"/>
    <x v="216"/>
    <s v="Wholesale"/>
    <x v="2"/>
  </r>
  <r>
    <x v="1936"/>
    <d v="2023-07-08T00:00:00"/>
    <x v="0"/>
    <x v="0"/>
    <n v="4301"/>
    <n v="9"/>
    <n v="0"/>
    <x v="1904"/>
    <n v="2457.9"/>
    <n v="16587.86"/>
    <n v="0.42852721589294479"/>
    <x v="1"/>
    <x v="0"/>
    <n v="27"/>
    <x v="128"/>
    <s v="Wholesale"/>
    <x v="0"/>
  </r>
  <r>
    <x v="1937"/>
    <d v="2023-11-22T00:00:00"/>
    <x v="8"/>
    <x v="2"/>
    <n v="4840"/>
    <n v="8"/>
    <n v="0"/>
    <x v="1905"/>
    <n v="3008.03"/>
    <n v="14655.74"/>
    <n v="0.37850568181818184"/>
    <x v="4"/>
    <x v="0"/>
    <n v="47"/>
    <x v="474"/>
    <s v="Wholesale"/>
    <x v="3"/>
  </r>
  <r>
    <x v="1938"/>
    <d v="2023-02-09T00:00:00"/>
    <x v="6"/>
    <x v="0"/>
    <n v="4305"/>
    <n v="10"/>
    <n v="10"/>
    <x v="1906"/>
    <n v="2952.12"/>
    <n v="9223.7900000000009"/>
    <n v="0.23806400825913024"/>
    <x v="3"/>
    <x v="0"/>
    <n v="6"/>
    <x v="423"/>
    <s v="Wholesale"/>
    <x v="0"/>
  </r>
  <r>
    <x v="1939"/>
    <d v="2023-01-28T00:00:00"/>
    <x v="0"/>
    <x v="0"/>
    <n v="4532"/>
    <n v="9"/>
    <n v="5"/>
    <x v="1907"/>
    <n v="2982.35"/>
    <n v="11907.41"/>
    <n v="0.30729910241918418"/>
    <x v="0"/>
    <x v="0"/>
    <n v="4"/>
    <x v="110"/>
    <s v="Wholesale"/>
    <x v="0"/>
  </r>
  <r>
    <x v="1940"/>
    <d v="2023-08-30T00:00:00"/>
    <x v="4"/>
    <x v="3"/>
    <n v="4325"/>
    <n v="9"/>
    <n v="0"/>
    <x v="1908"/>
    <n v="2760.49"/>
    <n v="14080.62"/>
    <n v="0.36173718689788054"/>
    <x v="6"/>
    <x v="0"/>
    <n v="35"/>
    <x v="324"/>
    <s v="Retail"/>
    <x v="3"/>
  </r>
  <r>
    <x v="1941"/>
    <d v="2023-09-10T00:00:00"/>
    <x v="7"/>
    <x v="1"/>
    <n v="4580"/>
    <n v="10"/>
    <n v="15"/>
    <x v="1909"/>
    <n v="3646.03"/>
    <n v="2469.66"/>
    <n v="6.3438479321859739E-2"/>
    <x v="8"/>
    <x v="0"/>
    <n v="37"/>
    <x v="483"/>
    <s v="Retail"/>
    <x v="3"/>
  </r>
  <r>
    <x v="1942"/>
    <d v="2023-01-03T00:00:00"/>
    <x v="7"/>
    <x v="1"/>
    <n v="3919"/>
    <n v="10"/>
    <n v="0"/>
    <x v="1910"/>
    <n v="2241.39"/>
    <n v="16776.14"/>
    <n v="0.42807195713192142"/>
    <x v="0"/>
    <x v="0"/>
    <n v="1"/>
    <x v="182"/>
    <s v="Wholesale"/>
    <x v="1"/>
  </r>
  <r>
    <x v="1943"/>
    <d v="2023-05-11T00:00:00"/>
    <x v="3"/>
    <x v="3"/>
    <n v="4840"/>
    <n v="9"/>
    <n v="10"/>
    <x v="1911"/>
    <n v="2489.85"/>
    <n v="16795.349999999999"/>
    <n v="0.42840909090909085"/>
    <x v="2"/>
    <x v="0"/>
    <n v="19"/>
    <x v="448"/>
    <s v="Wholesale"/>
    <x v="2"/>
  </r>
  <r>
    <x v="1944"/>
    <d v="2023-10-31T00:00:00"/>
    <x v="0"/>
    <x v="0"/>
    <n v="4850"/>
    <n v="9"/>
    <n v="10"/>
    <x v="1912"/>
    <n v="3294.32"/>
    <n v="9636.1"/>
    <n v="0.2452870052182767"/>
    <x v="11"/>
    <x v="0"/>
    <n v="44"/>
    <x v="421"/>
    <s v="Retail"/>
    <x v="1"/>
  </r>
  <r>
    <x v="1945"/>
    <d v="2023-03-01T00:00:00"/>
    <x v="6"/>
    <x v="0"/>
    <n v="4875"/>
    <n v="9"/>
    <n v="10"/>
    <x v="1913"/>
    <n v="3725.04"/>
    <n v="5962.14"/>
    <n v="0.15098803418803419"/>
    <x v="5"/>
    <x v="0"/>
    <n v="9"/>
    <x v="67"/>
    <s v="Wholesale"/>
    <x v="1"/>
  </r>
  <r>
    <x v="1946"/>
    <d v="2023-06-03T00:00:00"/>
    <x v="4"/>
    <x v="3"/>
    <n v="4941"/>
    <n v="8"/>
    <n v="0"/>
    <x v="1914"/>
    <n v="2482.9899999999998"/>
    <n v="19664.11"/>
    <n v="0.49747293058085407"/>
    <x v="10"/>
    <x v="0"/>
    <n v="22"/>
    <x v="402"/>
    <s v="Retail"/>
    <x v="0"/>
  </r>
  <r>
    <x v="1947"/>
    <d v="2023-10-20T00:00:00"/>
    <x v="9"/>
    <x v="5"/>
    <n v="3957"/>
    <n v="10"/>
    <n v="0"/>
    <x v="1915"/>
    <n v="2775.47"/>
    <n v="11815.3"/>
    <n v="0.29859236795552185"/>
    <x v="11"/>
    <x v="0"/>
    <n v="42"/>
    <x v="62"/>
    <s v="Retail"/>
    <x v="3"/>
  </r>
  <r>
    <x v="1948"/>
    <d v="2023-02-02T00:00:00"/>
    <x v="3"/>
    <x v="3"/>
    <n v="4954"/>
    <n v="8"/>
    <n v="0"/>
    <x v="1916"/>
    <n v="2535.12"/>
    <n v="19351.009999999998"/>
    <n v="0.48826730924505446"/>
    <x v="3"/>
    <x v="0"/>
    <n v="5"/>
    <x v="414"/>
    <s v="Wholesale"/>
    <x v="2"/>
  </r>
  <r>
    <x v="1949"/>
    <d v="2023-09-28T00:00:00"/>
    <x v="3"/>
    <x v="3"/>
    <n v="4897"/>
    <n v="9"/>
    <n v="10"/>
    <x v="1917"/>
    <n v="3057.98"/>
    <n v="12143.84"/>
    <n v="0.30615468780331623"/>
    <x v="8"/>
    <x v="0"/>
    <n v="39"/>
    <x v="398"/>
    <s v="Retail"/>
    <x v="1"/>
  </r>
  <r>
    <x v="1950"/>
    <d v="2023-10-09T00:00:00"/>
    <x v="0"/>
    <x v="0"/>
    <n v="4665"/>
    <n v="9"/>
    <n v="5"/>
    <x v="1918"/>
    <n v="3641.22"/>
    <n v="7114.8"/>
    <n v="0.17837949643669732"/>
    <x v="11"/>
    <x v="0"/>
    <n v="41"/>
    <x v="6"/>
    <s v="Retail"/>
    <x v="3"/>
  </r>
  <r>
    <x v="1951"/>
    <d v="2023-04-22T00:00:00"/>
    <x v="9"/>
    <x v="5"/>
    <n v="4207"/>
    <n v="10"/>
    <n v="5"/>
    <x v="1919"/>
    <n v="3078.49"/>
    <n v="9181.64"/>
    <n v="0.2297334017239438"/>
    <x v="7"/>
    <x v="0"/>
    <n v="16"/>
    <x v="34"/>
    <s v="Wholesale"/>
    <x v="2"/>
  </r>
  <r>
    <x v="1952"/>
    <d v="2023-01-11T00:00:00"/>
    <x v="5"/>
    <x v="4"/>
    <n v="4708"/>
    <n v="10"/>
    <n v="15"/>
    <x v="1920"/>
    <n v="3321.97"/>
    <n v="6798.33"/>
    <n v="0.16988180318856513"/>
    <x v="0"/>
    <x v="0"/>
    <n v="2"/>
    <x v="191"/>
    <s v="Retail"/>
    <x v="2"/>
  </r>
  <r>
    <x v="1953"/>
    <d v="2023-12-07T00:00:00"/>
    <x v="3"/>
    <x v="3"/>
    <n v="4462"/>
    <n v="10"/>
    <n v="10"/>
    <x v="1921"/>
    <n v="3258.01"/>
    <n v="7577.86"/>
    <n v="0.18870113053438917"/>
    <x v="9"/>
    <x v="0"/>
    <n v="49"/>
    <x v="173"/>
    <s v="Retail"/>
    <x v="1"/>
  </r>
  <r>
    <x v="1954"/>
    <d v="2023-10-11T00:00:00"/>
    <x v="3"/>
    <x v="3"/>
    <n v="4959"/>
    <n v="9"/>
    <n v="10"/>
    <x v="1922"/>
    <n v="3045.39"/>
    <n v="12759.4"/>
    <n v="0.31765165716903299"/>
    <x v="11"/>
    <x v="0"/>
    <n v="41"/>
    <x v="391"/>
    <s v="Retail"/>
    <x v="3"/>
  </r>
  <r>
    <x v="1955"/>
    <d v="2023-06-07T00:00:00"/>
    <x v="7"/>
    <x v="1"/>
    <n v="4018"/>
    <n v="10"/>
    <n v="0"/>
    <x v="1923"/>
    <n v="2625.98"/>
    <n v="13920.15"/>
    <n v="0.34644474863115976"/>
    <x v="10"/>
    <x v="0"/>
    <n v="23"/>
    <x v="89"/>
    <s v="Wholesale"/>
    <x v="1"/>
  </r>
  <r>
    <x v="1956"/>
    <d v="2023-08-20T00:00:00"/>
    <x v="3"/>
    <x v="3"/>
    <n v="4231"/>
    <n v="10"/>
    <n v="5"/>
    <x v="1924"/>
    <n v="3060.66"/>
    <n v="9587.8700000000008"/>
    <n v="0.23853686449638634"/>
    <x v="6"/>
    <x v="0"/>
    <n v="34"/>
    <x v="307"/>
    <s v="Retail"/>
    <x v="1"/>
  </r>
  <r>
    <x v="1957"/>
    <d v="2023-04-27T00:00:00"/>
    <x v="1"/>
    <x v="1"/>
    <n v="4997"/>
    <n v="9"/>
    <n v="10"/>
    <x v="1925"/>
    <n v="3253.56"/>
    <n v="11193.67"/>
    <n v="0.27655284528741941"/>
    <x v="7"/>
    <x v="0"/>
    <n v="17"/>
    <x v="433"/>
    <s v="Retail"/>
    <x v="2"/>
  </r>
  <r>
    <x v="1958"/>
    <d v="2023-02-11T00:00:00"/>
    <x v="1"/>
    <x v="1"/>
    <n v="4775"/>
    <n v="9"/>
    <n v="5"/>
    <x v="1926"/>
    <n v="3045.76"/>
    <n v="13414.44"/>
    <n v="0.32857389547166349"/>
    <x v="3"/>
    <x v="0"/>
    <n v="6"/>
    <x v="127"/>
    <s v="Wholesale"/>
    <x v="2"/>
  </r>
  <r>
    <x v="1959"/>
    <d v="2023-06-19T00:00:00"/>
    <x v="7"/>
    <x v="1"/>
    <n v="4570"/>
    <n v="10"/>
    <n v="10"/>
    <x v="1927"/>
    <n v="2391.4299999999998"/>
    <n v="17215.689999999999"/>
    <n v="0.41856771213226351"/>
    <x v="10"/>
    <x v="0"/>
    <n v="25"/>
    <x v="480"/>
    <s v="Wholesale"/>
    <x v="1"/>
  </r>
  <r>
    <x v="1960"/>
    <d v="2023-03-28T00:00:00"/>
    <x v="9"/>
    <x v="5"/>
    <n v="4812"/>
    <n v="9"/>
    <n v="5"/>
    <x v="1928"/>
    <n v="2658.31"/>
    <n v="17217.77"/>
    <n v="0.41849008084078304"/>
    <x v="5"/>
    <x v="0"/>
    <n v="13"/>
    <x v="309"/>
    <s v="Wholesale"/>
    <x v="0"/>
  </r>
  <r>
    <x v="1961"/>
    <d v="2023-03-28T00:00:00"/>
    <x v="2"/>
    <x v="2"/>
    <n v="4351"/>
    <n v="10"/>
    <n v="5"/>
    <x v="1929"/>
    <n v="2759.88"/>
    <n v="13735.67"/>
    <n v="0.33230521719145023"/>
    <x v="5"/>
    <x v="0"/>
    <n v="13"/>
    <x v="127"/>
    <s v="Retail"/>
    <x v="3"/>
  </r>
  <r>
    <x v="1962"/>
    <d v="2023-11-12T00:00:00"/>
    <x v="8"/>
    <x v="2"/>
    <n v="4595"/>
    <n v="10"/>
    <n v="10"/>
    <x v="1930"/>
    <n v="3511.42"/>
    <n v="6240.81"/>
    <n v="0.15090823358723252"/>
    <x v="4"/>
    <x v="0"/>
    <n v="46"/>
    <x v="13"/>
    <s v="Retail"/>
    <x v="1"/>
  </r>
  <r>
    <x v="1963"/>
    <d v="2023-06-30T00:00:00"/>
    <x v="3"/>
    <x v="3"/>
    <n v="4847"/>
    <n v="9"/>
    <n v="5"/>
    <x v="1931"/>
    <n v="3705.99"/>
    <n v="8087.9"/>
    <n v="0.19516261942939322"/>
    <x v="10"/>
    <x v="0"/>
    <n v="26"/>
    <x v="454"/>
    <s v="Wholesale"/>
    <x v="3"/>
  </r>
  <r>
    <x v="1964"/>
    <d v="2023-12-22T00:00:00"/>
    <x v="3"/>
    <x v="3"/>
    <n v="4892"/>
    <n v="10"/>
    <n v="15"/>
    <x v="1932"/>
    <n v="3029.45"/>
    <n v="11287.5"/>
    <n v="0.27145158963012844"/>
    <x v="9"/>
    <x v="0"/>
    <n v="51"/>
    <x v="291"/>
    <s v="Wholesale"/>
    <x v="1"/>
  </r>
  <r>
    <x v="1965"/>
    <d v="2023-07-23T00:00:00"/>
    <x v="7"/>
    <x v="1"/>
    <n v="4897"/>
    <n v="10"/>
    <n v="15"/>
    <x v="1933"/>
    <n v="3061.17"/>
    <n v="11012.82"/>
    <n v="0.26457543033549952"/>
    <x v="1"/>
    <x v="0"/>
    <n v="30"/>
    <x v="95"/>
    <s v="Retail"/>
    <x v="0"/>
  </r>
  <r>
    <x v="1966"/>
    <d v="2023-07-23T00:00:00"/>
    <x v="6"/>
    <x v="0"/>
    <n v="4625"/>
    <n v="10"/>
    <n v="10"/>
    <x v="1934"/>
    <n v="2866.92"/>
    <n v="12955.8"/>
    <n v="0.31125045045045041"/>
    <x v="1"/>
    <x v="0"/>
    <n v="30"/>
    <x v="478"/>
    <s v="Retail"/>
    <x v="0"/>
  </r>
  <r>
    <x v="1967"/>
    <d v="2023-06-19T00:00:00"/>
    <x v="7"/>
    <x v="1"/>
    <n v="4383"/>
    <n v="10"/>
    <n v="5"/>
    <x v="1935"/>
    <n v="2807.69"/>
    <n v="13561.62"/>
    <n v="0.32569905255953024"/>
    <x v="10"/>
    <x v="0"/>
    <n v="25"/>
    <x v="412"/>
    <s v="Wholesale"/>
    <x v="3"/>
  </r>
  <r>
    <x v="1968"/>
    <d v="2023-10-28T00:00:00"/>
    <x v="7"/>
    <x v="1"/>
    <n v="4177"/>
    <n v="10"/>
    <n v="0"/>
    <x v="1936"/>
    <n v="3034.28"/>
    <n v="11427.17"/>
    <n v="0.27357361742877662"/>
    <x v="11"/>
    <x v="0"/>
    <n v="43"/>
    <x v="172"/>
    <s v="Wholesale"/>
    <x v="2"/>
  </r>
  <r>
    <x v="1969"/>
    <d v="2023-01-01T00:00:00"/>
    <x v="0"/>
    <x v="0"/>
    <n v="4642"/>
    <n v="10"/>
    <n v="10"/>
    <x v="1937"/>
    <n v="2805.3"/>
    <n v="13724.99"/>
    <n v="0.32852194935133322"/>
    <x v="0"/>
    <x v="0"/>
    <n v="1"/>
    <x v="169"/>
    <s v="Retail"/>
    <x v="0"/>
  </r>
  <r>
    <x v="1970"/>
    <d v="2023-04-09T00:00:00"/>
    <x v="1"/>
    <x v="1"/>
    <n v="4182"/>
    <n v="10"/>
    <n v="0"/>
    <x v="1938"/>
    <n v="2610.23"/>
    <n v="15717.74"/>
    <n v="0.37584265901482544"/>
    <x v="7"/>
    <x v="0"/>
    <n v="15"/>
    <x v="98"/>
    <s v="Wholesale"/>
    <x v="3"/>
  </r>
  <r>
    <x v="1971"/>
    <d v="2023-05-23T00:00:00"/>
    <x v="4"/>
    <x v="3"/>
    <n v="4667"/>
    <n v="10"/>
    <n v="10"/>
    <x v="1939"/>
    <n v="2843.66"/>
    <n v="13566.44"/>
    <n v="0.32298740566150036"/>
    <x v="2"/>
    <x v="0"/>
    <n v="21"/>
    <x v="416"/>
    <s v="Wholesale"/>
    <x v="1"/>
  </r>
  <r>
    <x v="1972"/>
    <d v="2023-04-15T00:00:00"/>
    <x v="3"/>
    <x v="3"/>
    <n v="4213"/>
    <n v="10"/>
    <n v="0"/>
    <x v="1940"/>
    <n v="3089.38"/>
    <n v="11236.23"/>
    <n v="0.26670377403275575"/>
    <x v="7"/>
    <x v="0"/>
    <n v="15"/>
    <x v="226"/>
    <s v="Retail"/>
    <x v="0"/>
  </r>
  <r>
    <x v="1973"/>
    <d v="2023-10-22T00:00:00"/>
    <x v="5"/>
    <x v="4"/>
    <n v="4229"/>
    <n v="10"/>
    <n v="0"/>
    <x v="1941"/>
    <n v="2646.78"/>
    <n v="15822.21"/>
    <n v="0.37413596594939702"/>
    <x v="11"/>
    <x v="0"/>
    <n v="43"/>
    <x v="226"/>
    <s v="Wholesale"/>
    <x v="3"/>
  </r>
  <r>
    <x v="1974"/>
    <d v="2023-12-19T00:00:00"/>
    <x v="8"/>
    <x v="2"/>
    <n v="4509"/>
    <n v="10"/>
    <n v="5"/>
    <x v="1942"/>
    <n v="2742.05"/>
    <n v="15414.99"/>
    <n v="0.3598648317400287"/>
    <x v="9"/>
    <x v="0"/>
    <n v="51"/>
    <x v="349"/>
    <s v="Retail"/>
    <x v="2"/>
  </r>
  <r>
    <x v="1975"/>
    <d v="2023-06-26T00:00:00"/>
    <x v="8"/>
    <x v="2"/>
    <n v="4780"/>
    <n v="10"/>
    <n v="10"/>
    <x v="1943"/>
    <n v="3340.41"/>
    <n v="9615.89"/>
    <n v="0.22352138540213853"/>
    <x v="10"/>
    <x v="0"/>
    <n v="26"/>
    <x v="199"/>
    <s v="Retail"/>
    <x v="0"/>
  </r>
  <r>
    <x v="1976"/>
    <d v="2023-11-14T00:00:00"/>
    <x v="9"/>
    <x v="5"/>
    <n v="4320"/>
    <n v="10"/>
    <n v="0"/>
    <x v="1944"/>
    <n v="3209.94"/>
    <n v="11100.6"/>
    <n v="0.25695833333333334"/>
    <x v="4"/>
    <x v="0"/>
    <n v="46"/>
    <x v="208"/>
    <s v="Retail"/>
    <x v="0"/>
  </r>
  <r>
    <x v="1977"/>
    <d v="2023-03-24T00:00:00"/>
    <x v="0"/>
    <x v="0"/>
    <n v="4345"/>
    <n v="10"/>
    <n v="0"/>
    <x v="1945"/>
    <n v="2349.39"/>
    <n v="19956.13"/>
    <n v="0.45928952819332569"/>
    <x v="5"/>
    <x v="0"/>
    <n v="12"/>
    <x v="237"/>
    <s v="Retail"/>
    <x v="1"/>
  </r>
  <r>
    <x v="1978"/>
    <d v="2023-05-14T00:00:00"/>
    <x v="4"/>
    <x v="3"/>
    <n v="4584"/>
    <n v="10"/>
    <n v="5"/>
    <x v="1946"/>
    <n v="2493.98"/>
    <n v="18608.169999999998"/>
    <n v="0.42730251676311193"/>
    <x v="2"/>
    <x v="0"/>
    <n v="20"/>
    <x v="381"/>
    <s v="Retail"/>
    <x v="2"/>
  </r>
  <r>
    <x v="1979"/>
    <d v="2023-03-24T00:00:00"/>
    <x v="4"/>
    <x v="3"/>
    <n v="4589"/>
    <n v="10"/>
    <n v="5"/>
    <x v="1947"/>
    <n v="2732.33"/>
    <n v="16272.23"/>
    <n v="0.37325480840912478"/>
    <x v="5"/>
    <x v="0"/>
    <n v="12"/>
    <x v="232"/>
    <s v="Wholesale"/>
    <x v="1"/>
  </r>
  <r>
    <x v="1980"/>
    <d v="2023-07-14T00:00:00"/>
    <x v="3"/>
    <x v="3"/>
    <n v="4845"/>
    <n v="10"/>
    <n v="10"/>
    <x v="1948"/>
    <n v="3001.21"/>
    <n v="13592.85"/>
    <n v="0.31172686618507051"/>
    <x v="1"/>
    <x v="0"/>
    <n v="28"/>
    <x v="271"/>
    <s v="Wholesale"/>
    <x v="2"/>
  </r>
  <r>
    <x v="1981"/>
    <d v="2023-08-04T00:00:00"/>
    <x v="9"/>
    <x v="5"/>
    <n v="4846"/>
    <n v="9"/>
    <n v="0"/>
    <x v="1949"/>
    <n v="2796.39"/>
    <n v="18446.47"/>
    <n v="0.42294836520383366"/>
    <x v="6"/>
    <x v="0"/>
    <n v="31"/>
    <x v="282"/>
    <s v="Wholesale"/>
    <x v="3"/>
  </r>
  <r>
    <x v="1982"/>
    <d v="2023-12-20T00:00:00"/>
    <x v="9"/>
    <x v="5"/>
    <n v="4366"/>
    <n v="10"/>
    <n v="0"/>
    <x v="1950"/>
    <n v="2213.13"/>
    <n v="21528.65"/>
    <n v="0.49309780119102159"/>
    <x v="9"/>
    <x v="0"/>
    <n v="51"/>
    <x v="128"/>
    <s v="Wholesale"/>
    <x v="1"/>
  </r>
  <r>
    <x v="1983"/>
    <d v="2023-10-19T00:00:00"/>
    <x v="2"/>
    <x v="2"/>
    <n v="4370"/>
    <n v="10"/>
    <n v="0"/>
    <x v="1951"/>
    <n v="3359.38"/>
    <n v="10106.23"/>
    <n v="0.23126384439359265"/>
    <x v="11"/>
    <x v="0"/>
    <n v="42"/>
    <x v="209"/>
    <s v="Wholesale"/>
    <x v="3"/>
  </r>
  <r>
    <x v="1984"/>
    <d v="2023-01-05T00:00:00"/>
    <x v="9"/>
    <x v="5"/>
    <n v="4899"/>
    <n v="9"/>
    <n v="0"/>
    <x v="1952"/>
    <n v="2970.66"/>
    <n v="17355.04"/>
    <n v="0.39361865233267562"/>
    <x v="0"/>
    <x v="0"/>
    <n v="1"/>
    <x v="366"/>
    <s v="Wholesale"/>
    <x v="2"/>
  </r>
  <r>
    <x v="1985"/>
    <d v="2023-05-15T00:00:00"/>
    <x v="6"/>
    <x v="0"/>
    <n v="4418"/>
    <n v="10"/>
    <n v="0"/>
    <x v="1953"/>
    <n v="2332.77"/>
    <n v="20852.32"/>
    <n v="0.47198551380715253"/>
    <x v="2"/>
    <x v="0"/>
    <n v="20"/>
    <x v="189"/>
    <s v="Wholesale"/>
    <x v="0"/>
  </r>
  <r>
    <x v="1986"/>
    <d v="2023-09-11T00:00:00"/>
    <x v="8"/>
    <x v="2"/>
    <n v="4432"/>
    <n v="10"/>
    <n v="0"/>
    <x v="1954"/>
    <n v="2754.37"/>
    <n v="16776.330000000002"/>
    <n v="0.37852730144404334"/>
    <x v="8"/>
    <x v="0"/>
    <n v="37"/>
    <x v="254"/>
    <s v="Wholesale"/>
    <x v="0"/>
  </r>
  <r>
    <x v="1987"/>
    <d v="2023-04-27T00:00:00"/>
    <x v="7"/>
    <x v="1"/>
    <n v="4948"/>
    <n v="10"/>
    <n v="10"/>
    <x v="1955"/>
    <n v="2669.52"/>
    <n v="17836.8"/>
    <n v="0.40053893829156562"/>
    <x v="7"/>
    <x v="0"/>
    <n v="17"/>
    <x v="327"/>
    <s v="Wholesale"/>
    <x v="0"/>
  </r>
  <r>
    <x v="1988"/>
    <d v="2023-06-14T00:00:00"/>
    <x v="7"/>
    <x v="1"/>
    <n v="4966"/>
    <n v="10"/>
    <n v="10"/>
    <x v="1956"/>
    <n v="3359.64"/>
    <n v="11097.56"/>
    <n v="0.24830089049984336"/>
    <x v="10"/>
    <x v="0"/>
    <n v="24"/>
    <x v="269"/>
    <s v="Retail"/>
    <x v="2"/>
  </r>
  <r>
    <x v="1989"/>
    <d v="2023-06-30T00:00:00"/>
    <x v="8"/>
    <x v="2"/>
    <n v="4586"/>
    <n v="10"/>
    <n v="0"/>
    <x v="1957"/>
    <n v="3073.09"/>
    <n v="15129.13"/>
    <n v="0.32989816833842128"/>
    <x v="10"/>
    <x v="0"/>
    <n v="26"/>
    <x v="13"/>
    <s v="Retail"/>
    <x v="2"/>
  </r>
  <r>
    <x v="1990"/>
    <d v="2023-06-19T00:00:00"/>
    <x v="3"/>
    <x v="3"/>
    <n v="4651"/>
    <n v="10"/>
    <n v="0"/>
    <x v="1958"/>
    <n v="2565.1999999999998"/>
    <n v="20857.990000000002"/>
    <n v="0.44846248118684157"/>
    <x v="10"/>
    <x v="0"/>
    <n v="25"/>
    <x v="90"/>
    <s v="Wholesale"/>
    <x v="0"/>
  </r>
  <r>
    <x v="1991"/>
    <d v="2023-08-26T00:00:00"/>
    <x v="1"/>
    <x v="1"/>
    <n v="4905"/>
    <n v="10"/>
    <n v="5"/>
    <x v="1959"/>
    <n v="3775.74"/>
    <n v="8840.09"/>
    <n v="0.18971167981114867"/>
    <x v="6"/>
    <x v="0"/>
    <n v="34"/>
    <x v="328"/>
    <s v="Wholesale"/>
    <x v="1"/>
  </r>
  <r>
    <x v="1992"/>
    <d v="2023-11-10T00:00:00"/>
    <x v="0"/>
    <x v="0"/>
    <n v="4931"/>
    <n v="10"/>
    <n v="5"/>
    <x v="1960"/>
    <n v="2983.74"/>
    <n v="17007.080000000002"/>
    <n v="0.36305393375956624"/>
    <x v="4"/>
    <x v="0"/>
    <n v="45"/>
    <x v="380"/>
    <s v="Wholesale"/>
    <x v="0"/>
  </r>
  <r>
    <x v="1993"/>
    <d v="2023-02-12T00:00:00"/>
    <x v="7"/>
    <x v="1"/>
    <n v="4963"/>
    <n v="10"/>
    <n v="5"/>
    <x v="1961"/>
    <n v="3094.24"/>
    <n v="16206.13"/>
    <n v="0.34372525106843271"/>
    <x v="3"/>
    <x v="0"/>
    <n v="7"/>
    <x v="326"/>
    <s v="Wholesale"/>
    <x v="1"/>
  </r>
  <r>
    <x v="1994"/>
    <d v="2023-11-29T00:00:00"/>
    <x v="2"/>
    <x v="2"/>
    <n v="4969"/>
    <n v="10"/>
    <n v="5"/>
    <x v="1962"/>
    <n v="3520.65"/>
    <n v="11998.99"/>
    <n v="0.2541862706676129"/>
    <x v="4"/>
    <x v="0"/>
    <n v="48"/>
    <x v="468"/>
    <s v="Wholesale"/>
    <x v="2"/>
  </r>
  <r>
    <x v="1995"/>
    <d v="2023-10-22T00:00:00"/>
    <x v="3"/>
    <x v="3"/>
    <n v="4723"/>
    <n v="10"/>
    <n v="0"/>
    <x v="1963"/>
    <n v="3768.13"/>
    <n v="9548.74"/>
    <n v="0.20217531230150329"/>
    <x v="11"/>
    <x v="0"/>
    <n v="43"/>
    <x v="268"/>
    <s v="Wholesale"/>
    <x v="0"/>
  </r>
  <r>
    <x v="1996"/>
    <d v="2023-02-17T00:00:00"/>
    <x v="5"/>
    <x v="4"/>
    <n v="4817"/>
    <n v="10"/>
    <n v="0"/>
    <x v="1964"/>
    <n v="3845.66"/>
    <n v="9713.3700000000008"/>
    <n v="0.20164770604110444"/>
    <x v="3"/>
    <x v="0"/>
    <n v="7"/>
    <x v="111"/>
    <s v="Wholesale"/>
    <x v="3"/>
  </r>
  <r>
    <x v="1997"/>
    <d v="2023-08-20T00:00:00"/>
    <x v="3"/>
    <x v="3"/>
    <n v="4835"/>
    <n v="10"/>
    <n v="0"/>
    <x v="1965"/>
    <n v="3707.54"/>
    <n v="11274.65"/>
    <n v="0.23318821096173734"/>
    <x v="6"/>
    <x v="0"/>
    <n v="34"/>
    <x v="466"/>
    <s v="Wholesale"/>
    <x v="2"/>
  </r>
  <r>
    <x v="1998"/>
    <d v="2023-11-23T00:00:00"/>
    <x v="0"/>
    <x v="0"/>
    <n v="4867"/>
    <n v="10"/>
    <n v="0"/>
    <x v="1966"/>
    <n v="3022.9"/>
    <n v="18441"/>
    <n v="0.37889870556811178"/>
    <x v="4"/>
    <x v="0"/>
    <n v="47"/>
    <x v="4"/>
    <s v="Wholesale"/>
    <x v="1"/>
  </r>
  <r>
    <x v="1999"/>
    <d v="2023-11-10T00:00:00"/>
    <x v="6"/>
    <x v="0"/>
    <n v="4904"/>
    <n v="10"/>
    <n v="0"/>
    <x v="1967"/>
    <n v="2698.97"/>
    <n v="22050.32"/>
    <n v="0.44963947797716147"/>
    <x v="4"/>
    <x v="0"/>
    <n v="45"/>
    <x v="308"/>
    <s v="Retail"/>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B81B88-CD6F-4C25-B015-A658DA2E47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pivotFields count="17">
    <pivotField showAll="0"/>
    <pivotField numFmtId="14" showAll="0"/>
    <pivotField axis="axisRow" showAll="0" sortType="descending">
      <items count="11">
        <item x="3"/>
        <item x="1"/>
        <item x="2"/>
        <item x="7"/>
        <item x="4"/>
        <item x="6"/>
        <item x="0"/>
        <item x="5"/>
        <item x="9"/>
        <item x="8"/>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showAll="0"/>
    <pivotField showAll="0"/>
    <pivotField dataField="1" showAll="0"/>
    <pivotField numFmtId="10" showAll="0"/>
    <pivotField showAll="0">
      <items count="13">
        <item x="0"/>
        <item x="3"/>
        <item x="5"/>
        <item x="7"/>
        <item x="2"/>
        <item x="10"/>
        <item x="1"/>
        <item x="6"/>
        <item x="8"/>
        <item x="11"/>
        <item x="4"/>
        <item x="9"/>
        <item t="default"/>
      </items>
    </pivotField>
    <pivotField showAll="0"/>
    <pivotField showAll="0"/>
    <pivotField showAll="0"/>
    <pivotField showAll="0"/>
    <pivotField showAll="0">
      <items count="5">
        <item x="1"/>
        <item x="2"/>
        <item x="0"/>
        <item x="3"/>
        <item t="default"/>
      </items>
    </pivotField>
  </pivotFields>
  <rowFields count="1">
    <field x="2"/>
  </rowFields>
  <rowItems count="11">
    <i>
      <x v="6"/>
    </i>
    <i>
      <x v="3"/>
    </i>
    <i>
      <x v="5"/>
    </i>
    <i>
      <x/>
    </i>
    <i>
      <x v="8"/>
    </i>
    <i>
      <x v="2"/>
    </i>
    <i>
      <x v="7"/>
    </i>
    <i>
      <x v="9"/>
    </i>
    <i>
      <x v="4"/>
    </i>
    <i>
      <x v="1"/>
    </i>
    <i t="grand">
      <x/>
    </i>
  </rowItems>
  <colFields count="1">
    <field x="-2"/>
  </colFields>
  <colItems count="3">
    <i>
      <x/>
    </i>
    <i i="1">
      <x v="1"/>
    </i>
    <i i="2">
      <x v="2"/>
    </i>
  </colItems>
  <dataFields count="3">
    <dataField name="Sum of Profit" fld="9" baseField="0" baseItem="0" numFmtId="2"/>
    <dataField name="Sum of Total Revenue" fld="7" baseField="0" baseItem="0" numFmtId="2"/>
    <dataField name="Sum of Quantity" fld="5" baseField="0" baseItem="0" numFmtId="2"/>
  </dataFields>
  <formats count="7">
    <format dxfId="17">
      <pivotArea collapsedLevelsAreSubtotals="1" fieldPosition="0">
        <references count="2">
          <reference field="4294967294" count="1" selected="0">
            <x v="0"/>
          </reference>
          <reference field="2" count="1">
            <x v="6"/>
          </reference>
        </references>
      </pivotArea>
    </format>
    <format dxfId="16">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 dxfId="12">
      <pivotArea outline="0" collapsedLevelsAreSubtotals="1" fieldPosition="0">
        <references count="1">
          <reference field="4294967294" count="1" selected="0">
            <x v="2"/>
          </reference>
        </references>
      </pivotArea>
    </format>
    <format dxfId="11">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927525-C5F1-43C6-90F5-B17C99A907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16" firstHeaderRow="1" firstDataRow="1" firstDataCol="1"/>
  <pivotFields count="17">
    <pivotField showAll="0"/>
    <pivotField numFmtId="14" showAll="0"/>
    <pivotField showAll="0">
      <items count="11">
        <item x="3"/>
        <item x="1"/>
        <item x="2"/>
        <item x="7"/>
        <item x="4"/>
        <item x="6"/>
        <item x="0"/>
        <item x="5"/>
        <item x="9"/>
        <item x="8"/>
        <item t="default"/>
      </items>
    </pivotField>
    <pivotField showAll="0"/>
    <pivotField showAll="0"/>
    <pivotField showAll="0"/>
    <pivotField showAll="0"/>
    <pivotField dataField="1" showAll="0"/>
    <pivotField showAll="0"/>
    <pivotField showAll="0"/>
    <pivotField numFmtId="10" showAll="0"/>
    <pivotField axis="axisRow" showAll="0" sortType="descending">
      <items count="13">
        <item x="0"/>
        <item x="3"/>
        <item x="5"/>
        <item x="7"/>
        <item x="2"/>
        <item x="10"/>
        <item x="1"/>
        <item x="6"/>
        <item x="8"/>
        <item x="11"/>
        <item x="4"/>
        <item x="9"/>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showAll="0"/>
    <pivotField showAll="0"/>
  </pivotFields>
  <rowFields count="1">
    <field x="11"/>
  </rowFields>
  <rowItems count="13">
    <i>
      <x/>
    </i>
    <i>
      <x v="5"/>
    </i>
    <i>
      <x v="7"/>
    </i>
    <i>
      <x v="3"/>
    </i>
    <i>
      <x v="11"/>
    </i>
    <i>
      <x v="6"/>
    </i>
    <i>
      <x v="10"/>
    </i>
    <i>
      <x v="4"/>
    </i>
    <i>
      <x v="9"/>
    </i>
    <i>
      <x v="2"/>
    </i>
    <i>
      <x v="1"/>
    </i>
    <i>
      <x v="8"/>
    </i>
    <i t="grand">
      <x/>
    </i>
  </rowItems>
  <colItems count="1">
    <i/>
  </colItems>
  <dataFields count="1">
    <dataField name="Sum of Total Revenue" fld="7" baseField="0" baseItem="0" numFmtId="2"/>
  </dataFields>
  <formats count="2">
    <format dxfId="10">
      <pivotArea outline="0" collapsedLevelsAreSubtotals="1" fieldPosition="0"/>
    </format>
    <format dxfId="9">
      <pivotArea dataOnly="0" labelOnly="1" outline="0" axis="axisValues" fieldPosition="0"/>
    </format>
  </formats>
  <chartFormats count="1">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B7D5B8-57FC-4488-8E28-E49DAEF435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497" firstHeaderRow="0" firstDataRow="1" firstDataCol="1"/>
  <pivotFields count="17">
    <pivotField showAll="0"/>
    <pivotField numFmtId="14" showAll="0"/>
    <pivotField showAll="0">
      <items count="11">
        <item x="3"/>
        <item x="1"/>
        <item x="2"/>
        <item x="7"/>
        <item x="4"/>
        <item x="6"/>
        <item x="0"/>
        <item x="5"/>
        <item x="9"/>
        <item x="8"/>
        <item t="default"/>
      </items>
    </pivotField>
    <pivotField showAll="0"/>
    <pivotField showAll="0"/>
    <pivotField showAll="0"/>
    <pivotField showAll="0"/>
    <pivotField dataField="1" showAll="0"/>
    <pivotField showAll="0"/>
    <pivotField dataField="1" showAll="0"/>
    <pivotField numFmtId="10" showAll="0"/>
    <pivotField showAll="0"/>
    <pivotField showAll="0"/>
    <pivotField showAll="0"/>
    <pivotField axis="axisRow" showAll="0" sortType="descending">
      <items count="494">
        <item x="153"/>
        <item x="110"/>
        <item x="388"/>
        <item x="237"/>
        <item x="5"/>
        <item x="176"/>
        <item x="303"/>
        <item x="297"/>
        <item x="464"/>
        <item x="227"/>
        <item x="198"/>
        <item x="292"/>
        <item x="299"/>
        <item x="164"/>
        <item x="382"/>
        <item x="451"/>
        <item x="161"/>
        <item x="430"/>
        <item x="360"/>
        <item x="424"/>
        <item x="413"/>
        <item x="106"/>
        <item x="151"/>
        <item x="162"/>
        <item x="193"/>
        <item x="36"/>
        <item x="40"/>
        <item x="165"/>
        <item x="354"/>
        <item x="67"/>
        <item x="287"/>
        <item x="477"/>
        <item x="492"/>
        <item x="338"/>
        <item x="412"/>
        <item x="150"/>
        <item x="302"/>
        <item x="288"/>
        <item x="49"/>
        <item x="211"/>
        <item x="357"/>
        <item x="105"/>
        <item x="43"/>
        <item x="59"/>
        <item x="305"/>
        <item x="11"/>
        <item x="216"/>
        <item x="488"/>
        <item x="260"/>
        <item x="26"/>
        <item x="86"/>
        <item x="215"/>
        <item x="134"/>
        <item x="345"/>
        <item x="421"/>
        <item x="471"/>
        <item x="489"/>
        <item x="381"/>
        <item x="178"/>
        <item x="256"/>
        <item x="433"/>
        <item x="484"/>
        <item x="51"/>
        <item x="60"/>
        <item x="443"/>
        <item x="398"/>
        <item x="120"/>
        <item x="218"/>
        <item x="298"/>
        <item x="9"/>
        <item x="204"/>
        <item x="445"/>
        <item x="324"/>
        <item x="245"/>
        <item x="306"/>
        <item x="361"/>
        <item x="194"/>
        <item x="163"/>
        <item x="184"/>
        <item x="465"/>
        <item x="456"/>
        <item x="417"/>
        <item x="248"/>
        <item x="438"/>
        <item x="35"/>
        <item x="419"/>
        <item x="362"/>
        <item x="440"/>
        <item x="122"/>
        <item x="145"/>
        <item x="397"/>
        <item x="384"/>
        <item x="428"/>
        <item x="85"/>
        <item x="58"/>
        <item x="444"/>
        <item x="209"/>
        <item x="304"/>
        <item x="157"/>
        <item x="138"/>
        <item x="334"/>
        <item x="124"/>
        <item x="226"/>
        <item x="272"/>
        <item x="420"/>
        <item x="117"/>
        <item x="127"/>
        <item x="205"/>
        <item x="310"/>
        <item x="12"/>
        <item x="264"/>
        <item x="371"/>
        <item x="372"/>
        <item x="355"/>
        <item x="415"/>
        <item x="3"/>
        <item x="408"/>
        <item x="41"/>
        <item x="454"/>
        <item x="466"/>
        <item x="425"/>
        <item x="391"/>
        <item x="132"/>
        <item x="269"/>
        <item x="101"/>
        <item x="159"/>
        <item x="169"/>
        <item x="121"/>
        <item x="212"/>
        <item x="79"/>
        <item x="240"/>
        <item x="333"/>
        <item x="491"/>
        <item x="385"/>
        <item x="242"/>
        <item x="88"/>
        <item x="66"/>
        <item x="314"/>
        <item x="100"/>
        <item x="455"/>
        <item x="142"/>
        <item x="257"/>
        <item x="78"/>
        <item x="96"/>
        <item x="458"/>
        <item x="44"/>
        <item x="336"/>
        <item x="370"/>
        <item x="280"/>
        <item x="45"/>
        <item x="17"/>
        <item x="232"/>
        <item x="115"/>
        <item x="337"/>
        <item x="480"/>
        <item x="349"/>
        <item x="90"/>
        <item x="283"/>
        <item x="275"/>
        <item x="253"/>
        <item x="214"/>
        <item x="172"/>
        <item x="149"/>
        <item x="203"/>
        <item x="374"/>
        <item x="252"/>
        <item x="197"/>
        <item x="449"/>
        <item x="65"/>
        <item x="1"/>
        <item x="231"/>
        <item x="143"/>
        <item x="347"/>
        <item x="319"/>
        <item x="442"/>
        <item x="476"/>
        <item x="400"/>
        <item x="386"/>
        <item x="289"/>
        <item x="344"/>
        <item x="147"/>
        <item x="76"/>
        <item x="154"/>
        <item x="277"/>
        <item x="432"/>
        <item x="57"/>
        <item x="201"/>
        <item x="131"/>
        <item x="350"/>
        <item x="255"/>
        <item x="318"/>
        <item x="200"/>
        <item x="392"/>
        <item x="144"/>
        <item x="73"/>
        <item x="202"/>
        <item x="313"/>
        <item x="279"/>
        <item x="224"/>
        <item x="239"/>
        <item x="262"/>
        <item x="325"/>
        <item x="452"/>
        <item x="427"/>
        <item x="448"/>
        <item x="461"/>
        <item x="27"/>
        <item x="331"/>
        <item x="68"/>
        <item x="375"/>
        <item x="409"/>
        <item x="235"/>
        <item x="191"/>
        <item x="139"/>
        <item x="247"/>
        <item x="376"/>
        <item x="14"/>
        <item x="2"/>
        <item x="39"/>
        <item x="140"/>
        <item x="300"/>
        <item x="22"/>
        <item x="123"/>
        <item x="437"/>
        <item x="369"/>
        <item x="236"/>
        <item x="387"/>
        <item x="436"/>
        <item x="196"/>
        <item x="129"/>
        <item x="18"/>
        <item x="195"/>
        <item x="418"/>
        <item x="177"/>
        <item x="75"/>
        <item x="89"/>
        <item x="222"/>
        <item x="431"/>
        <item x="74"/>
        <item x="160"/>
        <item x="453"/>
        <item x="351"/>
        <item x="474"/>
        <item x="268"/>
        <item x="346"/>
        <item x="112"/>
        <item x="321"/>
        <item x="81"/>
        <item x="189"/>
        <item x="233"/>
        <item x="341"/>
        <item x="179"/>
        <item x="396"/>
        <item x="234"/>
        <item x="352"/>
        <item x="261"/>
        <item x="270"/>
        <item x="24"/>
        <item x="103"/>
        <item x="220"/>
        <item x="4"/>
        <item x="284"/>
        <item x="429"/>
        <item x="71"/>
        <item x="251"/>
        <item x="485"/>
        <item x="243"/>
        <item x="339"/>
        <item x="48"/>
        <item x="468"/>
        <item x="63"/>
        <item x="482"/>
        <item x="83"/>
        <item x="343"/>
        <item x="199"/>
        <item x="246"/>
        <item x="328"/>
        <item x="53"/>
        <item x="93"/>
        <item x="64"/>
        <item x="329"/>
        <item x="401"/>
        <item x="206"/>
        <item x="28"/>
        <item x="84"/>
        <item x="21"/>
        <item x="410"/>
        <item x="54"/>
        <item x="389"/>
        <item x="230"/>
        <item x="316"/>
        <item x="125"/>
        <item x="470"/>
        <item x="296"/>
        <item x="42"/>
        <item x="249"/>
        <item x="267"/>
        <item x="182"/>
        <item x="91"/>
        <item x="221"/>
        <item x="175"/>
        <item x="294"/>
        <item x="487"/>
        <item x="16"/>
        <item x="469"/>
        <item x="309"/>
        <item x="34"/>
        <item x="82"/>
        <item x="282"/>
        <item x="368"/>
        <item x="174"/>
        <item x="31"/>
        <item x="32"/>
        <item x="363"/>
        <item x="13"/>
        <item x="136"/>
        <item x="322"/>
        <item x="171"/>
        <item x="192"/>
        <item x="33"/>
        <item x="335"/>
        <item x="403"/>
        <item x="104"/>
        <item x="407"/>
        <item x="404"/>
        <item x="0"/>
        <item x="94"/>
        <item x="155"/>
        <item x="61"/>
        <item x="190"/>
        <item x="259"/>
        <item x="113"/>
        <item x="399"/>
        <item x="367"/>
        <item x="87"/>
        <item x="327"/>
        <item x="426"/>
        <item x="130"/>
        <item x="332"/>
        <item x="483"/>
        <item x="278"/>
        <item x="295"/>
        <item x="320"/>
        <item x="80"/>
        <item x="15"/>
        <item x="312"/>
        <item x="353"/>
        <item x="10"/>
        <item x="187"/>
        <item x="274"/>
        <item x="258"/>
        <item x="128"/>
        <item x="50"/>
        <item x="99"/>
        <item x="8"/>
        <item x="254"/>
        <item x="229"/>
        <item x="307"/>
        <item x="273"/>
        <item x="439"/>
        <item x="228"/>
        <item x="473"/>
        <item x="77"/>
        <item x="97"/>
        <item x="37"/>
        <item x="308"/>
        <item x="422"/>
        <item x="241"/>
        <item x="55"/>
        <item x="111"/>
        <item x="479"/>
        <item x="379"/>
        <item x="98"/>
        <item x="137"/>
        <item x="383"/>
        <item x="434"/>
        <item x="62"/>
        <item x="472"/>
        <item x="435"/>
        <item x="402"/>
        <item x="135"/>
        <item x="405"/>
        <item x="109"/>
        <item x="108"/>
        <item x="126"/>
        <item x="69"/>
        <item x="25"/>
        <item x="23"/>
        <item x="225"/>
        <item x="490"/>
        <item x="148"/>
        <item x="317"/>
        <item x="311"/>
        <item x="188"/>
        <item x="416"/>
        <item x="208"/>
        <item x="481"/>
        <item x="186"/>
        <item x="290"/>
        <item x="447"/>
        <item x="19"/>
        <item x="414"/>
        <item x="7"/>
        <item x="281"/>
        <item x="486"/>
        <item x="166"/>
        <item x="365"/>
        <item x="446"/>
        <item x="380"/>
        <item x="478"/>
        <item x="158"/>
        <item x="6"/>
        <item x="359"/>
        <item x="395"/>
        <item x="366"/>
        <item x="210"/>
        <item x="301"/>
        <item x="441"/>
        <item x="323"/>
        <item x="460"/>
        <item x="156"/>
        <item x="119"/>
        <item x="223"/>
        <item x="181"/>
        <item x="52"/>
        <item x="315"/>
        <item x="46"/>
        <item x="326"/>
        <item x="47"/>
        <item x="217"/>
        <item x="92"/>
        <item x="118"/>
        <item x="358"/>
        <item x="390"/>
        <item x="56"/>
        <item x="170"/>
        <item x="276"/>
        <item x="293"/>
        <item x="219"/>
        <item x="114"/>
        <item x="459"/>
        <item x="285"/>
        <item x="141"/>
        <item x="342"/>
        <item x="266"/>
        <item x="30"/>
        <item x="457"/>
        <item x="463"/>
        <item x="348"/>
        <item x="173"/>
        <item x="373"/>
        <item x="146"/>
        <item x="38"/>
        <item x="213"/>
        <item x="356"/>
        <item x="183"/>
        <item x="107"/>
        <item x="467"/>
        <item x="378"/>
        <item x="238"/>
        <item x="185"/>
        <item x="393"/>
        <item x="475"/>
        <item x="406"/>
        <item x="340"/>
        <item x="462"/>
        <item x="364"/>
        <item x="271"/>
        <item x="265"/>
        <item x="423"/>
        <item x="377"/>
        <item x="168"/>
        <item x="102"/>
        <item x="250"/>
        <item x="207"/>
        <item x="286"/>
        <item x="152"/>
        <item x="116"/>
        <item x="72"/>
        <item x="450"/>
        <item x="20"/>
        <item x="411"/>
        <item x="133"/>
        <item x="167"/>
        <item x="180"/>
        <item x="95"/>
        <item x="29"/>
        <item x="394"/>
        <item x="244"/>
        <item x="330"/>
        <item x="291"/>
        <item x="70"/>
        <item x="263"/>
        <item t="default"/>
      </items>
      <autoSortScope>
        <pivotArea dataOnly="0" outline="0" fieldPosition="0">
          <references count="1">
            <reference field="4294967294" count="1" selected="0">
              <x v="1"/>
            </reference>
          </references>
        </pivotArea>
      </autoSortScope>
    </pivotField>
    <pivotField showAll="0"/>
    <pivotField showAll="0"/>
  </pivotFields>
  <rowFields count="1">
    <field x="14"/>
  </rowFields>
  <rowItems count="494">
    <i>
      <x v="351"/>
    </i>
    <i>
      <x v="232"/>
    </i>
    <i>
      <x v="440"/>
    </i>
    <i>
      <x v="269"/>
    </i>
    <i>
      <x v="357"/>
    </i>
    <i>
      <x v="65"/>
    </i>
    <i>
      <x v="201"/>
    </i>
    <i>
      <x v="481"/>
    </i>
    <i>
      <x v="433"/>
    </i>
    <i>
      <x v="467"/>
    </i>
    <i>
      <x v="39"/>
    </i>
    <i>
      <x v="418"/>
    </i>
    <i>
      <x v="282"/>
    </i>
    <i>
      <x v="308"/>
    </i>
    <i>
      <x v="151"/>
    </i>
    <i>
      <x v="365"/>
    </i>
    <i>
      <x v="335"/>
    </i>
    <i>
      <x v="369"/>
    </i>
    <i>
      <x v="317"/>
    </i>
    <i>
      <x v="449"/>
    </i>
    <i>
      <x v="314"/>
    </i>
    <i>
      <x v="22"/>
    </i>
    <i>
      <x v="414"/>
    </i>
    <i>
      <x v="268"/>
    </i>
    <i>
      <x v="106"/>
    </i>
    <i>
      <x v="31"/>
    </i>
    <i>
      <x v="462"/>
    </i>
    <i>
      <x v="99"/>
    </i>
    <i>
      <x v="102"/>
    </i>
    <i>
      <x v="213"/>
    </i>
    <i>
      <x v="394"/>
    </i>
    <i>
      <x v="3"/>
    </i>
    <i>
      <x v="4"/>
    </i>
    <i>
      <x v="325"/>
    </i>
    <i>
      <x v="347"/>
    </i>
    <i>
      <x v="161"/>
    </i>
    <i>
      <x v="119"/>
    </i>
    <i>
      <x v="283"/>
    </i>
    <i>
      <x v="332"/>
    </i>
    <i>
      <x v="148"/>
    </i>
    <i>
      <x v="78"/>
    </i>
    <i>
      <x v="186"/>
    </i>
    <i>
      <x v="72"/>
    </i>
    <i>
      <x v="226"/>
    </i>
    <i>
      <x v="57"/>
    </i>
    <i>
      <x v="408"/>
    </i>
    <i>
      <x v="305"/>
    </i>
    <i>
      <x v="409"/>
    </i>
    <i>
      <x v="215"/>
    </i>
    <i>
      <x v="28"/>
    </i>
    <i>
      <x v="37"/>
    </i>
    <i>
      <x v="240"/>
    </i>
    <i>
      <x v="435"/>
    </i>
    <i>
      <x v="453"/>
    </i>
    <i>
      <x v="304"/>
    </i>
    <i>
      <x v="471"/>
    </i>
    <i>
      <x v="315"/>
    </i>
    <i>
      <x v="401"/>
    </i>
    <i>
      <x v="162"/>
    </i>
    <i>
      <x v="59"/>
    </i>
    <i>
      <x v="316"/>
    </i>
    <i>
      <x v="367"/>
    </i>
    <i>
      <x v="297"/>
    </i>
    <i>
      <x v="117"/>
    </i>
    <i>
      <x v="134"/>
    </i>
    <i>
      <x v="246"/>
    </i>
    <i>
      <x v="260"/>
    </i>
    <i>
      <x v="379"/>
    </i>
    <i>
      <x v="277"/>
    </i>
    <i>
      <x v="378"/>
    </i>
    <i>
      <x v="337"/>
    </i>
    <i>
      <x v="198"/>
    </i>
    <i>
      <x v="123"/>
    </i>
    <i>
      <x v="217"/>
    </i>
    <i>
      <x v="446"/>
    </i>
    <i>
      <x v="416"/>
    </i>
    <i>
      <x v="474"/>
    </i>
    <i>
      <x v="485"/>
    </i>
    <i>
      <x v="469"/>
    </i>
    <i>
      <x v="155"/>
    </i>
    <i>
      <x v="322"/>
    </i>
    <i>
      <x v="204"/>
    </i>
    <i>
      <x v="141"/>
    </i>
    <i>
      <x v="425"/>
    </i>
    <i>
      <x v="473"/>
    </i>
    <i>
      <x v="443"/>
    </i>
    <i>
      <x v="281"/>
    </i>
    <i>
      <x v="81"/>
    </i>
    <i>
      <x v="242"/>
    </i>
    <i>
      <x v="154"/>
    </i>
    <i>
      <x v="153"/>
    </i>
    <i>
      <x v="29"/>
    </i>
    <i>
      <x v="173"/>
    </i>
    <i>
      <x v="442"/>
    </i>
    <i>
      <x v="387"/>
    </i>
    <i>
      <x v="395"/>
    </i>
    <i>
      <x v="156"/>
    </i>
    <i>
      <x v="103"/>
    </i>
    <i>
      <x v="298"/>
    </i>
    <i>
      <x v="1"/>
    </i>
    <i>
      <x v="195"/>
    </i>
    <i>
      <x v="206"/>
    </i>
    <i>
      <x v="354"/>
    </i>
    <i>
      <x v="410"/>
    </i>
    <i>
      <x v="178"/>
    </i>
    <i>
      <x v="44"/>
    </i>
    <i>
      <x v="170"/>
    </i>
    <i>
      <x v="490"/>
    </i>
    <i>
      <x v="105"/>
    </i>
    <i>
      <x v="190"/>
    </i>
    <i>
      <x v="430"/>
    </i>
    <i>
      <x v="121"/>
    </i>
    <i>
      <x v="352"/>
    </i>
    <i>
      <x v="366"/>
    </i>
    <i>
      <x v="109"/>
    </i>
    <i>
      <x v="258"/>
    </i>
    <i>
      <x v="218"/>
    </i>
    <i>
      <x v="437"/>
    </i>
    <i>
      <x v="176"/>
    </i>
    <i>
      <x v="87"/>
    </i>
    <i>
      <x v="94"/>
    </i>
    <i>
      <x v="248"/>
    </i>
    <i>
      <x v="157"/>
    </i>
    <i>
      <x v="230"/>
    </i>
    <i>
      <x v="223"/>
    </i>
    <i>
      <x v="327"/>
    </i>
    <i>
      <x v="82"/>
    </i>
    <i>
      <x v="432"/>
    </i>
    <i>
      <x v="17"/>
    </i>
    <i>
      <x v="243"/>
    </i>
    <i>
      <x v="438"/>
    </i>
    <i>
      <x v="262"/>
    </i>
    <i>
      <x v="256"/>
    </i>
    <i>
      <x v="127"/>
    </i>
    <i>
      <x v="477"/>
    </i>
    <i>
      <x v="331"/>
    </i>
    <i>
      <x v="66"/>
    </i>
    <i>
      <x v="427"/>
    </i>
    <i>
      <x v="188"/>
    </i>
    <i>
      <x v="371"/>
    </i>
    <i>
      <x v="392"/>
    </i>
    <i>
      <x v="320"/>
    </i>
    <i>
      <x v="247"/>
    </i>
    <i>
      <x v="90"/>
    </i>
    <i>
      <x v="112"/>
    </i>
    <i>
      <x v="417"/>
    </i>
    <i>
      <x v="407"/>
    </i>
    <i>
      <x v="158"/>
    </i>
    <i>
      <x v="458"/>
    </i>
    <i>
      <x v="200"/>
    </i>
    <i>
      <x v="398"/>
    </i>
    <i>
      <x v="270"/>
    </i>
    <i>
      <x v="415"/>
    </i>
    <i>
      <x v="279"/>
    </i>
    <i>
      <x v="286"/>
    </i>
    <i>
      <x v="439"/>
    </i>
    <i>
      <x v="83"/>
    </i>
    <i>
      <x v="428"/>
    </i>
    <i>
      <x v="42"/>
    </i>
    <i>
      <x v="118"/>
    </i>
    <i>
      <x v="355"/>
    </i>
    <i>
      <x v="27"/>
    </i>
    <i>
      <x v="381"/>
    </i>
    <i>
      <x v="150"/>
    </i>
    <i>
      <x v="168"/>
    </i>
    <i>
      <x v="403"/>
    </i>
    <i>
      <x v="101"/>
    </i>
    <i>
      <x v="11"/>
    </i>
    <i>
      <x v="229"/>
    </i>
    <i>
      <x v="100"/>
    </i>
    <i>
      <x v="38"/>
    </i>
    <i>
      <x v="192"/>
    </i>
    <i>
      <x v="10"/>
    </i>
    <i>
      <x v="219"/>
    </i>
    <i>
      <x v="197"/>
    </i>
    <i>
      <x v="205"/>
    </i>
    <i>
      <x v="489"/>
    </i>
    <i>
      <x v="63"/>
    </i>
    <i>
      <x v="452"/>
    </i>
    <i>
      <x v="2"/>
    </i>
    <i>
      <x v="126"/>
    </i>
    <i>
      <x v="307"/>
    </i>
    <i>
      <x v="349"/>
    </i>
    <i>
      <x v="346"/>
    </i>
    <i>
      <x v="116"/>
    </i>
    <i>
      <x v="60"/>
    </i>
    <i>
      <x v="133"/>
    </i>
    <i>
      <x v="375"/>
    </i>
    <i>
      <x v="7"/>
    </i>
    <i>
      <x v="356"/>
    </i>
    <i>
      <x v="96"/>
    </i>
    <i>
      <x v="261"/>
    </i>
    <i>
      <x v="444"/>
    </i>
    <i>
      <x v="280"/>
    </i>
    <i>
      <x v="241"/>
    </i>
    <i>
      <x v="372"/>
    </i>
    <i>
      <x v="86"/>
    </i>
    <i>
      <x v="30"/>
    </i>
    <i>
      <x v="203"/>
    </i>
    <i>
      <x v="70"/>
    </i>
    <i>
      <x v="34"/>
    </i>
    <i>
      <x v="326"/>
    </i>
    <i>
      <x v="295"/>
    </i>
    <i>
      <x v="385"/>
    </i>
    <i>
      <x v="293"/>
    </i>
    <i>
      <x v="358"/>
    </i>
    <i>
      <x v="384"/>
    </i>
    <i>
      <x v="61"/>
    </i>
    <i>
      <x v="447"/>
    </i>
    <i>
      <x v="175"/>
    </i>
    <i>
      <x v="412"/>
    </i>
    <i>
      <x v="196"/>
    </i>
    <i>
      <x v="179"/>
    </i>
    <i>
      <x v="172"/>
    </i>
    <i>
      <x v="54"/>
    </i>
    <i>
      <x v="274"/>
    </i>
    <i>
      <x v="171"/>
    </i>
    <i>
      <x v="115"/>
    </i>
    <i>
      <x v="180"/>
    </i>
    <i>
      <x v="338"/>
    </i>
    <i>
      <x v="46"/>
    </i>
    <i>
      <x v="129"/>
    </i>
    <i>
      <x v="67"/>
    </i>
    <i>
      <x v="220"/>
    </i>
    <i>
      <x v="285"/>
    </i>
    <i>
      <x v="330"/>
    </i>
    <i>
      <x v="377"/>
    </i>
    <i>
      <x v="292"/>
    </i>
    <i>
      <x v="361"/>
    </i>
    <i>
      <x v="135"/>
    </i>
    <i>
      <x v="139"/>
    </i>
    <i>
      <x v="76"/>
    </i>
    <i>
      <x v="41"/>
    </i>
    <i>
      <x v="463"/>
    </i>
    <i>
      <x v="136"/>
    </i>
    <i>
      <x v="166"/>
    </i>
    <i>
      <x v="460"/>
    </i>
    <i>
      <x v="40"/>
    </i>
    <i>
      <x v="184"/>
    </i>
    <i>
      <x v="480"/>
    </i>
    <i>
      <x v="79"/>
    </i>
    <i>
      <x v="466"/>
    </i>
    <i>
      <x v="169"/>
    </i>
    <i>
      <x v="492"/>
    </i>
    <i>
      <x v="391"/>
    </i>
    <i>
      <x v="235"/>
    </i>
    <i>
      <x v="23"/>
    </i>
    <i>
      <x v="342"/>
    </i>
    <i>
      <x v="406"/>
    </i>
    <i>
      <x v="177"/>
    </i>
    <i>
      <x v="74"/>
    </i>
    <i>
      <x v="189"/>
    </i>
    <i>
      <x v="426"/>
    </i>
    <i>
      <x v="68"/>
    </i>
    <i>
      <x v="212"/>
    </i>
    <i>
      <x v="252"/>
    </i>
    <i>
      <x v="236"/>
    </i>
    <i>
      <x v="80"/>
    </i>
    <i>
      <x v="278"/>
    </i>
    <i>
      <x v="228"/>
    </i>
    <i>
      <x v="451"/>
    </i>
    <i>
      <x v="287"/>
    </i>
    <i>
      <x v="472"/>
    </i>
    <i>
      <x v="58"/>
    </i>
    <i>
      <x v="318"/>
    </i>
    <i>
      <x v="93"/>
    </i>
    <i>
      <x v="436"/>
    </i>
    <i>
      <x v="400"/>
    </i>
    <i>
      <x v="227"/>
    </i>
    <i>
      <x v="434"/>
    </i>
    <i>
      <x v="257"/>
    </i>
    <i>
      <x v="422"/>
    </i>
    <i>
      <x v="470"/>
    </i>
    <i>
      <x v="259"/>
    </i>
    <i>
      <x v="45"/>
    </i>
    <i>
      <x v="373"/>
    </i>
    <i>
      <x v="476"/>
    </i>
    <i>
      <x v="25"/>
    </i>
    <i>
      <x v="441"/>
    </i>
    <i>
      <x v="421"/>
    </i>
    <i>
      <x v="306"/>
    </i>
    <i>
      <x v="254"/>
    </i>
    <i>
      <x v="211"/>
    </i>
    <i>
      <x v="110"/>
    </i>
    <i>
      <x v="181"/>
    </i>
    <i>
      <x v="251"/>
    </i>
    <i>
      <x v="455"/>
    </i>
    <i>
      <x v="289"/>
    </i>
    <i>
      <x v="5"/>
    </i>
    <i>
      <x v="191"/>
    </i>
    <i>
      <x v="214"/>
    </i>
    <i>
      <x v="239"/>
    </i>
    <i>
      <x v="389"/>
    </i>
    <i>
      <x v="479"/>
    </i>
    <i>
      <x v="431"/>
    </i>
    <i>
      <x v="450"/>
    </i>
    <i>
      <x v="380"/>
    </i>
    <i>
      <x v="376"/>
    </i>
    <i>
      <x v="321"/>
    </i>
    <i>
      <x v="216"/>
    </i>
    <i>
      <x v="132"/>
    </i>
    <i>
      <x v="364"/>
    </i>
    <i>
      <x v="131"/>
    </i>
    <i>
      <x v="334"/>
    </i>
    <i>
      <x v="276"/>
    </i>
    <i>
      <x v="209"/>
    </i>
    <i>
      <x v="122"/>
    </i>
    <i>
      <x v="12"/>
    </i>
    <i>
      <x v="47"/>
    </i>
    <i>
      <x v="62"/>
    </i>
    <i>
      <x v="399"/>
    </i>
    <i>
      <x v="323"/>
    </i>
    <i>
      <x v="310"/>
    </i>
    <i>
      <x v="461"/>
    </i>
    <i>
      <x v="423"/>
    </i>
    <i>
      <x v="36"/>
    </i>
    <i>
      <x v="300"/>
    </i>
    <i>
      <x v="309"/>
    </i>
    <i>
      <x v="343"/>
    </i>
    <i>
      <x v="19"/>
    </i>
    <i>
      <x v="128"/>
    </i>
    <i>
      <x v="9"/>
    </i>
    <i>
      <x v="424"/>
    </i>
    <i>
      <x v="244"/>
    </i>
    <i>
      <x v="253"/>
    </i>
    <i>
      <x v="92"/>
    </i>
    <i>
      <x v="222"/>
    </i>
    <i>
      <x v="13"/>
    </i>
    <i>
      <x v="457"/>
    </i>
    <i>
      <x v="6"/>
    </i>
    <i>
      <x v="245"/>
    </i>
    <i>
      <x v="124"/>
    </i>
    <i>
      <x v="486"/>
    </i>
    <i>
      <x v="266"/>
    </i>
    <i>
      <x v="491"/>
    </i>
    <i>
      <x v="397"/>
    </i>
    <i>
      <x v="363"/>
    </i>
    <i>
      <x v="359"/>
    </i>
    <i>
      <x v="238"/>
    </i>
    <i>
      <x v="104"/>
    </i>
    <i>
      <x v="165"/>
    </i>
    <i>
      <x v="114"/>
    </i>
    <i>
      <x v="454"/>
    </i>
    <i>
      <x v="362"/>
    </i>
    <i>
      <x v="487"/>
    </i>
    <i>
      <x v="120"/>
    </i>
    <i>
      <x v="273"/>
    </i>
    <i>
      <x v="231"/>
    </i>
    <i>
      <x v="35"/>
    </i>
    <i>
      <x v="328"/>
    </i>
    <i>
      <x v="345"/>
    </i>
    <i>
      <x v="265"/>
    </i>
    <i>
      <x v="301"/>
    </i>
    <i>
      <x v="174"/>
    </i>
    <i>
      <x v="296"/>
    </i>
    <i>
      <x v="73"/>
    </i>
    <i>
      <x v="208"/>
    </i>
    <i>
      <x v="53"/>
    </i>
    <i>
      <x v="250"/>
    </i>
    <i>
      <x v="49"/>
    </i>
    <i>
      <x v="21"/>
    </i>
    <i>
      <x v="459"/>
    </i>
    <i>
      <x v="419"/>
    </i>
    <i>
      <x v="336"/>
    </i>
    <i>
      <x v="199"/>
    </i>
    <i>
      <x v="20"/>
    </i>
    <i>
      <x v="113"/>
    </i>
    <i>
      <x v="18"/>
    </i>
    <i>
      <x v="32"/>
    </i>
    <i>
      <x v="475"/>
    </i>
    <i>
      <x v="402"/>
    </i>
    <i>
      <x v="482"/>
    </i>
    <i>
      <x v="311"/>
    </i>
    <i>
      <x v="142"/>
    </i>
    <i>
      <x v="340"/>
    </i>
    <i>
      <x v="339"/>
    </i>
    <i>
      <x v="393"/>
    </i>
    <i>
      <x v="14"/>
    </i>
    <i>
      <x v="396"/>
    </i>
    <i>
      <x v="302"/>
    </i>
    <i>
      <x v="56"/>
    </i>
    <i>
      <x v="275"/>
    </i>
    <i>
      <x v="159"/>
    </i>
    <i>
      <x v="411"/>
    </i>
    <i>
      <x v="221"/>
    </i>
    <i>
      <x v="456"/>
    </i>
    <i>
      <x v="271"/>
    </i>
    <i>
      <x v="50"/>
    </i>
    <i>
      <x v="272"/>
    </i>
    <i>
      <x v="267"/>
    </i>
    <i>
      <x v="138"/>
    </i>
    <i>
      <x v="234"/>
    </i>
    <i>
      <x v="107"/>
    </i>
    <i>
      <x v="52"/>
    </i>
    <i>
      <x v="88"/>
    </i>
    <i>
      <x v="429"/>
    </i>
    <i>
      <x v="448"/>
    </i>
    <i>
      <x v="405"/>
    </i>
    <i>
      <x v="255"/>
    </i>
    <i>
      <x v="160"/>
    </i>
    <i>
      <x v="404"/>
    </i>
    <i>
      <x v="313"/>
    </i>
    <i>
      <x v="51"/>
    </i>
    <i>
      <x v="144"/>
    </i>
    <i>
      <x v="329"/>
    </i>
    <i>
      <x v="224"/>
    </i>
    <i>
      <x v="145"/>
    </i>
    <i>
      <x v="152"/>
    </i>
    <i>
      <x v="43"/>
    </i>
    <i>
      <x v="146"/>
    </i>
    <i>
      <x v="312"/>
    </i>
    <i>
      <x v="48"/>
    </i>
    <i>
      <x v="207"/>
    </i>
    <i>
      <x v="464"/>
    </i>
    <i>
      <x v="237"/>
    </i>
    <i>
      <x v="299"/>
    </i>
    <i>
      <x v="130"/>
    </i>
    <i>
      <x v="91"/>
    </i>
    <i>
      <x v="26"/>
    </i>
    <i>
      <x v="98"/>
    </i>
    <i>
      <x v="284"/>
    </i>
    <i>
      <x v="290"/>
    </i>
    <i>
      <x v="187"/>
    </i>
    <i>
      <x v="344"/>
    </i>
    <i>
      <x v="163"/>
    </i>
    <i>
      <x v="167"/>
    </i>
    <i>
      <x v="291"/>
    </i>
    <i>
      <x v="288"/>
    </i>
    <i>
      <x v="413"/>
    </i>
    <i>
      <x v="483"/>
    </i>
    <i>
      <x/>
    </i>
    <i>
      <x v="71"/>
    </i>
    <i>
      <x v="16"/>
    </i>
    <i>
      <x v="185"/>
    </i>
    <i>
      <x v="64"/>
    </i>
    <i>
      <x v="85"/>
    </i>
    <i>
      <x v="386"/>
    </i>
    <i>
      <x v="370"/>
    </i>
    <i>
      <x v="249"/>
    </i>
    <i>
      <x v="193"/>
    </i>
    <i>
      <x v="210"/>
    </i>
    <i>
      <x v="111"/>
    </i>
    <i>
      <x v="69"/>
    </i>
    <i>
      <x v="488"/>
    </i>
    <i>
      <x v="390"/>
    </i>
    <i>
      <x v="478"/>
    </i>
    <i>
      <x v="75"/>
    </i>
    <i>
      <x v="324"/>
    </i>
    <i>
      <x v="382"/>
    </i>
    <i>
      <x v="202"/>
    </i>
    <i>
      <x v="164"/>
    </i>
    <i>
      <x v="319"/>
    </i>
    <i>
      <x v="341"/>
    </i>
    <i>
      <x v="77"/>
    </i>
    <i>
      <x v="465"/>
    </i>
    <i>
      <x v="8"/>
    </i>
    <i>
      <x v="182"/>
    </i>
    <i>
      <x v="137"/>
    </i>
    <i>
      <x v="348"/>
    </i>
    <i>
      <x v="368"/>
    </i>
    <i>
      <x v="445"/>
    </i>
    <i>
      <x v="33"/>
    </i>
    <i>
      <x v="97"/>
    </i>
    <i>
      <x v="420"/>
    </i>
    <i>
      <x v="388"/>
    </i>
    <i>
      <x v="24"/>
    </i>
    <i>
      <x v="353"/>
    </i>
    <i>
      <x v="303"/>
    </i>
    <i>
      <x v="294"/>
    </i>
    <i>
      <x v="149"/>
    </i>
    <i>
      <x v="333"/>
    </i>
    <i>
      <x v="383"/>
    </i>
    <i>
      <x v="360"/>
    </i>
    <i>
      <x v="350"/>
    </i>
    <i>
      <x v="374"/>
    </i>
    <i>
      <x v="125"/>
    </i>
    <i>
      <x v="140"/>
    </i>
    <i>
      <x v="264"/>
    </i>
    <i>
      <x v="225"/>
    </i>
    <i>
      <x v="183"/>
    </i>
    <i>
      <x v="143"/>
    </i>
    <i>
      <x v="108"/>
    </i>
    <i>
      <x v="15"/>
    </i>
    <i>
      <x v="468"/>
    </i>
    <i>
      <x v="95"/>
    </i>
    <i>
      <x v="55"/>
    </i>
    <i>
      <x v="263"/>
    </i>
    <i>
      <x v="89"/>
    </i>
    <i>
      <x v="484"/>
    </i>
    <i>
      <x v="147"/>
    </i>
    <i>
      <x v="233"/>
    </i>
    <i>
      <x v="84"/>
    </i>
    <i>
      <x v="194"/>
    </i>
    <i t="grand">
      <x/>
    </i>
  </rowItems>
  <colFields count="1">
    <field x="-2"/>
  </colFields>
  <colItems count="2">
    <i>
      <x/>
    </i>
    <i i="1">
      <x v="1"/>
    </i>
  </colItems>
  <dataFields count="2">
    <dataField name="Sum of Total Revenue" fld="7" baseField="0" baseItem="0"/>
    <dataField name="Sum of Profit" fld="9" baseField="0" baseItem="0"/>
  </dataFields>
  <chartFormats count="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928F6-B89A-4ECB-AE65-4698CBED7F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C8" firstHeaderRow="0" firstDataRow="1" firstDataCol="1"/>
  <pivotFields count="17">
    <pivotField showAll="0"/>
    <pivotField numFmtId="14" showAll="0"/>
    <pivotField showAll="0">
      <items count="11">
        <item x="3"/>
        <item x="1"/>
        <item x="2"/>
        <item x="7"/>
        <item x="4"/>
        <item x="6"/>
        <item x="0"/>
        <item x="5"/>
        <item x="9"/>
        <item x="8"/>
        <item t="default"/>
      </items>
    </pivotField>
    <pivotField showAll="0"/>
    <pivotField showAll="0"/>
    <pivotField showAll="0"/>
    <pivotField showAll="0"/>
    <pivotField dataField="1" showAll="0"/>
    <pivotField showAll="0"/>
    <pivotField dataField="1" showAll="0"/>
    <pivotField numFmtId="10" showAll="0"/>
    <pivotField showAll="0">
      <items count="13">
        <item x="0"/>
        <item x="3"/>
        <item x="5"/>
        <item x="7"/>
        <item x="2"/>
        <item x="10"/>
        <item x="1"/>
        <item x="6"/>
        <item x="8"/>
        <item x="11"/>
        <item x="4"/>
        <item x="9"/>
        <item t="default"/>
      </items>
    </pivotField>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s>
  <rowFields count="1">
    <field x="16"/>
  </rowFields>
  <rowItems count="5">
    <i>
      <x v="1"/>
    </i>
    <i>
      <x v="2"/>
    </i>
    <i>
      <x v="3"/>
    </i>
    <i>
      <x/>
    </i>
    <i t="grand">
      <x/>
    </i>
  </rowItems>
  <colFields count="1">
    <field x="-2"/>
  </colFields>
  <colItems count="2">
    <i>
      <x/>
    </i>
    <i i="1">
      <x v="1"/>
    </i>
  </colItems>
  <dataFields count="2">
    <dataField name="Sum of Profit" fld="9" baseField="0" baseItem="0"/>
    <dataField name="Sum of Total Revenue" fld="7" baseField="0" baseItem="0"/>
  </dataFields>
  <formats count="1">
    <format dxfId="8">
      <pivotArea collapsedLevelsAreSubtotals="1" fieldPosition="0">
        <references count="2">
          <reference field="4294967294" count="1" selected="0">
            <x v="1"/>
          </reference>
          <reference field="16" count="1">
            <x v="1"/>
          </reference>
        </references>
      </pivotArea>
    </format>
  </formats>
  <chartFormats count="2">
    <chartFormat chart="49" format="4"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8208DD-C20A-4511-BEA3-93ACFB0058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C10" firstHeaderRow="0" firstDataRow="1" firstDataCol="1"/>
  <pivotFields count="17">
    <pivotField showAll="0"/>
    <pivotField numFmtId="14" showAll="0"/>
    <pivotField showAll="0">
      <items count="11">
        <item x="3"/>
        <item x="1"/>
        <item x="2"/>
        <item x="7"/>
        <item x="4"/>
        <item x="6"/>
        <item x="0"/>
        <item x="5"/>
        <item x="9"/>
        <item x="8"/>
        <item t="default"/>
      </items>
    </pivotField>
    <pivotField axis="axisRow" showAll="0" sortType="descending">
      <items count="7">
        <item x="1"/>
        <item x="2"/>
        <item x="0"/>
        <item x="4"/>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numFmtId="10" showAll="0"/>
    <pivotField showAll="0"/>
    <pivotField showAll="0"/>
    <pivotField showAll="0"/>
    <pivotField showAll="0"/>
    <pivotField showAll="0"/>
    <pivotField showAll="0"/>
  </pivotFields>
  <rowFields count="1">
    <field x="3"/>
  </rowFields>
  <rowItems count="7">
    <i>
      <x v="2"/>
    </i>
    <i>
      <x v="5"/>
    </i>
    <i>
      <x v="1"/>
    </i>
    <i>
      <x/>
    </i>
    <i>
      <x v="4"/>
    </i>
    <i>
      <x v="3"/>
    </i>
    <i t="grand">
      <x/>
    </i>
  </rowItems>
  <colFields count="1">
    <field x="-2"/>
  </colFields>
  <colItems count="2">
    <i>
      <x/>
    </i>
    <i i="1">
      <x v="1"/>
    </i>
  </colItems>
  <dataFields count="2">
    <dataField name="Sum of Total Revenue" fld="7" baseField="0" baseItem="0"/>
    <dataField name="Sum of Profit" fld="9" baseField="0" baseItem="0"/>
  </dataFields>
  <chartFormats count="2">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9E1EF0-886F-4827-8459-2CBBF4BEF568}" sourceName="Month">
  <pivotTables>
    <pivotTable tabId="5" name="PivotTable5"/>
  </pivotTables>
  <data>
    <tabular pivotCacheId="169027488">
      <items count="12">
        <i x="0" s="1"/>
        <i x="3" s="1"/>
        <i x="5" s="1"/>
        <i x="7" s="1"/>
        <i x="2" s="1"/>
        <i x="10" s="1"/>
        <i x="1" s="1"/>
        <i x="6" s="1"/>
        <i x="8" s="1"/>
        <i x="1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8FDAC76-89F7-4FDC-BBF0-D74A76EC4A5E}" sourceName="Product">
  <pivotTables>
    <pivotTable tabId="2" name="PivotTable2"/>
    <pivotTable tabId="5" name="PivotTable5"/>
    <pivotTable tabId="3" name="PivotTable3"/>
    <pivotTable tabId="6" name="PivotTable6"/>
    <pivotTable tabId="4" name="PivotTable4"/>
  </pivotTables>
  <data>
    <tabular pivotCacheId="169027488">
      <items count="10">
        <i x="3" s="1"/>
        <i x="1" s="1"/>
        <i x="2" s="1"/>
        <i x="7" s="1"/>
        <i x="4" s="1"/>
        <i x="6" s="1"/>
        <i x="0" s="1"/>
        <i x="5" s="1"/>
        <i x="9"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EA2F5D1-59AB-4A59-90F4-A35E29758ABF}" sourceName="Month">
  <pivotTables>
    <pivotTable tabId="2" name="PivotTable2"/>
  </pivotTables>
  <data>
    <tabular pivotCacheId="169027488">
      <items count="12">
        <i x="0" s="1"/>
        <i x="3" s="1"/>
        <i x="5" s="1"/>
        <i x="7" s="1"/>
        <i x="2" s="1"/>
        <i x="10" s="1"/>
        <i x="1" s="1"/>
        <i x="6" s="1"/>
        <i x="8" s="1"/>
        <i x="11" s="1"/>
        <i x="4"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2646592-C6C6-4882-A09A-B72A5AA8C2FE}" sourceName="Branch">
  <pivotTables>
    <pivotTable tabId="2" name="PivotTable2"/>
  </pivotTables>
  <data>
    <tabular pivotCacheId="169027488">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C2A03AB-A975-4AAB-A88E-0666ECE50172}" cache="Slicer_Month" caption="Month" style="SlicerStyleLight6" rowHeight="241300"/>
  <slicer name="Product" xr10:uid="{C51E1880-8F4F-4A12-BC96-B667AAF95FEB}"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8076FAC-DFFB-42D2-A726-38122E32E63C}" cache="Slicer_Product1" caption="Product" startItem="3" style="SlicerStyleLight2" rowHeight="241300"/>
  <slicer name="Month 1" xr10:uid="{1EE00C9F-77A9-4837-85D7-16F329FCAE9F}" cache="Slicer_Month1" caption="Month" startItem="5" rowHeight="241300"/>
  <slicer name="Branch" xr10:uid="{4409091B-D312-45B9-80ED-1EB428195B9E}" cache="Slicer_Branch" caption="Branch"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EEC57-541F-4898-800B-2550AAC63FA8}" name="SalesData" displayName="SalesData" ref="A1:Q2001" totalsRowShown="0" headerRowDxfId="7" headerRowBorderDxfId="6" tableBorderDxfId="5">
  <autoFilter ref="A1:Q2001" xr:uid="{8DFEEC57-541F-4898-800B-2550AAC63FA8}"/>
  <sortState xmlns:xlrd2="http://schemas.microsoft.com/office/spreadsheetml/2017/richdata2" ref="A2:Q2001">
    <sortCondition descending="1" ref="M1:M2001"/>
  </sortState>
  <tableColumns count="17">
    <tableColumn id="1" xr3:uid="{A8C021E2-444A-4EF6-887D-773597E004D8}" name="OrderID"/>
    <tableColumn id="2" xr3:uid="{D869D347-D704-463E-AB4C-284D91D54680}" name="Date" dataDxfId="4"/>
    <tableColumn id="3" xr3:uid="{9BF18B7C-A0EB-4E43-B7AE-5C18AD886144}" name="Product"/>
    <tableColumn id="4" xr3:uid="{A6FF12CD-EDCB-45B0-A016-1B8BE98DE86D}" name="Category"/>
    <tableColumn id="5" xr3:uid="{648478BC-EF47-4AE2-A8AA-9EB93232DC45}" name="Unit Price" dataCellStyle="Comma"/>
    <tableColumn id="6" xr3:uid="{1BB2B949-4071-4710-8D6B-8FB49FC70121}" name="Quantity"/>
    <tableColumn id="7" xr3:uid="{9AFCAC19-B3C9-4012-93B0-32F96ED0F378}" name="Discount"/>
    <tableColumn id="8" xr3:uid="{3D4969F8-1327-45DF-844B-049C428AF2CA}" name="Total Revenue" dataCellStyle="Comma"/>
    <tableColumn id="9" xr3:uid="{04573394-AEDD-4DD4-808C-54C5F9B01D79}" name="Cost Price"/>
    <tableColumn id="10" xr3:uid="{82BE3F0B-4C69-4892-9B21-A1CBEC3471EA}" name="Profit"/>
    <tableColumn id="17" xr3:uid="{0D3F585E-6FC2-4211-B879-DB356749CBE3}" name="Profit Margin (%)" dataDxfId="3">
      <calculatedColumnFormula>IF(SalesData[[#This Row],[Total Revenue]]=0,0,SalesData[[#This Row],[Profit]]/SalesData[[#This Row],[Total Revenue]])</calculatedColumnFormula>
    </tableColumn>
    <tableColumn id="18" xr3:uid="{115FD1B1-BF43-4218-8B1F-BC98AB9B63AC}" name="Month" dataDxfId="2">
      <calculatedColumnFormula>TEXT(SalesData[[#This Row],[Date]],"mmm")</calculatedColumnFormula>
    </tableColumn>
    <tableColumn id="19" xr3:uid="{9C714E15-B357-4D5B-B510-480BDA44E3F5}" name="Year" dataDxfId="1">
      <calculatedColumnFormula>YEAR(SalesData[[#This Row],[Date]])</calculatedColumnFormula>
    </tableColumn>
    <tableColumn id="20" xr3:uid="{295B2638-E410-41E3-9CF1-FEF7B4834C27}" name="Week Number" dataDxfId="0">
      <calculatedColumnFormula>WEEKNUM(SalesData[[#This Row],[Date]])</calculatedColumnFormula>
    </tableColumn>
    <tableColumn id="11" xr3:uid="{A3D87D32-1E00-4BAC-BD7A-CAC3FA685233}" name="Customer Name"/>
    <tableColumn id="12" xr3:uid="{EC84AE4C-1F4D-4CBD-B748-E92CE5466E15}" name="Customer Segment"/>
    <tableColumn id="13" xr3:uid="{1E824C93-62AD-4621-BF40-A274CAD449F3}" name="Branch"/>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15EB-2AE8-448C-BBBD-BEDFE01B5B77}">
  <dimension ref="A3:D14"/>
  <sheetViews>
    <sheetView workbookViewId="0">
      <selection activeCell="D13" sqref="D13"/>
    </sheetView>
  </sheetViews>
  <sheetFormatPr defaultRowHeight="14.5" x14ac:dyDescent="0.35"/>
  <cols>
    <col min="1" max="1" width="12.54296875" bestFit="1" customWidth="1"/>
    <col min="2" max="2" width="11.81640625" style="8" bestFit="1" customWidth="1"/>
    <col min="3" max="3" width="19.1796875" style="8" bestFit="1" customWidth="1"/>
    <col min="4" max="4" width="14.54296875" style="8" bestFit="1" customWidth="1"/>
  </cols>
  <sheetData>
    <row r="3" spans="1:4" x14ac:dyDescent="0.35">
      <c r="A3" s="6" t="s">
        <v>2532</v>
      </c>
      <c r="B3" s="14" t="s">
        <v>2533</v>
      </c>
      <c r="C3" s="14" t="s">
        <v>2535</v>
      </c>
      <c r="D3" s="14" t="s">
        <v>2536</v>
      </c>
    </row>
    <row r="4" spans="1:4" x14ac:dyDescent="0.35">
      <c r="A4" s="7" t="s">
        <v>2015</v>
      </c>
      <c r="B4" s="14">
        <v>1070639.7</v>
      </c>
      <c r="C4" s="14">
        <v>3405439.0500000007</v>
      </c>
      <c r="D4" s="14">
        <v>1302</v>
      </c>
    </row>
    <row r="5" spans="1:4" x14ac:dyDescent="0.35">
      <c r="A5" s="7" t="s">
        <v>2020</v>
      </c>
      <c r="B5" s="14">
        <v>948366.07000000007</v>
      </c>
      <c r="C5" s="14">
        <v>3116020.5</v>
      </c>
      <c r="D5" s="14">
        <v>1143</v>
      </c>
    </row>
    <row r="6" spans="1:4" x14ac:dyDescent="0.35">
      <c r="A6" s="7" t="s">
        <v>2016</v>
      </c>
      <c r="B6" s="14">
        <v>901419.69000000006</v>
      </c>
      <c r="C6" s="14">
        <v>3040681.5499999993</v>
      </c>
      <c r="D6" s="14">
        <v>1106</v>
      </c>
    </row>
    <row r="7" spans="1:4" x14ac:dyDescent="0.35">
      <c r="A7" s="7" t="s">
        <v>2014</v>
      </c>
      <c r="B7" s="14">
        <v>902812.37000000034</v>
      </c>
      <c r="C7" s="14">
        <v>3008965.9499999997</v>
      </c>
      <c r="D7" s="14">
        <v>1090</v>
      </c>
    </row>
    <row r="8" spans="1:4" x14ac:dyDescent="0.35">
      <c r="A8" s="7" t="s">
        <v>2013</v>
      </c>
      <c r="B8" s="14">
        <v>937308.30999999994</v>
      </c>
      <c r="C8" s="14">
        <v>2978521.8999999994</v>
      </c>
      <c r="D8" s="14">
        <v>1147</v>
      </c>
    </row>
    <row r="9" spans="1:4" x14ac:dyDescent="0.35">
      <c r="A9" s="7" t="s">
        <v>2018</v>
      </c>
      <c r="B9" s="14">
        <v>866557.17000000027</v>
      </c>
      <c r="C9" s="14">
        <v>2884248.9999999995</v>
      </c>
      <c r="D9" s="14">
        <v>1093</v>
      </c>
    </row>
    <row r="10" spans="1:4" x14ac:dyDescent="0.35">
      <c r="A10" s="7" t="s">
        <v>2019</v>
      </c>
      <c r="B10" s="14">
        <v>812065.07999999973</v>
      </c>
      <c r="C10" s="14">
        <v>2807474.5500000003</v>
      </c>
      <c r="D10" s="14">
        <v>1092</v>
      </c>
    </row>
    <row r="11" spans="1:4" x14ac:dyDescent="0.35">
      <c r="A11" s="7" t="s">
        <v>2017</v>
      </c>
      <c r="B11" s="14">
        <v>828231.88999999966</v>
      </c>
      <c r="C11" s="14">
        <v>2741364.6999999997</v>
      </c>
      <c r="D11" s="14">
        <v>1055</v>
      </c>
    </row>
    <row r="12" spans="1:4" x14ac:dyDescent="0.35">
      <c r="A12" s="7" t="s">
        <v>2022</v>
      </c>
      <c r="B12" s="14">
        <v>799021.60000000021</v>
      </c>
      <c r="C12" s="14">
        <v>2665543.2999999993</v>
      </c>
      <c r="D12" s="14">
        <v>964</v>
      </c>
    </row>
    <row r="13" spans="1:4" x14ac:dyDescent="0.35">
      <c r="A13" s="7" t="s">
        <v>2021</v>
      </c>
      <c r="B13" s="14">
        <v>617447.62999999989</v>
      </c>
      <c r="C13" s="14">
        <v>2229606.5499999998</v>
      </c>
      <c r="D13" s="14">
        <v>798</v>
      </c>
    </row>
    <row r="14" spans="1:4" x14ac:dyDescent="0.35">
      <c r="A14" s="7" t="s">
        <v>2534</v>
      </c>
      <c r="B14" s="14">
        <v>8683869.5099999998</v>
      </c>
      <c r="C14" s="14">
        <v>28877867.049999997</v>
      </c>
      <c r="D14" s="14">
        <v>10790</v>
      </c>
    </row>
  </sheetData>
  <conditionalFormatting sqref="B1:B3 B15:B1048576">
    <cfRule type="colorScale" priority="1">
      <colorScale>
        <cfvo type="min"/>
        <cfvo type="max"/>
        <color theme="9" tint="0.39997558519241921"/>
        <color rgb="FF00B05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B6B28-A404-42C5-9169-C6AB3F25D567}">
  <dimension ref="A3:B16"/>
  <sheetViews>
    <sheetView workbookViewId="0">
      <selection activeCell="D6" sqref="D6"/>
    </sheetView>
  </sheetViews>
  <sheetFormatPr defaultRowHeight="14.5" x14ac:dyDescent="0.35"/>
  <cols>
    <col min="1" max="1" width="12.36328125" bestFit="1" customWidth="1"/>
    <col min="2" max="2" width="19.1796875" style="8" bestFit="1" customWidth="1"/>
    <col min="3" max="3" width="10.81640625" bestFit="1" customWidth="1"/>
  </cols>
  <sheetData>
    <row r="3" spans="1:2" x14ac:dyDescent="0.35">
      <c r="A3" s="6" t="s">
        <v>2532</v>
      </c>
      <c r="B3" s="14" t="s">
        <v>2535</v>
      </c>
    </row>
    <row r="4" spans="1:2" x14ac:dyDescent="0.35">
      <c r="A4" s="7" t="s">
        <v>2537</v>
      </c>
      <c r="B4" s="14">
        <v>2686978.0999999992</v>
      </c>
    </row>
    <row r="5" spans="1:2" x14ac:dyDescent="0.35">
      <c r="A5" s="7" t="s">
        <v>2542</v>
      </c>
      <c r="B5" s="14">
        <v>2685187.9</v>
      </c>
    </row>
    <row r="6" spans="1:2" x14ac:dyDescent="0.35">
      <c r="A6" s="7" t="s">
        <v>2544</v>
      </c>
      <c r="B6" s="14">
        <v>2574884.8000000003</v>
      </c>
    </row>
    <row r="7" spans="1:2" x14ac:dyDescent="0.35">
      <c r="A7" s="7" t="s">
        <v>2540</v>
      </c>
      <c r="B7" s="14">
        <v>2544386.6</v>
      </c>
    </row>
    <row r="8" spans="1:2" x14ac:dyDescent="0.35">
      <c r="A8" s="7" t="s">
        <v>2548</v>
      </c>
      <c r="B8" s="14">
        <v>2530377.7000000002</v>
      </c>
    </row>
    <row r="9" spans="1:2" x14ac:dyDescent="0.35">
      <c r="A9" s="7" t="s">
        <v>2543</v>
      </c>
      <c r="B9" s="14">
        <v>2518560.6999999997</v>
      </c>
    </row>
    <row r="10" spans="1:2" x14ac:dyDescent="0.35">
      <c r="A10" s="7" t="s">
        <v>2547</v>
      </c>
      <c r="B10" s="14">
        <v>2512191.4</v>
      </c>
    </row>
    <row r="11" spans="1:2" x14ac:dyDescent="0.35">
      <c r="A11" s="7" t="s">
        <v>2541</v>
      </c>
      <c r="B11" s="14">
        <v>2358401.9499999997</v>
      </c>
    </row>
    <row r="12" spans="1:2" x14ac:dyDescent="0.35">
      <c r="A12" s="7" t="s">
        <v>2546</v>
      </c>
      <c r="B12" s="14">
        <v>2306676.85</v>
      </c>
    </row>
    <row r="13" spans="1:2" x14ac:dyDescent="0.35">
      <c r="A13" s="7" t="s">
        <v>2539</v>
      </c>
      <c r="B13" s="14">
        <v>2124026.1</v>
      </c>
    </row>
    <row r="14" spans="1:2" x14ac:dyDescent="0.35">
      <c r="A14" s="7" t="s">
        <v>2538</v>
      </c>
      <c r="B14" s="14">
        <v>2060277.3499999996</v>
      </c>
    </row>
    <row r="15" spans="1:2" x14ac:dyDescent="0.35">
      <c r="A15" s="7" t="s">
        <v>2545</v>
      </c>
      <c r="B15" s="14">
        <v>1975917.5999999999</v>
      </c>
    </row>
    <row r="16" spans="1:2" x14ac:dyDescent="0.35">
      <c r="A16" s="7" t="s">
        <v>2534</v>
      </c>
      <c r="B16" s="14">
        <v>28877867.050000001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6526F-BD64-4272-8C28-8D35DBC6BC94}">
  <dimension ref="A3:C497"/>
  <sheetViews>
    <sheetView workbookViewId="0">
      <selection activeCell="C4" sqref="C4"/>
    </sheetView>
  </sheetViews>
  <sheetFormatPr defaultRowHeight="14.5" x14ac:dyDescent="0.35"/>
  <cols>
    <col min="1" max="1" width="12.36328125" bestFit="1" customWidth="1"/>
    <col min="2" max="2" width="19.1796875" style="8" bestFit="1" customWidth="1"/>
    <col min="3" max="3" width="11.81640625" style="8" bestFit="1" customWidth="1"/>
  </cols>
  <sheetData>
    <row r="3" spans="1:3" x14ac:dyDescent="0.35">
      <c r="A3" s="6" t="s">
        <v>2532</v>
      </c>
      <c r="B3" t="s">
        <v>2535</v>
      </c>
      <c r="C3" t="s">
        <v>2533</v>
      </c>
    </row>
    <row r="4" spans="1:3" x14ac:dyDescent="0.35">
      <c r="A4" s="7" t="s">
        <v>2173</v>
      </c>
      <c r="B4">
        <v>178333.05</v>
      </c>
      <c r="C4">
        <v>72387.11</v>
      </c>
    </row>
    <row r="5" spans="1:3" x14ac:dyDescent="0.35">
      <c r="A5" s="7" t="s">
        <v>2074</v>
      </c>
      <c r="B5">
        <v>193895.3</v>
      </c>
      <c r="C5">
        <v>64186.959999999992</v>
      </c>
    </row>
    <row r="6" spans="1:3" x14ac:dyDescent="0.35">
      <c r="A6" s="7" t="s">
        <v>2215</v>
      </c>
      <c r="B6">
        <v>124785.1</v>
      </c>
      <c r="C6">
        <v>53543.979999999996</v>
      </c>
    </row>
    <row r="7" spans="1:3" x14ac:dyDescent="0.35">
      <c r="A7" s="7" t="s">
        <v>2061</v>
      </c>
      <c r="B7">
        <v>183000.5</v>
      </c>
      <c r="C7">
        <v>53250.15</v>
      </c>
    </row>
    <row r="8" spans="1:3" x14ac:dyDescent="0.35">
      <c r="A8" s="7" t="s">
        <v>2099</v>
      </c>
      <c r="B8">
        <v>177688.55</v>
      </c>
      <c r="C8">
        <v>51267.74</v>
      </c>
    </row>
    <row r="9" spans="1:3" x14ac:dyDescent="0.35">
      <c r="A9" s="7" t="s">
        <v>2081</v>
      </c>
      <c r="B9">
        <v>173384.95</v>
      </c>
      <c r="C9">
        <v>50757.040000000008</v>
      </c>
    </row>
    <row r="10" spans="1:3" x14ac:dyDescent="0.35">
      <c r="A10" s="7" t="s">
        <v>2273</v>
      </c>
      <c r="B10">
        <v>140009.20000000001</v>
      </c>
      <c r="C10">
        <v>49306.18</v>
      </c>
    </row>
    <row r="11" spans="1:3" x14ac:dyDescent="0.35">
      <c r="A11" s="7" t="s">
        <v>2376</v>
      </c>
      <c r="B11">
        <v>126870.55</v>
      </c>
      <c r="C11">
        <v>48538.86</v>
      </c>
    </row>
    <row r="12" spans="1:3" x14ac:dyDescent="0.35">
      <c r="A12" s="7" t="s">
        <v>2380</v>
      </c>
      <c r="B12">
        <v>146831.29999999999</v>
      </c>
      <c r="C12">
        <v>47106.96</v>
      </c>
    </row>
    <row r="13" spans="1:3" x14ac:dyDescent="0.35">
      <c r="A13" s="7" t="s">
        <v>2295</v>
      </c>
      <c r="B13">
        <v>149398</v>
      </c>
      <c r="C13">
        <v>46495.469999999994</v>
      </c>
    </row>
    <row r="14" spans="1:3" x14ac:dyDescent="0.35">
      <c r="A14" s="7" t="s">
        <v>2324</v>
      </c>
      <c r="B14">
        <v>119757.65</v>
      </c>
      <c r="C14">
        <v>45786.349999999991</v>
      </c>
    </row>
    <row r="15" spans="1:3" x14ac:dyDescent="0.35">
      <c r="A15" s="7" t="s">
        <v>2186</v>
      </c>
      <c r="B15">
        <v>156979.5</v>
      </c>
      <c r="C15">
        <v>44341.94</v>
      </c>
    </row>
    <row r="16" spans="1:3" x14ac:dyDescent="0.35">
      <c r="A16" s="7" t="s">
        <v>2140</v>
      </c>
      <c r="B16">
        <v>125667.29999999999</v>
      </c>
      <c r="C16">
        <v>43615.259999999995</v>
      </c>
    </row>
    <row r="17" spans="1:3" x14ac:dyDescent="0.35">
      <c r="A17" s="7" t="s">
        <v>2043</v>
      </c>
      <c r="B17">
        <v>137586.65</v>
      </c>
      <c r="C17">
        <v>43372.53</v>
      </c>
    </row>
    <row r="18" spans="1:3" x14ac:dyDescent="0.35">
      <c r="A18" s="7" t="s">
        <v>2226</v>
      </c>
      <c r="B18">
        <v>124443.1</v>
      </c>
      <c r="C18">
        <v>42850.539999999994</v>
      </c>
    </row>
    <row r="19" spans="1:3" x14ac:dyDescent="0.35">
      <c r="A19" s="7" t="s">
        <v>2448</v>
      </c>
      <c r="B19">
        <v>103539</v>
      </c>
      <c r="C19">
        <v>42198.259999999995</v>
      </c>
    </row>
    <row r="20" spans="1:3" x14ac:dyDescent="0.35">
      <c r="A20" s="7" t="s">
        <v>2047</v>
      </c>
      <c r="B20">
        <v>158583</v>
      </c>
      <c r="C20">
        <v>41687.020000000004</v>
      </c>
    </row>
    <row r="21" spans="1:3" x14ac:dyDescent="0.35">
      <c r="A21" s="7" t="s">
        <v>2267</v>
      </c>
      <c r="B21">
        <v>149124.6</v>
      </c>
      <c r="C21">
        <v>41285.75</v>
      </c>
    </row>
    <row r="22" spans="1:3" x14ac:dyDescent="0.35">
      <c r="A22" s="7" t="s">
        <v>2331</v>
      </c>
      <c r="B22">
        <v>120898.05</v>
      </c>
      <c r="C22">
        <v>40937.22</v>
      </c>
    </row>
    <row r="23" spans="1:3" x14ac:dyDescent="0.35">
      <c r="A23" s="7" t="s">
        <v>2097</v>
      </c>
      <c r="B23">
        <v>144735.79999999999</v>
      </c>
      <c r="C23">
        <v>40916.65</v>
      </c>
    </row>
    <row r="24" spans="1:3" x14ac:dyDescent="0.35">
      <c r="A24" s="7" t="s">
        <v>2030</v>
      </c>
      <c r="B24">
        <v>156391.29999999999</v>
      </c>
      <c r="C24">
        <v>40285.49</v>
      </c>
    </row>
    <row r="25" spans="1:3" x14ac:dyDescent="0.35">
      <c r="A25" s="7" t="s">
        <v>2125</v>
      </c>
      <c r="B25">
        <v>103648.7</v>
      </c>
      <c r="C25">
        <v>39807.300000000003</v>
      </c>
    </row>
    <row r="26" spans="1:3" x14ac:dyDescent="0.35">
      <c r="A26" s="7" t="s">
        <v>2365</v>
      </c>
      <c r="B26">
        <v>104750.3</v>
      </c>
      <c r="C26">
        <v>39635.879999999997</v>
      </c>
    </row>
    <row r="27" spans="1:3" x14ac:dyDescent="0.35">
      <c r="A27" s="7" t="s">
        <v>2442</v>
      </c>
      <c r="B27">
        <v>130934.1</v>
      </c>
      <c r="C27">
        <v>39521.870000000003</v>
      </c>
    </row>
    <row r="28" spans="1:3" x14ac:dyDescent="0.35">
      <c r="A28" s="7" t="s">
        <v>2252</v>
      </c>
      <c r="B28">
        <v>122584.1</v>
      </c>
      <c r="C28">
        <v>39304.699999999997</v>
      </c>
    </row>
    <row r="29" spans="1:3" x14ac:dyDescent="0.35">
      <c r="A29" s="7" t="s">
        <v>2343</v>
      </c>
      <c r="B29">
        <v>119814.6</v>
      </c>
      <c r="C29">
        <v>38664.410000000003</v>
      </c>
    </row>
    <row r="30" spans="1:3" x14ac:dyDescent="0.35">
      <c r="A30" s="7" t="s">
        <v>2151</v>
      </c>
      <c r="B30">
        <v>133360</v>
      </c>
      <c r="C30">
        <v>38304.630000000005</v>
      </c>
    </row>
    <row r="31" spans="1:3" x14ac:dyDescent="0.35">
      <c r="A31" s="7" t="s">
        <v>2319</v>
      </c>
      <c r="B31">
        <v>127947.75</v>
      </c>
      <c r="C31">
        <v>38214.03</v>
      </c>
    </row>
    <row r="32" spans="1:3" x14ac:dyDescent="0.35">
      <c r="A32" s="7" t="s">
        <v>2222</v>
      </c>
      <c r="B32">
        <v>127256.9</v>
      </c>
      <c r="C32">
        <v>38062.449999999997</v>
      </c>
    </row>
    <row r="33" spans="1:3" x14ac:dyDescent="0.35">
      <c r="A33" s="7" t="s">
        <v>2387</v>
      </c>
      <c r="B33">
        <v>115561.70000000001</v>
      </c>
      <c r="C33">
        <v>37425.29</v>
      </c>
    </row>
    <row r="34" spans="1:3" x14ac:dyDescent="0.35">
      <c r="A34" s="7" t="s">
        <v>2454</v>
      </c>
      <c r="B34">
        <v>107168.1</v>
      </c>
      <c r="C34">
        <v>37038.590000000004</v>
      </c>
    </row>
    <row r="35" spans="1:3" x14ac:dyDescent="0.35">
      <c r="A35" s="7" t="s">
        <v>2491</v>
      </c>
      <c r="B35">
        <v>88294.2</v>
      </c>
      <c r="C35">
        <v>36570.25</v>
      </c>
    </row>
    <row r="36" spans="1:3" x14ac:dyDescent="0.35">
      <c r="A36" s="7" t="s">
        <v>2084</v>
      </c>
      <c r="B36">
        <v>113110.05</v>
      </c>
      <c r="C36">
        <v>35919.69</v>
      </c>
    </row>
    <row r="37" spans="1:3" x14ac:dyDescent="0.35">
      <c r="A37" s="7" t="s">
        <v>2202</v>
      </c>
      <c r="B37">
        <v>138054.54999999999</v>
      </c>
      <c r="C37">
        <v>35269.089999999997</v>
      </c>
    </row>
    <row r="38" spans="1:3" x14ac:dyDescent="0.35">
      <c r="A38" s="7" t="s">
        <v>2246</v>
      </c>
      <c r="B38">
        <v>128216.59999999999</v>
      </c>
      <c r="C38">
        <v>35132.69</v>
      </c>
    </row>
    <row r="39" spans="1:3" x14ac:dyDescent="0.35">
      <c r="A39" s="7" t="s">
        <v>2129</v>
      </c>
      <c r="B39">
        <v>133645.79999999999</v>
      </c>
      <c r="C39">
        <v>34888.39</v>
      </c>
    </row>
    <row r="40" spans="1:3" x14ac:dyDescent="0.35">
      <c r="A40" s="7" t="s">
        <v>2345</v>
      </c>
      <c r="B40">
        <v>135728.9</v>
      </c>
      <c r="C40">
        <v>34653.43</v>
      </c>
    </row>
    <row r="41" spans="1:3" x14ac:dyDescent="0.35">
      <c r="A41" s="7" t="s">
        <v>2205</v>
      </c>
      <c r="B41">
        <v>101268</v>
      </c>
      <c r="C41">
        <v>34131.980000000003</v>
      </c>
    </row>
    <row r="42" spans="1:3" x14ac:dyDescent="0.35">
      <c r="A42" s="7" t="s">
        <v>2328</v>
      </c>
      <c r="B42">
        <v>104311</v>
      </c>
      <c r="C42">
        <v>34019.29</v>
      </c>
    </row>
    <row r="43" spans="1:3" x14ac:dyDescent="0.35">
      <c r="A43" s="7" t="s">
        <v>2092</v>
      </c>
      <c r="B43">
        <v>112313.8</v>
      </c>
      <c r="C43">
        <v>33861.01</v>
      </c>
    </row>
    <row r="44" spans="1:3" x14ac:dyDescent="0.35">
      <c r="A44" s="7" t="s">
        <v>2237</v>
      </c>
      <c r="B44">
        <v>115564.04999999999</v>
      </c>
      <c r="C44">
        <v>33463.39</v>
      </c>
    </row>
    <row r="45" spans="1:3" x14ac:dyDescent="0.35">
      <c r="A45" s="7" t="s">
        <v>2264</v>
      </c>
      <c r="B45">
        <v>100810.75</v>
      </c>
      <c r="C45">
        <v>33418.1</v>
      </c>
    </row>
    <row r="46" spans="1:3" x14ac:dyDescent="0.35">
      <c r="A46" s="7" t="s">
        <v>2325</v>
      </c>
      <c r="B46">
        <v>89638.65</v>
      </c>
      <c r="C46">
        <v>33331.64</v>
      </c>
    </row>
    <row r="47" spans="1:3" x14ac:dyDescent="0.35">
      <c r="A47" s="7" t="s">
        <v>2188</v>
      </c>
      <c r="B47">
        <v>91146.9</v>
      </c>
      <c r="C47">
        <v>32971.39</v>
      </c>
    </row>
    <row r="48" spans="1:3" x14ac:dyDescent="0.35">
      <c r="A48" s="7" t="s">
        <v>2192</v>
      </c>
      <c r="B48">
        <v>91914.6</v>
      </c>
      <c r="C48">
        <v>32918.28</v>
      </c>
    </row>
    <row r="49" spans="1:3" x14ac:dyDescent="0.35">
      <c r="A49" s="7" t="s">
        <v>2303</v>
      </c>
      <c r="B49">
        <v>83151.5</v>
      </c>
      <c r="C49">
        <v>32659.600000000002</v>
      </c>
    </row>
    <row r="50" spans="1:3" x14ac:dyDescent="0.35">
      <c r="A50" s="7" t="s">
        <v>2040</v>
      </c>
      <c r="B50">
        <v>102011.9</v>
      </c>
      <c r="C50">
        <v>32480.699999999997</v>
      </c>
    </row>
    <row r="51" spans="1:3" x14ac:dyDescent="0.35">
      <c r="A51" s="7" t="s">
        <v>2241</v>
      </c>
      <c r="B51">
        <v>111725.25</v>
      </c>
      <c r="C51">
        <v>32406.699999999997</v>
      </c>
    </row>
    <row r="52" spans="1:3" x14ac:dyDescent="0.35">
      <c r="A52" s="7" t="s">
        <v>2370</v>
      </c>
      <c r="B52">
        <v>89418.549999999988</v>
      </c>
      <c r="C52">
        <v>32119.059999999998</v>
      </c>
    </row>
    <row r="53" spans="1:3" x14ac:dyDescent="0.35">
      <c r="A53" s="7" t="s">
        <v>2114</v>
      </c>
      <c r="B53">
        <v>93850.25</v>
      </c>
      <c r="C53">
        <v>31877.47</v>
      </c>
    </row>
    <row r="54" spans="1:3" x14ac:dyDescent="0.35">
      <c r="A54" s="7" t="s">
        <v>2358</v>
      </c>
      <c r="B54">
        <v>100603.85</v>
      </c>
      <c r="C54">
        <v>31851.25</v>
      </c>
    </row>
    <row r="55" spans="1:3" x14ac:dyDescent="0.35">
      <c r="A55" s="7" t="s">
        <v>2210</v>
      </c>
      <c r="B55">
        <v>95961.299999999988</v>
      </c>
      <c r="C55">
        <v>31811.1</v>
      </c>
    </row>
    <row r="56" spans="1:3" x14ac:dyDescent="0.35">
      <c r="A56" s="7" t="s">
        <v>2382</v>
      </c>
      <c r="B56">
        <v>104017.15000000001</v>
      </c>
      <c r="C56">
        <v>31749.449999999997</v>
      </c>
    </row>
    <row r="57" spans="1:3" x14ac:dyDescent="0.35">
      <c r="A57" s="7" t="s">
        <v>2054</v>
      </c>
      <c r="B57">
        <v>99749.650000000009</v>
      </c>
      <c r="C57">
        <v>31738.519999999997</v>
      </c>
    </row>
    <row r="58" spans="1:3" x14ac:dyDescent="0.35">
      <c r="A58" s="7" t="s">
        <v>2375</v>
      </c>
      <c r="B58">
        <v>78447.8</v>
      </c>
      <c r="C58">
        <v>31723.919999999998</v>
      </c>
    </row>
    <row r="59" spans="1:3" x14ac:dyDescent="0.35">
      <c r="A59" s="7" t="s">
        <v>2175</v>
      </c>
      <c r="B59">
        <v>115774</v>
      </c>
      <c r="C59">
        <v>31719.520000000004</v>
      </c>
    </row>
    <row r="60" spans="1:3" x14ac:dyDescent="0.35">
      <c r="A60" s="7" t="s">
        <v>2321</v>
      </c>
      <c r="B60">
        <v>97653.25</v>
      </c>
      <c r="C60">
        <v>31709.279999999999</v>
      </c>
    </row>
    <row r="61" spans="1:3" x14ac:dyDescent="0.35">
      <c r="A61" s="7" t="s">
        <v>2058</v>
      </c>
      <c r="B61">
        <v>81549.600000000006</v>
      </c>
      <c r="C61">
        <v>31617.96</v>
      </c>
    </row>
    <row r="62" spans="1:3" x14ac:dyDescent="0.35">
      <c r="A62" s="7" t="s">
        <v>2176</v>
      </c>
      <c r="B62">
        <v>86387.95</v>
      </c>
      <c r="C62">
        <v>31486.46</v>
      </c>
    </row>
    <row r="63" spans="1:3" x14ac:dyDescent="0.35">
      <c r="A63" s="7" t="s">
        <v>2100</v>
      </c>
      <c r="B63">
        <v>77698.850000000006</v>
      </c>
      <c r="C63">
        <v>31241.850000000002</v>
      </c>
    </row>
    <row r="64" spans="1:3" x14ac:dyDescent="0.35">
      <c r="A64" s="7" t="s">
        <v>2361</v>
      </c>
      <c r="B64">
        <v>99397.95</v>
      </c>
      <c r="C64">
        <v>30955.14</v>
      </c>
    </row>
    <row r="65" spans="1:3" x14ac:dyDescent="0.35">
      <c r="A65" s="7" t="s">
        <v>2089</v>
      </c>
      <c r="B65">
        <v>108591.15</v>
      </c>
      <c r="C65">
        <v>30603.809999999998</v>
      </c>
    </row>
    <row r="66" spans="1:3" x14ac:dyDescent="0.35">
      <c r="A66" s="7" t="s">
        <v>2138</v>
      </c>
      <c r="B66">
        <v>96558.5</v>
      </c>
      <c r="C66">
        <v>30597.86</v>
      </c>
    </row>
    <row r="67" spans="1:3" x14ac:dyDescent="0.35">
      <c r="A67" s="7" t="s">
        <v>2251</v>
      </c>
      <c r="B67">
        <v>90261.950000000012</v>
      </c>
      <c r="C67">
        <v>30496.77</v>
      </c>
    </row>
    <row r="68" spans="1:3" x14ac:dyDescent="0.35">
      <c r="A68" s="7" t="s">
        <v>2161</v>
      </c>
      <c r="B68">
        <v>81986.649999999994</v>
      </c>
      <c r="C68">
        <v>30476.440000000002</v>
      </c>
    </row>
    <row r="69" spans="1:3" x14ac:dyDescent="0.35">
      <c r="A69" s="7" t="s">
        <v>2128</v>
      </c>
      <c r="B69">
        <v>81455.100000000006</v>
      </c>
      <c r="C69">
        <v>30410.11</v>
      </c>
    </row>
    <row r="70" spans="1:3" x14ac:dyDescent="0.35">
      <c r="A70" s="7" t="s">
        <v>2048</v>
      </c>
      <c r="B70">
        <v>101537.60000000001</v>
      </c>
      <c r="C70">
        <v>30323.68</v>
      </c>
    </row>
    <row r="71" spans="1:3" x14ac:dyDescent="0.35">
      <c r="A71" s="7" t="s">
        <v>2364</v>
      </c>
      <c r="B71">
        <v>83040.649999999994</v>
      </c>
      <c r="C71">
        <v>30228.78</v>
      </c>
    </row>
    <row r="72" spans="1:3" x14ac:dyDescent="0.35">
      <c r="A72" s="7" t="s">
        <v>2075</v>
      </c>
      <c r="B72">
        <v>95139.25</v>
      </c>
      <c r="C72">
        <v>30108.879999999997</v>
      </c>
    </row>
    <row r="73" spans="1:3" x14ac:dyDescent="0.35">
      <c r="A73" s="7" t="s">
        <v>2476</v>
      </c>
      <c r="B73">
        <v>73379</v>
      </c>
      <c r="C73">
        <v>30085.03</v>
      </c>
    </row>
    <row r="74" spans="1:3" x14ac:dyDescent="0.35">
      <c r="A74" s="7" t="s">
        <v>2304</v>
      </c>
      <c r="B74">
        <v>83091.899999999994</v>
      </c>
      <c r="C74">
        <v>29791.07</v>
      </c>
    </row>
    <row r="75" spans="1:3" x14ac:dyDescent="0.35">
      <c r="A75" s="7" t="s">
        <v>2051</v>
      </c>
      <c r="B75">
        <v>81605.55</v>
      </c>
      <c r="C75">
        <v>29705.75</v>
      </c>
    </row>
    <row r="76" spans="1:3" x14ac:dyDescent="0.35">
      <c r="A76" s="7" t="s">
        <v>2060</v>
      </c>
      <c r="B76">
        <v>99138.7</v>
      </c>
      <c r="C76">
        <v>29664.6</v>
      </c>
    </row>
    <row r="77" spans="1:3" x14ac:dyDescent="0.35">
      <c r="A77" s="7" t="s">
        <v>2197</v>
      </c>
      <c r="B77">
        <v>92591.4</v>
      </c>
      <c r="C77">
        <v>29585.17</v>
      </c>
    </row>
    <row r="78" spans="1:3" x14ac:dyDescent="0.35">
      <c r="A78" s="7" t="s">
        <v>2041</v>
      </c>
      <c r="B78">
        <v>88572.55</v>
      </c>
      <c r="C78">
        <v>29486.04</v>
      </c>
    </row>
    <row r="79" spans="1:3" x14ac:dyDescent="0.35">
      <c r="A79" s="7" t="s">
        <v>2136</v>
      </c>
      <c r="B79">
        <v>95526</v>
      </c>
      <c r="C79">
        <v>29459.5</v>
      </c>
    </row>
    <row r="80" spans="1:3" x14ac:dyDescent="0.35">
      <c r="A80" s="7" t="s">
        <v>2042</v>
      </c>
      <c r="B80">
        <v>83399.45</v>
      </c>
      <c r="C80">
        <v>29272.6</v>
      </c>
    </row>
    <row r="81" spans="1:3" x14ac:dyDescent="0.35">
      <c r="A81" s="7" t="s">
        <v>2289</v>
      </c>
      <c r="B81">
        <v>119571.85</v>
      </c>
      <c r="C81">
        <v>29265.1</v>
      </c>
    </row>
    <row r="82" spans="1:3" x14ac:dyDescent="0.35">
      <c r="A82" s="7" t="s">
        <v>2217</v>
      </c>
      <c r="B82">
        <v>105884.1</v>
      </c>
      <c r="C82">
        <v>28851.280000000002</v>
      </c>
    </row>
    <row r="83" spans="1:3" x14ac:dyDescent="0.35">
      <c r="A83" s="7" t="s">
        <v>2189</v>
      </c>
      <c r="B83">
        <v>78787.600000000006</v>
      </c>
      <c r="C83">
        <v>28815.879999999997</v>
      </c>
    </row>
    <row r="84" spans="1:3" x14ac:dyDescent="0.35">
      <c r="A84" s="7" t="s">
        <v>2082</v>
      </c>
      <c r="B84">
        <v>79195.75</v>
      </c>
      <c r="C84">
        <v>28693.57</v>
      </c>
    </row>
    <row r="85" spans="1:3" x14ac:dyDescent="0.35">
      <c r="A85" s="7" t="s">
        <v>2288</v>
      </c>
      <c r="B85">
        <v>110951.4</v>
      </c>
      <c r="C85">
        <v>28579.03</v>
      </c>
    </row>
    <row r="86" spans="1:3" x14ac:dyDescent="0.35">
      <c r="A86" s="7" t="s">
        <v>2340</v>
      </c>
      <c r="B86">
        <v>90205.55</v>
      </c>
      <c r="C86">
        <v>28563.65</v>
      </c>
    </row>
    <row r="87" spans="1:3" x14ac:dyDescent="0.35">
      <c r="A87" s="7" t="s">
        <v>2240</v>
      </c>
      <c r="B87">
        <v>101749.75</v>
      </c>
      <c r="C87">
        <v>28320.559999999998</v>
      </c>
    </row>
    <row r="88" spans="1:3" x14ac:dyDescent="0.35">
      <c r="A88" s="7" t="s">
        <v>2475</v>
      </c>
      <c r="B88">
        <v>83138.2</v>
      </c>
      <c r="C88">
        <v>28187.57</v>
      </c>
    </row>
    <row r="89" spans="1:3" x14ac:dyDescent="0.35">
      <c r="A89" s="7" t="s">
        <v>2134</v>
      </c>
      <c r="B89">
        <v>90637.9</v>
      </c>
      <c r="C89">
        <v>27946.229999999996</v>
      </c>
    </row>
    <row r="90" spans="1:3" x14ac:dyDescent="0.35">
      <c r="A90" s="7" t="s">
        <v>2281</v>
      </c>
      <c r="B90">
        <v>74832.649999999994</v>
      </c>
      <c r="C90">
        <v>27829.26</v>
      </c>
    </row>
    <row r="91" spans="1:3" x14ac:dyDescent="0.35">
      <c r="A91" s="7" t="s">
        <v>2352</v>
      </c>
      <c r="B91">
        <v>68161.600000000006</v>
      </c>
      <c r="C91">
        <v>27709.94</v>
      </c>
    </row>
    <row r="92" spans="1:3" x14ac:dyDescent="0.35">
      <c r="A92" s="7" t="s">
        <v>2292</v>
      </c>
      <c r="B92">
        <v>85398.399999999994</v>
      </c>
      <c r="C92">
        <v>27687.17</v>
      </c>
    </row>
    <row r="93" spans="1:3" x14ac:dyDescent="0.35">
      <c r="A93" s="7" t="s">
        <v>2398</v>
      </c>
      <c r="B93">
        <v>62980</v>
      </c>
      <c r="C93">
        <v>27532.67</v>
      </c>
    </row>
    <row r="94" spans="1:3" x14ac:dyDescent="0.35">
      <c r="A94" s="7" t="s">
        <v>2119</v>
      </c>
      <c r="B94">
        <v>105672.84999999999</v>
      </c>
      <c r="C94">
        <v>27456.86</v>
      </c>
    </row>
    <row r="95" spans="1:3" x14ac:dyDescent="0.35">
      <c r="A95" s="7" t="s">
        <v>2270</v>
      </c>
      <c r="B95">
        <v>104197.45</v>
      </c>
      <c r="C95">
        <v>27418.62</v>
      </c>
    </row>
    <row r="96" spans="1:3" x14ac:dyDescent="0.35">
      <c r="A96" s="7" t="s">
        <v>2117</v>
      </c>
      <c r="B96">
        <v>90313.55</v>
      </c>
      <c r="C96">
        <v>27210.920000000002</v>
      </c>
    </row>
    <row r="97" spans="1:3" x14ac:dyDescent="0.35">
      <c r="A97" s="7" t="s">
        <v>2351</v>
      </c>
      <c r="B97">
        <v>88903.75</v>
      </c>
      <c r="C97">
        <v>27052.370000000003</v>
      </c>
    </row>
    <row r="98" spans="1:3" x14ac:dyDescent="0.35">
      <c r="A98" s="7" t="s">
        <v>2177</v>
      </c>
      <c r="B98">
        <v>74141.25</v>
      </c>
      <c r="C98">
        <v>27035.319999999996</v>
      </c>
    </row>
    <row r="99" spans="1:3" x14ac:dyDescent="0.35">
      <c r="A99" s="7" t="s">
        <v>2130</v>
      </c>
      <c r="B99">
        <v>98419.5</v>
      </c>
      <c r="C99">
        <v>26979.14</v>
      </c>
    </row>
    <row r="100" spans="1:3" x14ac:dyDescent="0.35">
      <c r="A100" s="7" t="s">
        <v>2285</v>
      </c>
      <c r="B100">
        <v>66189.899999999994</v>
      </c>
      <c r="C100">
        <v>26800.11</v>
      </c>
    </row>
    <row r="101" spans="1:3" x14ac:dyDescent="0.35">
      <c r="A101" s="7" t="s">
        <v>2216</v>
      </c>
      <c r="B101">
        <v>81446.149999999994</v>
      </c>
      <c r="C101">
        <v>26775.97</v>
      </c>
    </row>
    <row r="102" spans="1:3" x14ac:dyDescent="0.35">
      <c r="A102" s="7" t="s">
        <v>2349</v>
      </c>
      <c r="B102">
        <v>92815.25</v>
      </c>
      <c r="C102">
        <v>26654.420000000002</v>
      </c>
    </row>
    <row r="103" spans="1:3" x14ac:dyDescent="0.35">
      <c r="A103" s="7" t="s">
        <v>2126</v>
      </c>
      <c r="B103">
        <v>83692.899999999994</v>
      </c>
      <c r="C103">
        <v>26612.59</v>
      </c>
    </row>
    <row r="104" spans="1:3" x14ac:dyDescent="0.35">
      <c r="A104" s="7" t="s">
        <v>2359</v>
      </c>
      <c r="B104">
        <v>83698.55</v>
      </c>
      <c r="C104">
        <v>26466.89</v>
      </c>
    </row>
    <row r="105" spans="1:3" x14ac:dyDescent="0.35">
      <c r="A105" s="7" t="s">
        <v>2250</v>
      </c>
      <c r="B105">
        <v>77742.350000000006</v>
      </c>
      <c r="C105">
        <v>26436.59</v>
      </c>
    </row>
    <row r="106" spans="1:3" x14ac:dyDescent="0.35">
      <c r="A106" s="7" t="s">
        <v>2322</v>
      </c>
      <c r="B106">
        <v>84775.4</v>
      </c>
      <c r="C106">
        <v>26296.19</v>
      </c>
    </row>
    <row r="107" spans="1:3" x14ac:dyDescent="0.35">
      <c r="A107" s="7" t="s">
        <v>2121</v>
      </c>
      <c r="B107">
        <v>80179.5</v>
      </c>
      <c r="C107">
        <v>26164.67</v>
      </c>
    </row>
    <row r="108" spans="1:3" x14ac:dyDescent="0.35">
      <c r="A108" s="7" t="s">
        <v>2147</v>
      </c>
      <c r="B108">
        <v>80065.3</v>
      </c>
      <c r="C108">
        <v>26145.96</v>
      </c>
    </row>
    <row r="109" spans="1:3" x14ac:dyDescent="0.35">
      <c r="A109" s="7" t="s">
        <v>2143</v>
      </c>
      <c r="B109">
        <v>99619.3</v>
      </c>
      <c r="C109">
        <v>26075.66</v>
      </c>
    </row>
    <row r="110" spans="1:3" x14ac:dyDescent="0.35">
      <c r="A110" s="7" t="s">
        <v>2194</v>
      </c>
      <c r="B110">
        <v>92562.3</v>
      </c>
      <c r="C110">
        <v>25586.99</v>
      </c>
    </row>
    <row r="111" spans="1:3" x14ac:dyDescent="0.35">
      <c r="A111" s="7" t="s">
        <v>2050</v>
      </c>
      <c r="B111">
        <v>84543.5</v>
      </c>
      <c r="C111">
        <v>25486.550000000003</v>
      </c>
    </row>
    <row r="112" spans="1:3" x14ac:dyDescent="0.35">
      <c r="A112" s="7" t="s">
        <v>2269</v>
      </c>
      <c r="B112">
        <v>71611.600000000006</v>
      </c>
      <c r="C112">
        <v>25486.11</v>
      </c>
    </row>
    <row r="113" spans="1:3" x14ac:dyDescent="0.35">
      <c r="A113" s="7" t="s">
        <v>2154</v>
      </c>
      <c r="B113">
        <v>77356.5</v>
      </c>
      <c r="C113">
        <v>25244.959999999999</v>
      </c>
    </row>
    <row r="114" spans="1:3" x14ac:dyDescent="0.35">
      <c r="A114" s="7" t="s">
        <v>2053</v>
      </c>
      <c r="B114">
        <v>89744.4</v>
      </c>
      <c r="C114">
        <v>25190.13</v>
      </c>
    </row>
    <row r="115" spans="1:3" x14ac:dyDescent="0.35">
      <c r="A115" s="7" t="s">
        <v>2268</v>
      </c>
      <c r="B115">
        <v>100073.85</v>
      </c>
      <c r="C115">
        <v>24999.43</v>
      </c>
    </row>
    <row r="116" spans="1:3" x14ac:dyDescent="0.35">
      <c r="A116" s="7" t="s">
        <v>2326</v>
      </c>
      <c r="B116">
        <v>63256.600000000006</v>
      </c>
      <c r="C116">
        <v>24621.18</v>
      </c>
    </row>
    <row r="117" spans="1:3" x14ac:dyDescent="0.35">
      <c r="A117" s="7" t="s">
        <v>2487</v>
      </c>
      <c r="B117">
        <v>64983.4</v>
      </c>
      <c r="C117">
        <v>24598.83</v>
      </c>
    </row>
    <row r="118" spans="1:3" x14ac:dyDescent="0.35">
      <c r="A118" s="7" t="s">
        <v>2235</v>
      </c>
      <c r="B118">
        <v>83637.299999999988</v>
      </c>
      <c r="C118">
        <v>24515.520000000004</v>
      </c>
    </row>
    <row r="119" spans="1:3" x14ac:dyDescent="0.35">
      <c r="A119" s="7" t="s">
        <v>2139</v>
      </c>
      <c r="B119">
        <v>77467.7</v>
      </c>
      <c r="C119">
        <v>24468.91</v>
      </c>
    </row>
    <row r="120" spans="1:3" x14ac:dyDescent="0.35">
      <c r="A120" s="7" t="s">
        <v>2367</v>
      </c>
      <c r="B120">
        <v>65241.299999999996</v>
      </c>
      <c r="C120">
        <v>24285.47</v>
      </c>
    </row>
    <row r="121" spans="1:3" x14ac:dyDescent="0.35">
      <c r="A121" s="7" t="s">
        <v>2070</v>
      </c>
      <c r="B121">
        <v>69007.75</v>
      </c>
      <c r="C121">
        <v>24193.42</v>
      </c>
    </row>
    <row r="122" spans="1:3" x14ac:dyDescent="0.35">
      <c r="A122" s="7" t="s">
        <v>2169</v>
      </c>
      <c r="B122">
        <v>68962.649999999994</v>
      </c>
      <c r="C122">
        <v>24178.660000000003</v>
      </c>
    </row>
    <row r="123" spans="1:3" x14ac:dyDescent="0.35">
      <c r="A123" s="7" t="s">
        <v>2306</v>
      </c>
      <c r="B123">
        <v>68163.399999999994</v>
      </c>
      <c r="C123">
        <v>24124.78</v>
      </c>
    </row>
    <row r="124" spans="1:3" x14ac:dyDescent="0.35">
      <c r="A124" s="7" t="s">
        <v>2414</v>
      </c>
      <c r="B124">
        <v>74404.350000000006</v>
      </c>
      <c r="C124">
        <v>23908.1</v>
      </c>
    </row>
    <row r="125" spans="1:3" x14ac:dyDescent="0.35">
      <c r="A125" s="7" t="s">
        <v>2172</v>
      </c>
      <c r="B125">
        <v>57133</v>
      </c>
      <c r="C125">
        <v>23883.86</v>
      </c>
    </row>
    <row r="126" spans="1:3" x14ac:dyDescent="0.35">
      <c r="A126" s="7" t="s">
        <v>2155</v>
      </c>
      <c r="B126">
        <v>70313.5</v>
      </c>
      <c r="C126">
        <v>23700.129999999997</v>
      </c>
    </row>
    <row r="127" spans="1:3" x14ac:dyDescent="0.35">
      <c r="A127" s="7" t="s">
        <v>2218</v>
      </c>
      <c r="B127">
        <v>76912.2</v>
      </c>
      <c r="C127">
        <v>23692.66</v>
      </c>
    </row>
    <row r="128" spans="1:3" x14ac:dyDescent="0.35">
      <c r="A128" s="7" t="s">
        <v>2045</v>
      </c>
      <c r="B128">
        <v>86060.15</v>
      </c>
      <c r="C128">
        <v>23631.57</v>
      </c>
    </row>
    <row r="129" spans="1:3" x14ac:dyDescent="0.35">
      <c r="A129" s="7" t="s">
        <v>2300</v>
      </c>
      <c r="B129">
        <v>86929.55</v>
      </c>
      <c r="C129">
        <v>23382.160000000003</v>
      </c>
    </row>
    <row r="130" spans="1:3" x14ac:dyDescent="0.35">
      <c r="A130" s="7" t="s">
        <v>2102</v>
      </c>
      <c r="B130">
        <v>67283.75</v>
      </c>
      <c r="C130">
        <v>23336.760000000002</v>
      </c>
    </row>
    <row r="131" spans="1:3" x14ac:dyDescent="0.35">
      <c r="A131" s="7" t="s">
        <v>2203</v>
      </c>
      <c r="B131">
        <v>88221.9</v>
      </c>
      <c r="C131">
        <v>23319.46</v>
      </c>
    </row>
    <row r="132" spans="1:3" x14ac:dyDescent="0.35">
      <c r="A132" s="7" t="s">
        <v>2141</v>
      </c>
      <c r="B132">
        <v>83506</v>
      </c>
      <c r="C132">
        <v>23281.120000000003</v>
      </c>
    </row>
    <row r="133" spans="1:3" x14ac:dyDescent="0.35">
      <c r="A133" s="7" t="s">
        <v>2290</v>
      </c>
      <c r="B133">
        <v>80026</v>
      </c>
      <c r="C133">
        <v>23210.81</v>
      </c>
    </row>
    <row r="134" spans="1:3" x14ac:dyDescent="0.35">
      <c r="A134" s="7" t="s">
        <v>2314</v>
      </c>
      <c r="B134">
        <v>69277</v>
      </c>
      <c r="C134">
        <v>23210.730000000003</v>
      </c>
    </row>
    <row r="135" spans="1:3" x14ac:dyDescent="0.35">
      <c r="A135" s="7" t="s">
        <v>2224</v>
      </c>
      <c r="B135">
        <v>63581.5</v>
      </c>
      <c r="C135">
        <v>23167.040000000001</v>
      </c>
    </row>
    <row r="136" spans="1:3" x14ac:dyDescent="0.35">
      <c r="A136" s="7" t="s">
        <v>2037</v>
      </c>
      <c r="B136">
        <v>56404.149999999994</v>
      </c>
      <c r="C136">
        <v>23112.17</v>
      </c>
    </row>
    <row r="137" spans="1:3" x14ac:dyDescent="0.35">
      <c r="A137" s="7" t="s">
        <v>2335</v>
      </c>
      <c r="B137">
        <v>88688.75</v>
      </c>
      <c r="C137">
        <v>23063.86</v>
      </c>
    </row>
    <row r="138" spans="1:3" x14ac:dyDescent="0.35">
      <c r="A138" s="7" t="s">
        <v>2032</v>
      </c>
      <c r="B138">
        <v>64261.1</v>
      </c>
      <c r="C138">
        <v>23055.440000000002</v>
      </c>
    </row>
    <row r="139" spans="1:3" x14ac:dyDescent="0.35">
      <c r="A139" s="7" t="s">
        <v>2144</v>
      </c>
      <c r="B139">
        <v>85941.9</v>
      </c>
      <c r="C139">
        <v>23037.86</v>
      </c>
    </row>
    <row r="140" spans="1:3" x14ac:dyDescent="0.35">
      <c r="A140" s="7" t="s">
        <v>2214</v>
      </c>
      <c r="B140">
        <v>86845</v>
      </c>
      <c r="C140">
        <v>22891.77</v>
      </c>
    </row>
    <row r="141" spans="1:3" x14ac:dyDescent="0.35">
      <c r="A141" s="7" t="s">
        <v>2395</v>
      </c>
      <c r="B141">
        <v>61651.199999999997</v>
      </c>
      <c r="C141">
        <v>22827.629999999997</v>
      </c>
    </row>
    <row r="142" spans="1:3" x14ac:dyDescent="0.35">
      <c r="A142" s="7" t="s">
        <v>2195</v>
      </c>
      <c r="B142">
        <v>71455.899999999994</v>
      </c>
      <c r="C142">
        <v>22708.03</v>
      </c>
    </row>
    <row r="143" spans="1:3" x14ac:dyDescent="0.35">
      <c r="A143" s="7" t="s">
        <v>2296</v>
      </c>
      <c r="B143">
        <v>71136.099999999991</v>
      </c>
      <c r="C143">
        <v>22622.54</v>
      </c>
    </row>
    <row r="144" spans="1:3" x14ac:dyDescent="0.35">
      <c r="A144" s="7" t="s">
        <v>2080</v>
      </c>
      <c r="B144">
        <v>68868.649999999994</v>
      </c>
      <c r="C144">
        <v>22493.71</v>
      </c>
    </row>
    <row r="145" spans="1:3" x14ac:dyDescent="0.35">
      <c r="A145" s="7" t="s">
        <v>2163</v>
      </c>
      <c r="B145">
        <v>82573.25</v>
      </c>
      <c r="C145">
        <v>22433.190000000002</v>
      </c>
    </row>
    <row r="146" spans="1:3" x14ac:dyDescent="0.35">
      <c r="A146" s="7" t="s">
        <v>2064</v>
      </c>
      <c r="B146">
        <v>53388</v>
      </c>
      <c r="C146">
        <v>22395.33</v>
      </c>
    </row>
    <row r="147" spans="1:3" x14ac:dyDescent="0.35">
      <c r="A147" s="7" t="s">
        <v>2312</v>
      </c>
      <c r="B147">
        <v>90316.35</v>
      </c>
      <c r="C147">
        <v>22258.61</v>
      </c>
    </row>
    <row r="148" spans="1:3" x14ac:dyDescent="0.35">
      <c r="A148" s="7" t="s">
        <v>2498</v>
      </c>
      <c r="B148">
        <v>66854.399999999994</v>
      </c>
      <c r="C148">
        <v>22134.9</v>
      </c>
    </row>
    <row r="149" spans="1:3" x14ac:dyDescent="0.35">
      <c r="A149" s="7" t="s">
        <v>2341</v>
      </c>
      <c r="B149">
        <v>71587.8</v>
      </c>
      <c r="C149">
        <v>22101.010000000002</v>
      </c>
    </row>
    <row r="150" spans="1:3" x14ac:dyDescent="0.35">
      <c r="A150" s="7" t="s">
        <v>2149</v>
      </c>
      <c r="B150">
        <v>75225.649999999994</v>
      </c>
      <c r="C150">
        <v>22084.11</v>
      </c>
    </row>
    <row r="151" spans="1:3" x14ac:dyDescent="0.35">
      <c r="A151" s="7" t="s">
        <v>2244</v>
      </c>
      <c r="B151">
        <v>64141.8</v>
      </c>
      <c r="C151">
        <v>21983.190000000002</v>
      </c>
    </row>
    <row r="152" spans="1:3" x14ac:dyDescent="0.35">
      <c r="A152" s="7" t="s">
        <v>2220</v>
      </c>
      <c r="B152">
        <v>82036</v>
      </c>
      <c r="C152">
        <v>21915.38</v>
      </c>
    </row>
    <row r="153" spans="1:3" x14ac:dyDescent="0.35">
      <c r="A153" s="7" t="s">
        <v>2462</v>
      </c>
      <c r="B153">
        <v>70123.700000000012</v>
      </c>
      <c r="C153">
        <v>21910.449999999997</v>
      </c>
    </row>
    <row r="154" spans="1:3" x14ac:dyDescent="0.35">
      <c r="A154" s="7" t="s">
        <v>2421</v>
      </c>
      <c r="B154">
        <v>70247.55</v>
      </c>
      <c r="C154">
        <v>21793.91</v>
      </c>
    </row>
    <row r="155" spans="1:3" x14ac:dyDescent="0.35">
      <c r="A155" s="7" t="s">
        <v>2132</v>
      </c>
      <c r="B155">
        <v>73339.799999999988</v>
      </c>
      <c r="C155">
        <v>21781.46</v>
      </c>
    </row>
    <row r="156" spans="1:3" x14ac:dyDescent="0.35">
      <c r="A156" s="7" t="s">
        <v>2068</v>
      </c>
      <c r="B156">
        <v>63195.400000000009</v>
      </c>
      <c r="C156">
        <v>21379.5</v>
      </c>
    </row>
    <row r="157" spans="1:3" x14ac:dyDescent="0.35">
      <c r="A157" s="7" t="s">
        <v>2391</v>
      </c>
      <c r="B157">
        <v>96018.35</v>
      </c>
      <c r="C157">
        <v>21175.690000000002</v>
      </c>
    </row>
    <row r="158" spans="1:3" x14ac:dyDescent="0.35">
      <c r="A158" s="7" t="s">
        <v>2077</v>
      </c>
      <c r="B158">
        <v>70705.600000000006</v>
      </c>
      <c r="C158">
        <v>21165.02</v>
      </c>
    </row>
    <row r="159" spans="1:3" x14ac:dyDescent="0.35">
      <c r="A159" s="7" t="s">
        <v>2479</v>
      </c>
      <c r="B159">
        <v>66922.8</v>
      </c>
      <c r="C159">
        <v>21060.89</v>
      </c>
    </row>
    <row r="160" spans="1:3" x14ac:dyDescent="0.35">
      <c r="A160" s="7" t="s">
        <v>2253</v>
      </c>
      <c r="B160">
        <v>55529.85</v>
      </c>
      <c r="C160">
        <v>21059.5</v>
      </c>
    </row>
    <row r="161" spans="1:3" x14ac:dyDescent="0.35">
      <c r="A161" s="7" t="s">
        <v>2231</v>
      </c>
      <c r="B161">
        <v>85463.9</v>
      </c>
      <c r="C161">
        <v>20783.130000000005</v>
      </c>
    </row>
    <row r="162" spans="1:3" x14ac:dyDescent="0.35">
      <c r="A162" s="7" t="s">
        <v>2385</v>
      </c>
      <c r="B162">
        <v>72075.299999999988</v>
      </c>
      <c r="C162">
        <v>20713.7</v>
      </c>
    </row>
    <row r="163" spans="1:3" x14ac:dyDescent="0.35">
      <c r="A163" s="7" t="s">
        <v>2234</v>
      </c>
      <c r="B163">
        <v>76693.649999999994</v>
      </c>
      <c r="C163">
        <v>20695.46</v>
      </c>
    </row>
    <row r="164" spans="1:3" x14ac:dyDescent="0.35">
      <c r="A164" s="7" t="s">
        <v>2199</v>
      </c>
      <c r="B164">
        <v>62154.400000000001</v>
      </c>
      <c r="C164">
        <v>20514.36</v>
      </c>
    </row>
    <row r="165" spans="1:3" x14ac:dyDescent="0.35">
      <c r="A165" s="7" t="s">
        <v>2403</v>
      </c>
      <c r="B165">
        <v>69207.200000000012</v>
      </c>
      <c r="C165">
        <v>20138.32</v>
      </c>
    </row>
    <row r="166" spans="1:3" x14ac:dyDescent="0.35">
      <c r="A166" s="7" t="s">
        <v>2059</v>
      </c>
      <c r="B166">
        <v>62766.9</v>
      </c>
      <c r="C166">
        <v>20106.900000000001</v>
      </c>
    </row>
    <row r="167" spans="1:3" x14ac:dyDescent="0.35">
      <c r="A167" s="7" t="s">
        <v>2127</v>
      </c>
      <c r="B167">
        <v>55370.5</v>
      </c>
      <c r="C167">
        <v>19967.080000000002</v>
      </c>
    </row>
    <row r="168" spans="1:3" x14ac:dyDescent="0.35">
      <c r="A168" s="7" t="s">
        <v>2044</v>
      </c>
      <c r="B168">
        <v>66283.100000000006</v>
      </c>
      <c r="C168">
        <v>19883.3</v>
      </c>
    </row>
    <row r="169" spans="1:3" x14ac:dyDescent="0.35">
      <c r="A169" s="7" t="s">
        <v>2133</v>
      </c>
      <c r="B169">
        <v>80886.899999999994</v>
      </c>
      <c r="C169">
        <v>19869.66</v>
      </c>
    </row>
    <row r="170" spans="1:3" x14ac:dyDescent="0.35">
      <c r="A170" s="7" t="s">
        <v>2212</v>
      </c>
      <c r="B170">
        <v>71685.450000000012</v>
      </c>
      <c r="C170">
        <v>19847.669999999998</v>
      </c>
    </row>
    <row r="171" spans="1:3" x14ac:dyDescent="0.35">
      <c r="A171" s="7" t="s">
        <v>2098</v>
      </c>
      <c r="B171">
        <v>71543.5</v>
      </c>
      <c r="C171">
        <v>19833.03</v>
      </c>
    </row>
    <row r="172" spans="1:3" x14ac:dyDescent="0.35">
      <c r="A172" s="7" t="s">
        <v>2409</v>
      </c>
      <c r="B172">
        <v>59963.3</v>
      </c>
      <c r="C172">
        <v>19721.57</v>
      </c>
    </row>
    <row r="173" spans="1:3" x14ac:dyDescent="0.35">
      <c r="A173" s="7" t="s">
        <v>2275</v>
      </c>
      <c r="B173">
        <v>71893.55</v>
      </c>
      <c r="C173">
        <v>19706.939999999999</v>
      </c>
    </row>
    <row r="174" spans="1:3" x14ac:dyDescent="0.35">
      <c r="A174" s="7" t="s">
        <v>2193</v>
      </c>
      <c r="B174">
        <v>71147.3</v>
      </c>
      <c r="C174">
        <v>19698.64</v>
      </c>
    </row>
    <row r="175" spans="1:3" x14ac:dyDescent="0.35">
      <c r="A175" s="7" t="s">
        <v>2170</v>
      </c>
      <c r="B175">
        <v>73334.399999999994</v>
      </c>
      <c r="C175">
        <v>19621.75</v>
      </c>
    </row>
    <row r="176" spans="1:3" x14ac:dyDescent="0.35">
      <c r="A176" s="7" t="s">
        <v>2113</v>
      </c>
      <c r="B176">
        <v>53756.25</v>
      </c>
      <c r="C176">
        <v>19619.84</v>
      </c>
    </row>
    <row r="177" spans="1:3" x14ac:dyDescent="0.35">
      <c r="A177" s="7" t="s">
        <v>2137</v>
      </c>
      <c r="B177">
        <v>56334.100000000006</v>
      </c>
      <c r="C177">
        <v>19519.77</v>
      </c>
    </row>
    <row r="178" spans="1:3" x14ac:dyDescent="0.35">
      <c r="A178" s="7" t="s">
        <v>2116</v>
      </c>
      <c r="B178">
        <v>72230.350000000006</v>
      </c>
      <c r="C178">
        <v>19444.760000000002</v>
      </c>
    </row>
    <row r="179" spans="1:3" x14ac:dyDescent="0.35">
      <c r="A179" s="7" t="s">
        <v>2450</v>
      </c>
      <c r="B179">
        <v>68085.75</v>
      </c>
      <c r="C179">
        <v>19400.519999999997</v>
      </c>
    </row>
    <row r="180" spans="1:3" x14ac:dyDescent="0.35">
      <c r="A180" s="7" t="s">
        <v>2336</v>
      </c>
      <c r="B180">
        <v>71125.149999999994</v>
      </c>
      <c r="C180">
        <v>19395.22</v>
      </c>
    </row>
    <row r="181" spans="1:3" x14ac:dyDescent="0.35">
      <c r="A181" s="7" t="s">
        <v>2257</v>
      </c>
      <c r="B181">
        <v>68835.05</v>
      </c>
      <c r="C181">
        <v>19367.3</v>
      </c>
    </row>
    <row r="182" spans="1:3" x14ac:dyDescent="0.35">
      <c r="A182" s="7" t="s">
        <v>2507</v>
      </c>
      <c r="B182">
        <v>48752.399999999994</v>
      </c>
      <c r="C182">
        <v>19338.36</v>
      </c>
    </row>
    <row r="183" spans="1:3" x14ac:dyDescent="0.35">
      <c r="A183" s="7" t="s">
        <v>2478</v>
      </c>
      <c r="B183">
        <v>53116.55</v>
      </c>
      <c r="C183">
        <v>19287.22</v>
      </c>
    </row>
    <row r="184" spans="1:3" x14ac:dyDescent="0.35">
      <c r="A184" s="7" t="s">
        <v>2316</v>
      </c>
      <c r="B184">
        <v>60517.8</v>
      </c>
      <c r="C184">
        <v>19206.18</v>
      </c>
    </row>
    <row r="185" spans="1:3" x14ac:dyDescent="0.35">
      <c r="A185" s="7" t="s">
        <v>2066</v>
      </c>
      <c r="B185">
        <v>61714.599999999991</v>
      </c>
      <c r="C185">
        <v>18984.780000000002</v>
      </c>
    </row>
    <row r="186" spans="1:3" x14ac:dyDescent="0.35">
      <c r="A186" s="7" t="s">
        <v>2428</v>
      </c>
      <c r="B186">
        <v>93479.35</v>
      </c>
      <c r="C186">
        <v>18897.27</v>
      </c>
    </row>
    <row r="187" spans="1:3" x14ac:dyDescent="0.35">
      <c r="A187" s="7" t="s">
        <v>2056</v>
      </c>
      <c r="B187">
        <v>69914.7</v>
      </c>
      <c r="C187">
        <v>18877.03</v>
      </c>
    </row>
    <row r="188" spans="1:3" x14ac:dyDescent="0.35">
      <c r="A188" s="7" t="s">
        <v>2179</v>
      </c>
      <c r="B188">
        <v>56934.149999999994</v>
      </c>
      <c r="C188">
        <v>18860.27</v>
      </c>
    </row>
    <row r="189" spans="1:3" x14ac:dyDescent="0.35">
      <c r="A189" s="7" t="s">
        <v>2446</v>
      </c>
      <c r="B189">
        <v>69455.5</v>
      </c>
      <c r="C189">
        <v>18823.650000000001</v>
      </c>
    </row>
    <row r="190" spans="1:3" x14ac:dyDescent="0.35">
      <c r="A190" s="7" t="s">
        <v>2031</v>
      </c>
      <c r="B190">
        <v>79556.649999999994</v>
      </c>
      <c r="C190">
        <v>18649.02</v>
      </c>
    </row>
    <row r="191" spans="1:3" x14ac:dyDescent="0.35">
      <c r="A191" s="7" t="s">
        <v>2122</v>
      </c>
      <c r="B191">
        <v>57110.8</v>
      </c>
      <c r="C191">
        <v>18611.32</v>
      </c>
    </row>
    <row r="192" spans="1:3" x14ac:dyDescent="0.35">
      <c r="A192" s="7" t="s">
        <v>2368</v>
      </c>
      <c r="B192">
        <v>61562.549999999996</v>
      </c>
      <c r="C192">
        <v>18598.47</v>
      </c>
    </row>
    <row r="193" spans="1:3" x14ac:dyDescent="0.35">
      <c r="A193" s="7" t="s">
        <v>2465</v>
      </c>
      <c r="B193">
        <v>82844.25</v>
      </c>
      <c r="C193">
        <v>18320.37</v>
      </c>
    </row>
    <row r="194" spans="1:3" x14ac:dyDescent="0.35">
      <c r="A194" s="7" t="s">
        <v>2183</v>
      </c>
      <c r="B194">
        <v>72366.3</v>
      </c>
      <c r="C194">
        <v>18302.059999999998</v>
      </c>
    </row>
    <row r="195" spans="1:3" x14ac:dyDescent="0.35">
      <c r="A195" s="7" t="s">
        <v>2445</v>
      </c>
      <c r="B195">
        <v>60558.149999999994</v>
      </c>
      <c r="C195">
        <v>18267.18</v>
      </c>
    </row>
    <row r="196" spans="1:3" x14ac:dyDescent="0.35">
      <c r="A196" s="7" t="s">
        <v>2104</v>
      </c>
      <c r="B196">
        <v>75859.149999999994</v>
      </c>
      <c r="C196">
        <v>18266.09</v>
      </c>
    </row>
    <row r="197" spans="1:3" x14ac:dyDescent="0.35">
      <c r="A197" s="7" t="s">
        <v>2171</v>
      </c>
      <c r="B197">
        <v>61848.2</v>
      </c>
      <c r="C197">
        <v>18230</v>
      </c>
    </row>
    <row r="198" spans="1:3" x14ac:dyDescent="0.35">
      <c r="A198" s="7" t="s">
        <v>2294</v>
      </c>
      <c r="B198">
        <v>66281.600000000006</v>
      </c>
      <c r="C198">
        <v>18224.8</v>
      </c>
    </row>
    <row r="199" spans="1:3" x14ac:dyDescent="0.35">
      <c r="A199" s="7" t="s">
        <v>2410</v>
      </c>
      <c r="B199">
        <v>48260.55</v>
      </c>
      <c r="C199">
        <v>18161.66</v>
      </c>
    </row>
    <row r="200" spans="1:3" x14ac:dyDescent="0.35">
      <c r="A200" s="7" t="s">
        <v>2355</v>
      </c>
      <c r="B200">
        <v>41958</v>
      </c>
      <c r="C200">
        <v>18141.699999999997</v>
      </c>
    </row>
    <row r="201" spans="1:3" x14ac:dyDescent="0.35">
      <c r="A201" s="7" t="s">
        <v>2065</v>
      </c>
      <c r="B201">
        <v>53537.65</v>
      </c>
      <c r="C201">
        <v>18098.849999999999</v>
      </c>
    </row>
    <row r="202" spans="1:3" x14ac:dyDescent="0.35">
      <c r="A202" s="7" t="s">
        <v>2067</v>
      </c>
      <c r="B202">
        <v>57279.35</v>
      </c>
      <c r="C202">
        <v>18009.690000000002</v>
      </c>
    </row>
    <row r="203" spans="1:3" x14ac:dyDescent="0.35">
      <c r="A203" s="7" t="s">
        <v>2291</v>
      </c>
      <c r="B203">
        <v>73367.8</v>
      </c>
      <c r="C203">
        <v>17967.29</v>
      </c>
    </row>
    <row r="204" spans="1:3" x14ac:dyDescent="0.35">
      <c r="A204" s="7" t="s">
        <v>2227</v>
      </c>
      <c r="B204">
        <v>64709.599999999999</v>
      </c>
      <c r="C204">
        <v>17903.18</v>
      </c>
    </row>
    <row r="205" spans="1:3" x14ac:dyDescent="0.35">
      <c r="A205" s="7" t="s">
        <v>2344</v>
      </c>
      <c r="B205">
        <v>84681.200000000012</v>
      </c>
      <c r="C205">
        <v>17800.23</v>
      </c>
    </row>
    <row r="206" spans="1:3" x14ac:dyDescent="0.35">
      <c r="A206" s="7" t="s">
        <v>2184</v>
      </c>
      <c r="B206">
        <v>73517.05</v>
      </c>
      <c r="C206">
        <v>17785.68</v>
      </c>
    </row>
    <row r="207" spans="1:3" x14ac:dyDescent="0.35">
      <c r="A207" s="7" t="s">
        <v>2242</v>
      </c>
      <c r="B207">
        <v>67346.899999999994</v>
      </c>
      <c r="C207">
        <v>17784.34</v>
      </c>
    </row>
    <row r="208" spans="1:3" x14ac:dyDescent="0.35">
      <c r="A208" s="7" t="s">
        <v>2071</v>
      </c>
      <c r="B208">
        <v>67155.399999999994</v>
      </c>
      <c r="C208">
        <v>17750.14</v>
      </c>
    </row>
    <row r="209" spans="1:3" x14ac:dyDescent="0.35">
      <c r="A209" s="7" t="s">
        <v>2101</v>
      </c>
      <c r="B209">
        <v>43140.800000000003</v>
      </c>
      <c r="C209">
        <v>17727.54</v>
      </c>
    </row>
    <row r="210" spans="1:3" x14ac:dyDescent="0.35">
      <c r="A210" s="7" t="s">
        <v>2052</v>
      </c>
      <c r="B210">
        <v>52302.25</v>
      </c>
      <c r="C210">
        <v>17661.16</v>
      </c>
    </row>
    <row r="211" spans="1:3" x14ac:dyDescent="0.35">
      <c r="A211" s="7" t="s">
        <v>2443</v>
      </c>
      <c r="B211">
        <v>50556</v>
      </c>
      <c r="C211">
        <v>17656.52</v>
      </c>
    </row>
    <row r="212" spans="1:3" x14ac:dyDescent="0.35">
      <c r="A212" s="7" t="s">
        <v>2225</v>
      </c>
      <c r="B212">
        <v>71337.2</v>
      </c>
      <c r="C212">
        <v>17652.16</v>
      </c>
    </row>
    <row r="213" spans="1:3" x14ac:dyDescent="0.35">
      <c r="A213" s="7" t="s">
        <v>2209</v>
      </c>
      <c r="B213">
        <v>45929.8</v>
      </c>
      <c r="C213">
        <v>17623.43</v>
      </c>
    </row>
    <row r="214" spans="1:3" x14ac:dyDescent="0.35">
      <c r="A214" s="7" t="s">
        <v>2457</v>
      </c>
      <c r="B214">
        <v>41146.199999999997</v>
      </c>
      <c r="C214">
        <v>17604.990000000002</v>
      </c>
    </row>
    <row r="215" spans="1:3" x14ac:dyDescent="0.35">
      <c r="A215" s="7" t="s">
        <v>2055</v>
      </c>
      <c r="B215">
        <v>69315.350000000006</v>
      </c>
      <c r="C215">
        <v>17585.870000000003</v>
      </c>
    </row>
    <row r="216" spans="1:3" x14ac:dyDescent="0.35">
      <c r="A216" s="7" t="s">
        <v>2035</v>
      </c>
      <c r="B216">
        <v>66644.5</v>
      </c>
      <c r="C216">
        <v>17487.98</v>
      </c>
    </row>
    <row r="217" spans="1:3" x14ac:dyDescent="0.35">
      <c r="A217" s="7" t="s">
        <v>2332</v>
      </c>
      <c r="B217">
        <v>58976.45</v>
      </c>
      <c r="C217">
        <v>17413.579999999998</v>
      </c>
    </row>
    <row r="218" spans="1:3" x14ac:dyDescent="0.35">
      <c r="A218" s="7" t="s">
        <v>2276</v>
      </c>
      <c r="B218">
        <v>71134.8</v>
      </c>
      <c r="C218">
        <v>17300.61</v>
      </c>
    </row>
    <row r="219" spans="1:3" x14ac:dyDescent="0.35">
      <c r="A219" s="7" t="s">
        <v>2204</v>
      </c>
      <c r="B219">
        <v>71285.7</v>
      </c>
      <c r="C219">
        <v>17209.25</v>
      </c>
    </row>
    <row r="220" spans="1:3" x14ac:dyDescent="0.35">
      <c r="A220" s="7" t="s">
        <v>2049</v>
      </c>
      <c r="B220">
        <v>39226</v>
      </c>
      <c r="C220">
        <v>17076.95</v>
      </c>
    </row>
    <row r="221" spans="1:3" x14ac:dyDescent="0.35">
      <c r="A221" s="7" t="s">
        <v>2228</v>
      </c>
      <c r="B221">
        <v>49273.8</v>
      </c>
      <c r="C221">
        <v>17073.41</v>
      </c>
    </row>
    <row r="222" spans="1:3" x14ac:dyDescent="0.35">
      <c r="A222" s="7" t="s">
        <v>2404</v>
      </c>
      <c r="B222">
        <v>54282.45</v>
      </c>
      <c r="C222">
        <v>17069.79</v>
      </c>
    </row>
    <row r="223" spans="1:3" x14ac:dyDescent="0.35">
      <c r="A223" s="7" t="s">
        <v>2229</v>
      </c>
      <c r="B223">
        <v>56597.5</v>
      </c>
      <c r="C223">
        <v>17058.330000000002</v>
      </c>
    </row>
    <row r="224" spans="1:3" x14ac:dyDescent="0.35">
      <c r="A224" s="7" t="s">
        <v>2436</v>
      </c>
      <c r="B224">
        <v>50286.400000000001</v>
      </c>
      <c r="C224">
        <v>16941.810000000001</v>
      </c>
    </row>
    <row r="225" spans="1:3" x14ac:dyDescent="0.35">
      <c r="A225" s="7" t="s">
        <v>2095</v>
      </c>
      <c r="B225">
        <v>44280.800000000003</v>
      </c>
      <c r="C225">
        <v>16911.97</v>
      </c>
    </row>
    <row r="226" spans="1:3" x14ac:dyDescent="0.35">
      <c r="A226" s="7" t="s">
        <v>2063</v>
      </c>
      <c r="B226">
        <v>44920.9</v>
      </c>
      <c r="C226">
        <v>16907.559999999998</v>
      </c>
    </row>
    <row r="227" spans="1:3" x14ac:dyDescent="0.35">
      <c r="A227" s="7" t="s">
        <v>2145</v>
      </c>
      <c r="B227">
        <v>48305.9</v>
      </c>
      <c r="C227">
        <v>16885.739999999998</v>
      </c>
    </row>
    <row r="228" spans="1:3" x14ac:dyDescent="0.35">
      <c r="A228" s="7" t="s">
        <v>2148</v>
      </c>
      <c r="B228">
        <v>53473.15</v>
      </c>
      <c r="C228">
        <v>16840.03</v>
      </c>
    </row>
    <row r="229" spans="1:3" x14ac:dyDescent="0.35">
      <c r="A229" s="7" t="s">
        <v>2337</v>
      </c>
      <c r="B229">
        <v>58196.7</v>
      </c>
      <c r="C229">
        <v>16799.239999999998</v>
      </c>
    </row>
    <row r="230" spans="1:3" x14ac:dyDescent="0.35">
      <c r="A230" s="7" t="s">
        <v>2308</v>
      </c>
      <c r="B230">
        <v>50149.5</v>
      </c>
      <c r="C230">
        <v>16704.940000000002</v>
      </c>
    </row>
    <row r="231" spans="1:3" x14ac:dyDescent="0.35">
      <c r="A231" s="7" t="s">
        <v>2500</v>
      </c>
      <c r="B231">
        <v>48242.25</v>
      </c>
      <c r="C231">
        <v>16700.64</v>
      </c>
    </row>
    <row r="232" spans="1:3" x14ac:dyDescent="0.35">
      <c r="A232" s="7" t="s">
        <v>2513</v>
      </c>
      <c r="B232">
        <v>43055</v>
      </c>
      <c r="C232">
        <v>16677.91</v>
      </c>
    </row>
    <row r="233" spans="1:3" x14ac:dyDescent="0.35">
      <c r="A233" s="7" t="s">
        <v>2320</v>
      </c>
      <c r="B233">
        <v>48383.75</v>
      </c>
      <c r="C233">
        <v>16673.53</v>
      </c>
    </row>
    <row r="234" spans="1:3" x14ac:dyDescent="0.35">
      <c r="A234" s="7" t="s">
        <v>2191</v>
      </c>
      <c r="B234">
        <v>52836.75</v>
      </c>
      <c r="C234">
        <v>16658.43</v>
      </c>
    </row>
    <row r="235" spans="1:3" x14ac:dyDescent="0.35">
      <c r="A235" s="7" t="s">
        <v>2207</v>
      </c>
      <c r="B235">
        <v>49028.350000000006</v>
      </c>
      <c r="C235">
        <v>16655.03</v>
      </c>
    </row>
    <row r="236" spans="1:3" x14ac:dyDescent="0.35">
      <c r="A236" s="7" t="s">
        <v>2219</v>
      </c>
      <c r="B236">
        <v>51487</v>
      </c>
      <c r="C236">
        <v>16633.63</v>
      </c>
    </row>
    <row r="237" spans="1:3" x14ac:dyDescent="0.35">
      <c r="A237" s="7" t="s">
        <v>2401</v>
      </c>
      <c r="B237">
        <v>69469.2</v>
      </c>
      <c r="C237">
        <v>16482.060000000001</v>
      </c>
    </row>
    <row r="238" spans="1:3" x14ac:dyDescent="0.35">
      <c r="A238" s="7" t="s">
        <v>2249</v>
      </c>
      <c r="B238">
        <v>55162.6</v>
      </c>
      <c r="C238">
        <v>16481.98</v>
      </c>
    </row>
    <row r="239" spans="1:3" x14ac:dyDescent="0.35">
      <c r="A239" s="7" t="s">
        <v>2247</v>
      </c>
      <c r="B239">
        <v>71133.600000000006</v>
      </c>
      <c r="C239">
        <v>16457.75</v>
      </c>
    </row>
    <row r="240" spans="1:3" x14ac:dyDescent="0.35">
      <c r="A240" s="7" t="s">
        <v>2213</v>
      </c>
      <c r="B240">
        <v>49927.05</v>
      </c>
      <c r="C240">
        <v>16283.12</v>
      </c>
    </row>
    <row r="241" spans="1:3" x14ac:dyDescent="0.35">
      <c r="A241" s="7" t="s">
        <v>2038</v>
      </c>
      <c r="B241">
        <v>41185.899999999994</v>
      </c>
      <c r="C241">
        <v>16261.120000000003</v>
      </c>
    </row>
    <row r="242" spans="1:3" x14ac:dyDescent="0.35">
      <c r="A242" s="7" t="s">
        <v>2377</v>
      </c>
      <c r="B242">
        <v>54668.800000000003</v>
      </c>
      <c r="C242">
        <v>16130.61</v>
      </c>
    </row>
    <row r="243" spans="1:3" x14ac:dyDescent="0.35">
      <c r="A243" s="7" t="s">
        <v>2181</v>
      </c>
      <c r="B243">
        <v>51051.7</v>
      </c>
      <c r="C243">
        <v>16096.88</v>
      </c>
    </row>
    <row r="244" spans="1:3" x14ac:dyDescent="0.35">
      <c r="A244" s="7" t="s">
        <v>2484</v>
      </c>
      <c r="B244">
        <v>61399.9</v>
      </c>
      <c r="C244">
        <v>15969.95</v>
      </c>
    </row>
    <row r="245" spans="1:3" x14ac:dyDescent="0.35">
      <c r="A245" s="7" t="s">
        <v>2086</v>
      </c>
      <c r="B245">
        <v>64749.7</v>
      </c>
      <c r="C245">
        <v>15815.189999999999</v>
      </c>
    </row>
    <row r="246" spans="1:3" x14ac:dyDescent="0.35">
      <c r="A246" s="7" t="s">
        <v>2245</v>
      </c>
      <c r="B246">
        <v>59008.2</v>
      </c>
      <c r="C246">
        <v>15789.33</v>
      </c>
    </row>
    <row r="247" spans="1:3" x14ac:dyDescent="0.35">
      <c r="A247" s="7" t="s">
        <v>2438</v>
      </c>
      <c r="B247">
        <v>72484.950000000012</v>
      </c>
      <c r="C247">
        <v>15785.47</v>
      </c>
    </row>
    <row r="248" spans="1:3" x14ac:dyDescent="0.35">
      <c r="A248" s="7" t="s">
        <v>2108</v>
      </c>
      <c r="B248">
        <v>49282.7</v>
      </c>
      <c r="C248">
        <v>15757.149999999998</v>
      </c>
    </row>
    <row r="249" spans="1:3" x14ac:dyDescent="0.35">
      <c r="A249" s="7" t="s">
        <v>2254</v>
      </c>
      <c r="B249">
        <v>47575.7</v>
      </c>
      <c r="C249">
        <v>15733.99</v>
      </c>
    </row>
    <row r="250" spans="1:3" x14ac:dyDescent="0.35">
      <c r="A250" s="7" t="s">
        <v>2411</v>
      </c>
      <c r="B250">
        <v>41663.65</v>
      </c>
      <c r="C250">
        <v>15701.130000000001</v>
      </c>
    </row>
    <row r="251" spans="1:3" x14ac:dyDescent="0.35">
      <c r="A251" s="7" t="s">
        <v>2383</v>
      </c>
      <c r="B251">
        <v>53292.55</v>
      </c>
      <c r="C251">
        <v>15668.99</v>
      </c>
    </row>
    <row r="252" spans="1:3" x14ac:dyDescent="0.35">
      <c r="A252" s="7" t="s">
        <v>2307</v>
      </c>
      <c r="B252">
        <v>55586.400000000001</v>
      </c>
      <c r="C252">
        <v>15543.07</v>
      </c>
    </row>
    <row r="253" spans="1:3" x14ac:dyDescent="0.35">
      <c r="A253" s="7" t="s">
        <v>2397</v>
      </c>
      <c r="B253">
        <v>47097.45</v>
      </c>
      <c r="C253">
        <v>15511.58</v>
      </c>
    </row>
    <row r="254" spans="1:3" x14ac:dyDescent="0.35">
      <c r="A254" s="7" t="s">
        <v>2078</v>
      </c>
      <c r="B254">
        <v>85062.849999999991</v>
      </c>
      <c r="C254">
        <v>15486.840000000002</v>
      </c>
    </row>
    <row r="255" spans="1:3" x14ac:dyDescent="0.35">
      <c r="A255" s="7" t="s">
        <v>2342</v>
      </c>
      <c r="B255">
        <v>43491.75</v>
      </c>
      <c r="C255">
        <v>15434.78</v>
      </c>
    </row>
    <row r="256" spans="1:3" x14ac:dyDescent="0.35">
      <c r="A256" s="7" t="s">
        <v>2190</v>
      </c>
      <c r="B256">
        <v>46810.149999999994</v>
      </c>
      <c r="C256">
        <v>15394.86</v>
      </c>
    </row>
    <row r="257" spans="1:3" x14ac:dyDescent="0.35">
      <c r="A257" s="7" t="s">
        <v>2180</v>
      </c>
      <c r="B257">
        <v>37529.5</v>
      </c>
      <c r="C257">
        <v>15305.869999999999</v>
      </c>
    </row>
    <row r="258" spans="1:3" x14ac:dyDescent="0.35">
      <c r="A258" s="7" t="s">
        <v>2036</v>
      </c>
      <c r="B258">
        <v>69825.899999999994</v>
      </c>
      <c r="C258">
        <v>15265.15</v>
      </c>
    </row>
    <row r="259" spans="1:3" x14ac:dyDescent="0.35">
      <c r="A259" s="7" t="s">
        <v>2238</v>
      </c>
      <c r="B259">
        <v>62163.6</v>
      </c>
      <c r="C259">
        <v>15167.579999999998</v>
      </c>
    </row>
    <row r="260" spans="1:3" x14ac:dyDescent="0.35">
      <c r="A260" s="7" t="s">
        <v>2415</v>
      </c>
      <c r="B260">
        <v>49740.75</v>
      </c>
      <c r="C260">
        <v>15093.439999999999</v>
      </c>
    </row>
    <row r="261" spans="1:3" x14ac:dyDescent="0.35">
      <c r="A261" s="7" t="s">
        <v>2480</v>
      </c>
      <c r="B261">
        <v>53591.4</v>
      </c>
      <c r="C261">
        <v>15090.130000000001</v>
      </c>
    </row>
    <row r="262" spans="1:3" x14ac:dyDescent="0.35">
      <c r="A262" s="7" t="s">
        <v>2311</v>
      </c>
      <c r="B262">
        <v>47308.800000000003</v>
      </c>
      <c r="C262">
        <v>15087.74</v>
      </c>
    </row>
    <row r="263" spans="1:3" x14ac:dyDescent="0.35">
      <c r="A263" s="7" t="s">
        <v>2456</v>
      </c>
      <c r="B263">
        <v>50932.35</v>
      </c>
      <c r="C263">
        <v>15023.84</v>
      </c>
    </row>
    <row r="264" spans="1:3" x14ac:dyDescent="0.35">
      <c r="A264" s="7" t="s">
        <v>2198</v>
      </c>
      <c r="B264">
        <v>60981.9</v>
      </c>
      <c r="C264">
        <v>14926.419999999998</v>
      </c>
    </row>
    <row r="265" spans="1:3" x14ac:dyDescent="0.35">
      <c r="A265" s="7" t="s">
        <v>2458</v>
      </c>
      <c r="B265">
        <v>75139.600000000006</v>
      </c>
      <c r="C265">
        <v>14874.32</v>
      </c>
    </row>
    <row r="266" spans="1:3" x14ac:dyDescent="0.35">
      <c r="A266" s="7" t="s">
        <v>2363</v>
      </c>
      <c r="B266">
        <v>46980.05</v>
      </c>
      <c r="C266">
        <v>14828.02</v>
      </c>
    </row>
    <row r="267" spans="1:3" x14ac:dyDescent="0.35">
      <c r="A267" s="7" t="s">
        <v>2182</v>
      </c>
      <c r="B267">
        <v>57999.899999999994</v>
      </c>
      <c r="C267">
        <v>14825.669999999998</v>
      </c>
    </row>
    <row r="268" spans="1:3" x14ac:dyDescent="0.35">
      <c r="A268" s="7" t="s">
        <v>2034</v>
      </c>
      <c r="B268">
        <v>50871.350000000006</v>
      </c>
      <c r="C268">
        <v>14746.529999999999</v>
      </c>
    </row>
    <row r="269" spans="1:3" x14ac:dyDescent="0.35">
      <c r="A269" s="7" t="s">
        <v>2379</v>
      </c>
      <c r="B269">
        <v>48893.899999999994</v>
      </c>
      <c r="C269">
        <v>14680.96</v>
      </c>
    </row>
    <row r="270" spans="1:3" x14ac:dyDescent="0.35">
      <c r="A270" s="7" t="s">
        <v>2283</v>
      </c>
      <c r="B270">
        <v>44479.1</v>
      </c>
      <c r="C270">
        <v>14680.710000000001</v>
      </c>
    </row>
    <row r="271" spans="1:3" x14ac:dyDescent="0.35">
      <c r="A271" s="7" t="s">
        <v>2185</v>
      </c>
      <c r="B271">
        <v>73740.399999999994</v>
      </c>
      <c r="C271">
        <v>14619.27</v>
      </c>
    </row>
    <row r="272" spans="1:3" x14ac:dyDescent="0.35">
      <c r="A272" s="7" t="s">
        <v>2441</v>
      </c>
      <c r="B272">
        <v>55733.600000000006</v>
      </c>
      <c r="C272">
        <v>14607.119999999999</v>
      </c>
    </row>
    <row r="273" spans="1:3" x14ac:dyDescent="0.35">
      <c r="A273" s="7" t="s">
        <v>2372</v>
      </c>
      <c r="B273">
        <v>44261.25</v>
      </c>
      <c r="C273">
        <v>14546.36</v>
      </c>
    </row>
    <row r="274" spans="1:3" x14ac:dyDescent="0.35">
      <c r="A274" s="7" t="s">
        <v>2354</v>
      </c>
      <c r="B274">
        <v>37936.050000000003</v>
      </c>
      <c r="C274">
        <v>14508.03</v>
      </c>
    </row>
    <row r="275" spans="1:3" x14ac:dyDescent="0.35">
      <c r="A275" s="7" t="s">
        <v>2167</v>
      </c>
      <c r="B275">
        <v>45498.45</v>
      </c>
      <c r="C275">
        <v>14502.16</v>
      </c>
    </row>
    <row r="276" spans="1:3" x14ac:dyDescent="0.35">
      <c r="A276" s="7" t="s">
        <v>2488</v>
      </c>
      <c r="B276">
        <v>43508.7</v>
      </c>
      <c r="C276">
        <v>14367.24</v>
      </c>
    </row>
    <row r="277" spans="1:3" x14ac:dyDescent="0.35">
      <c r="A277" s="7" t="s">
        <v>2091</v>
      </c>
      <c r="B277">
        <v>60011.8</v>
      </c>
      <c r="C277">
        <v>14299.470000000001</v>
      </c>
    </row>
    <row r="278" spans="1:3" x14ac:dyDescent="0.35">
      <c r="A278" s="7" t="s">
        <v>2123</v>
      </c>
      <c r="B278">
        <v>56823.45</v>
      </c>
      <c r="C278">
        <v>14291.990000000002</v>
      </c>
    </row>
    <row r="279" spans="1:3" x14ac:dyDescent="0.35">
      <c r="A279" s="7" t="s">
        <v>2366</v>
      </c>
      <c r="B279">
        <v>42663</v>
      </c>
      <c r="C279">
        <v>14241.27</v>
      </c>
    </row>
    <row r="280" spans="1:3" x14ac:dyDescent="0.35">
      <c r="A280" s="7" t="s">
        <v>2333</v>
      </c>
      <c r="B280">
        <v>39836</v>
      </c>
      <c r="C280">
        <v>14210.06</v>
      </c>
    </row>
    <row r="281" spans="1:3" x14ac:dyDescent="0.35">
      <c r="A281" s="7" t="s">
        <v>2470</v>
      </c>
      <c r="B281">
        <v>36462.5</v>
      </c>
      <c r="C281">
        <v>14176.57</v>
      </c>
    </row>
    <row r="282" spans="1:3" x14ac:dyDescent="0.35">
      <c r="A282" s="7" t="s">
        <v>2313</v>
      </c>
      <c r="B282">
        <v>54225.1</v>
      </c>
      <c r="C282">
        <v>14101.29</v>
      </c>
    </row>
    <row r="283" spans="1:3" x14ac:dyDescent="0.35">
      <c r="A283" s="7" t="s">
        <v>2339</v>
      </c>
      <c r="B283">
        <v>51479.4</v>
      </c>
      <c r="C283">
        <v>13989.36</v>
      </c>
    </row>
    <row r="284" spans="1:3" x14ac:dyDescent="0.35">
      <c r="A284" s="7" t="s">
        <v>2353</v>
      </c>
      <c r="B284">
        <v>57413.4</v>
      </c>
      <c r="C284">
        <v>13923.89</v>
      </c>
    </row>
    <row r="285" spans="1:3" x14ac:dyDescent="0.35">
      <c r="A285" s="7" t="s">
        <v>2232</v>
      </c>
      <c r="B285">
        <v>36942.300000000003</v>
      </c>
      <c r="C285">
        <v>13899.5</v>
      </c>
    </row>
    <row r="286" spans="1:3" x14ac:dyDescent="0.35">
      <c r="A286" s="7" t="s">
        <v>2208</v>
      </c>
      <c r="B286">
        <v>58405.7</v>
      </c>
      <c r="C286">
        <v>13831.18</v>
      </c>
    </row>
    <row r="287" spans="1:3" x14ac:dyDescent="0.35">
      <c r="A287" s="7" t="s">
        <v>2221</v>
      </c>
      <c r="B287">
        <v>43954</v>
      </c>
      <c r="C287">
        <v>13794.29</v>
      </c>
    </row>
    <row r="288" spans="1:3" x14ac:dyDescent="0.35">
      <c r="A288" s="7" t="s">
        <v>2430</v>
      </c>
      <c r="B288">
        <v>42253.4</v>
      </c>
      <c r="C288">
        <v>13791.79</v>
      </c>
    </row>
    <row r="289" spans="1:3" x14ac:dyDescent="0.35">
      <c r="A289" s="7" t="s">
        <v>2318</v>
      </c>
      <c r="B289">
        <v>56733.5</v>
      </c>
      <c r="C289">
        <v>13776.599999999999</v>
      </c>
    </row>
    <row r="290" spans="1:3" x14ac:dyDescent="0.35">
      <c r="A290" s="7" t="s">
        <v>2112</v>
      </c>
      <c r="B290">
        <v>41243.050000000003</v>
      </c>
      <c r="C290">
        <v>13714.69</v>
      </c>
    </row>
    <row r="291" spans="1:3" x14ac:dyDescent="0.35">
      <c r="A291" s="7" t="s">
        <v>2200</v>
      </c>
      <c r="B291">
        <v>46642.6</v>
      </c>
      <c r="C291">
        <v>13504.529999999999</v>
      </c>
    </row>
    <row r="292" spans="1:3" x14ac:dyDescent="0.35">
      <c r="A292" s="7" t="s">
        <v>2085</v>
      </c>
      <c r="B292">
        <v>69838.149999999994</v>
      </c>
      <c r="C292">
        <v>13485.890000000001</v>
      </c>
    </row>
    <row r="293" spans="1:3" x14ac:dyDescent="0.35">
      <c r="A293" s="7" t="s">
        <v>2459</v>
      </c>
      <c r="B293">
        <v>54482.049999999996</v>
      </c>
      <c r="C293">
        <v>13473.44</v>
      </c>
    </row>
    <row r="294" spans="1:3" x14ac:dyDescent="0.35">
      <c r="A294" s="7" t="s">
        <v>2079</v>
      </c>
      <c r="B294">
        <v>43462.9</v>
      </c>
      <c r="C294">
        <v>13472.6</v>
      </c>
    </row>
    <row r="295" spans="1:3" x14ac:dyDescent="0.35">
      <c r="A295" s="7" t="s">
        <v>2046</v>
      </c>
      <c r="B295">
        <v>45710.55</v>
      </c>
      <c r="C295">
        <v>13380.29</v>
      </c>
    </row>
    <row r="296" spans="1:3" x14ac:dyDescent="0.35">
      <c r="A296" s="7" t="s">
        <v>2440</v>
      </c>
      <c r="B296">
        <v>35860</v>
      </c>
      <c r="C296">
        <v>13217.06</v>
      </c>
    </row>
    <row r="297" spans="1:3" x14ac:dyDescent="0.35">
      <c r="A297" s="7" t="s">
        <v>2073</v>
      </c>
      <c r="B297">
        <v>35948</v>
      </c>
      <c r="C297">
        <v>13189.02</v>
      </c>
    </row>
    <row r="298" spans="1:3" x14ac:dyDescent="0.35">
      <c r="A298" s="7" t="s">
        <v>2509</v>
      </c>
      <c r="B298">
        <v>52125.649999999994</v>
      </c>
      <c r="C298">
        <v>13177.19</v>
      </c>
    </row>
    <row r="299" spans="1:3" x14ac:dyDescent="0.35">
      <c r="A299" s="7" t="s">
        <v>2260</v>
      </c>
      <c r="B299">
        <v>49471.75</v>
      </c>
      <c r="C299">
        <v>13143.21</v>
      </c>
    </row>
    <row r="300" spans="1:3" x14ac:dyDescent="0.35">
      <c r="A300" s="7" t="s">
        <v>2431</v>
      </c>
      <c r="B300">
        <v>53749.9</v>
      </c>
      <c r="C300">
        <v>13109.32</v>
      </c>
    </row>
    <row r="301" spans="1:3" x14ac:dyDescent="0.35">
      <c r="A301" s="7" t="s">
        <v>2266</v>
      </c>
      <c r="B301">
        <v>45973.8</v>
      </c>
      <c r="C301">
        <v>13098</v>
      </c>
    </row>
    <row r="302" spans="1:3" x14ac:dyDescent="0.35">
      <c r="A302" s="7" t="s">
        <v>2160</v>
      </c>
      <c r="B302">
        <v>50246.700000000004</v>
      </c>
      <c r="C302">
        <v>13067.06</v>
      </c>
    </row>
    <row r="303" spans="1:3" x14ac:dyDescent="0.35">
      <c r="A303" s="7" t="s">
        <v>2029</v>
      </c>
      <c r="B303">
        <v>40872.199999999997</v>
      </c>
      <c r="C303">
        <v>13028.73</v>
      </c>
    </row>
    <row r="304" spans="1:3" x14ac:dyDescent="0.35">
      <c r="A304" s="7" t="s">
        <v>2521</v>
      </c>
      <c r="B304">
        <v>37760</v>
      </c>
      <c r="C304">
        <v>13003</v>
      </c>
    </row>
    <row r="305" spans="1:3" x14ac:dyDescent="0.35">
      <c r="A305" s="7" t="s">
        <v>2109</v>
      </c>
      <c r="B305">
        <v>42658.5</v>
      </c>
      <c r="C305">
        <v>12977.62</v>
      </c>
    </row>
    <row r="306" spans="1:3" x14ac:dyDescent="0.35">
      <c r="A306" s="7" t="s">
        <v>2243</v>
      </c>
      <c r="B306">
        <v>48598.2</v>
      </c>
      <c r="C306">
        <v>12974.58</v>
      </c>
    </row>
    <row r="307" spans="1:3" x14ac:dyDescent="0.35">
      <c r="A307" s="7" t="s">
        <v>2378</v>
      </c>
      <c r="B307">
        <v>52704.9</v>
      </c>
      <c r="C307">
        <v>12605.99</v>
      </c>
    </row>
    <row r="308" spans="1:3" x14ac:dyDescent="0.35">
      <c r="A308" s="7" t="s">
        <v>2374</v>
      </c>
      <c r="B308">
        <v>60990.15</v>
      </c>
      <c r="C308">
        <v>12540.470000000001</v>
      </c>
    </row>
    <row r="309" spans="1:3" x14ac:dyDescent="0.35">
      <c r="A309" s="7" t="s">
        <v>2196</v>
      </c>
      <c r="B309">
        <v>39928.950000000004</v>
      </c>
      <c r="C309">
        <v>12484.23</v>
      </c>
    </row>
    <row r="310" spans="1:3" x14ac:dyDescent="0.35">
      <c r="A310" s="7" t="s">
        <v>2115</v>
      </c>
      <c r="B310">
        <v>50795.9</v>
      </c>
      <c r="C310">
        <v>12451.079999999998</v>
      </c>
    </row>
    <row r="311" spans="1:3" x14ac:dyDescent="0.35">
      <c r="A311" s="7" t="s">
        <v>2493</v>
      </c>
      <c r="B311">
        <v>53409.15</v>
      </c>
      <c r="C311">
        <v>12446.94</v>
      </c>
    </row>
    <row r="312" spans="1:3" x14ac:dyDescent="0.35">
      <c r="A312" s="7" t="s">
        <v>2280</v>
      </c>
      <c r="B312">
        <v>33650</v>
      </c>
      <c r="C312">
        <v>12405.95</v>
      </c>
    </row>
    <row r="313" spans="1:3" x14ac:dyDescent="0.35">
      <c r="A313" s="7" t="s">
        <v>2350</v>
      </c>
      <c r="B313">
        <v>36782.400000000001</v>
      </c>
      <c r="C313">
        <v>12403.150000000001</v>
      </c>
    </row>
    <row r="314" spans="1:3" x14ac:dyDescent="0.35">
      <c r="A314" s="7" t="s">
        <v>2400</v>
      </c>
      <c r="B314">
        <v>59875.55</v>
      </c>
      <c r="C314">
        <v>12296.3</v>
      </c>
    </row>
    <row r="315" spans="1:3" x14ac:dyDescent="0.35">
      <c r="A315" s="7" t="s">
        <v>2347</v>
      </c>
      <c r="B315">
        <v>29527.199999999997</v>
      </c>
      <c r="C315">
        <v>12250</v>
      </c>
    </row>
    <row r="316" spans="1:3" x14ac:dyDescent="0.35">
      <c r="A316" s="7" t="s">
        <v>2159</v>
      </c>
      <c r="B316">
        <v>50431.600000000006</v>
      </c>
      <c r="C316">
        <v>12238.56</v>
      </c>
    </row>
    <row r="317" spans="1:3" x14ac:dyDescent="0.35">
      <c r="A317" s="7" t="s">
        <v>2468</v>
      </c>
      <c r="B317">
        <v>40583.75</v>
      </c>
      <c r="C317">
        <v>12169.74</v>
      </c>
    </row>
    <row r="318" spans="1:3" x14ac:dyDescent="0.35">
      <c r="A318" s="7" t="s">
        <v>2471</v>
      </c>
      <c r="B318">
        <v>48241.600000000006</v>
      </c>
      <c r="C318">
        <v>12115.189999999999</v>
      </c>
    </row>
    <row r="319" spans="1:3" x14ac:dyDescent="0.35">
      <c r="A319" s="7" t="s">
        <v>2429</v>
      </c>
      <c r="B319">
        <v>61230.3</v>
      </c>
      <c r="C319">
        <v>12104.02</v>
      </c>
    </row>
    <row r="320" spans="1:3" x14ac:dyDescent="0.35">
      <c r="A320" s="7" t="s">
        <v>2402</v>
      </c>
      <c r="B320">
        <v>54854.85</v>
      </c>
      <c r="C320">
        <v>12069.39</v>
      </c>
    </row>
    <row r="321" spans="1:3" x14ac:dyDescent="0.35">
      <c r="A321" s="7" t="s">
        <v>2174</v>
      </c>
      <c r="B321">
        <v>37326.400000000001</v>
      </c>
      <c r="C321">
        <v>12025.36</v>
      </c>
    </row>
    <row r="322" spans="1:3" x14ac:dyDescent="0.35">
      <c r="A322" s="7" t="s">
        <v>2356</v>
      </c>
      <c r="B322">
        <v>47418</v>
      </c>
      <c r="C322">
        <v>12001.69</v>
      </c>
    </row>
    <row r="323" spans="1:3" x14ac:dyDescent="0.35">
      <c r="A323" s="7" t="s">
        <v>2087</v>
      </c>
      <c r="B323">
        <v>29870.5</v>
      </c>
      <c r="C323">
        <v>11974.32</v>
      </c>
    </row>
    <row r="324" spans="1:3" x14ac:dyDescent="0.35">
      <c r="A324" s="7" t="s">
        <v>2255</v>
      </c>
      <c r="B324">
        <v>41002.5</v>
      </c>
      <c r="C324">
        <v>11952.95</v>
      </c>
    </row>
    <row r="325" spans="1:3" x14ac:dyDescent="0.35">
      <c r="A325" s="7" t="s">
        <v>2490</v>
      </c>
      <c r="B325">
        <v>25137</v>
      </c>
      <c r="C325">
        <v>11946.189999999999</v>
      </c>
    </row>
    <row r="326" spans="1:3" x14ac:dyDescent="0.35">
      <c r="A326" s="7" t="s">
        <v>2453</v>
      </c>
      <c r="B326">
        <v>30158.799999999999</v>
      </c>
      <c r="C326">
        <v>11892.05</v>
      </c>
    </row>
    <row r="327" spans="1:3" x14ac:dyDescent="0.35">
      <c r="A327" s="7" t="s">
        <v>2277</v>
      </c>
      <c r="B327">
        <v>58948.2</v>
      </c>
      <c r="C327">
        <v>11832.11</v>
      </c>
    </row>
    <row r="328" spans="1:3" x14ac:dyDescent="0.35">
      <c r="A328" s="7" t="s">
        <v>2481</v>
      </c>
      <c r="B328">
        <v>39383.4</v>
      </c>
      <c r="C328">
        <v>11693.77</v>
      </c>
    </row>
    <row r="329" spans="1:3" x14ac:dyDescent="0.35">
      <c r="A329" s="7" t="s">
        <v>2420</v>
      </c>
      <c r="B329">
        <v>40476</v>
      </c>
      <c r="C329">
        <v>11668.61</v>
      </c>
    </row>
    <row r="330" spans="1:3" x14ac:dyDescent="0.35">
      <c r="A330" s="7" t="s">
        <v>2033</v>
      </c>
      <c r="B330">
        <v>26359.35</v>
      </c>
      <c r="C330">
        <v>11649.66</v>
      </c>
    </row>
    <row r="331" spans="1:3" x14ac:dyDescent="0.35">
      <c r="A331" s="7" t="s">
        <v>2165</v>
      </c>
      <c r="B331">
        <v>35451.300000000003</v>
      </c>
      <c r="C331">
        <v>11590.900000000001</v>
      </c>
    </row>
    <row r="332" spans="1:3" x14ac:dyDescent="0.35">
      <c r="A332" s="7" t="s">
        <v>2362</v>
      </c>
      <c r="B332">
        <v>40717</v>
      </c>
      <c r="C332">
        <v>11553.64</v>
      </c>
    </row>
    <row r="333" spans="1:3" x14ac:dyDescent="0.35">
      <c r="A333" s="7" t="s">
        <v>2460</v>
      </c>
      <c r="B333">
        <v>37738.1</v>
      </c>
      <c r="C333">
        <v>11533.16</v>
      </c>
    </row>
    <row r="334" spans="1:3" x14ac:dyDescent="0.35">
      <c r="A334" s="7" t="s">
        <v>2388</v>
      </c>
      <c r="B334">
        <v>31578.7</v>
      </c>
      <c r="C334">
        <v>11493.66</v>
      </c>
    </row>
    <row r="335" spans="1:3" x14ac:dyDescent="0.35">
      <c r="A335" s="7" t="s">
        <v>2263</v>
      </c>
      <c r="B335">
        <v>40567.85</v>
      </c>
      <c r="C335">
        <v>11459.380000000001</v>
      </c>
    </row>
    <row r="336" spans="1:3" x14ac:dyDescent="0.35">
      <c r="A336" s="7" t="s">
        <v>2360</v>
      </c>
      <c r="B336">
        <v>49660.65</v>
      </c>
      <c r="C336">
        <v>11454.48</v>
      </c>
    </row>
    <row r="337" spans="1:3" x14ac:dyDescent="0.35">
      <c r="A337" s="7" t="s">
        <v>2423</v>
      </c>
      <c r="B337">
        <v>47796</v>
      </c>
      <c r="C337">
        <v>11409.61</v>
      </c>
    </row>
    <row r="338" spans="1:3" x14ac:dyDescent="0.35">
      <c r="A338" s="7" t="s">
        <v>2279</v>
      </c>
      <c r="B338">
        <v>36313.199999999997</v>
      </c>
      <c r="C338">
        <v>11392.75</v>
      </c>
    </row>
    <row r="339" spans="1:3" x14ac:dyDescent="0.35">
      <c r="A339" s="7" t="s">
        <v>2262</v>
      </c>
      <c r="B339">
        <v>44139.15</v>
      </c>
      <c r="C339">
        <v>11286.31</v>
      </c>
    </row>
    <row r="340" spans="1:3" x14ac:dyDescent="0.35">
      <c r="A340" s="7" t="s">
        <v>2164</v>
      </c>
      <c r="B340">
        <v>44951.200000000004</v>
      </c>
      <c r="C340">
        <v>11266.84</v>
      </c>
    </row>
    <row r="341" spans="1:3" x14ac:dyDescent="0.35">
      <c r="A341" s="7" t="s">
        <v>2287</v>
      </c>
      <c r="B341">
        <v>28208.7</v>
      </c>
      <c r="C341">
        <v>11132.64</v>
      </c>
    </row>
    <row r="342" spans="1:3" x14ac:dyDescent="0.35">
      <c r="A342" s="7" t="s">
        <v>2069</v>
      </c>
      <c r="B342">
        <v>30593.65</v>
      </c>
      <c r="C342">
        <v>11070.34</v>
      </c>
    </row>
    <row r="343" spans="1:3" x14ac:dyDescent="0.35">
      <c r="A343" s="7" t="s">
        <v>2386</v>
      </c>
      <c r="B343">
        <v>43443.75</v>
      </c>
      <c r="C343">
        <v>11065.74</v>
      </c>
    </row>
    <row r="344" spans="1:3" x14ac:dyDescent="0.35">
      <c r="A344" s="7" t="s">
        <v>2083</v>
      </c>
      <c r="B344">
        <v>53726.200000000004</v>
      </c>
      <c r="C344">
        <v>11011.05</v>
      </c>
    </row>
    <row r="345" spans="1:3" x14ac:dyDescent="0.35">
      <c r="A345" s="7" t="s">
        <v>2432</v>
      </c>
      <c r="B345">
        <v>61694</v>
      </c>
      <c r="C345">
        <v>10997.29</v>
      </c>
    </row>
    <row r="346" spans="1:3" x14ac:dyDescent="0.35">
      <c r="A346" s="7" t="s">
        <v>2106</v>
      </c>
      <c r="B346">
        <v>38722.199999999997</v>
      </c>
      <c r="C346">
        <v>10948.08</v>
      </c>
    </row>
    <row r="347" spans="1:3" x14ac:dyDescent="0.35">
      <c r="A347" s="7" t="s">
        <v>2103</v>
      </c>
      <c r="B347">
        <v>30587.65</v>
      </c>
      <c r="C347">
        <v>10727.05</v>
      </c>
    </row>
    <row r="348" spans="1:3" x14ac:dyDescent="0.35">
      <c r="A348" s="7" t="s">
        <v>2131</v>
      </c>
      <c r="B348">
        <v>43382.25</v>
      </c>
      <c r="C348">
        <v>10722.76</v>
      </c>
    </row>
    <row r="349" spans="1:3" x14ac:dyDescent="0.35">
      <c r="A349" s="7" t="s">
        <v>2088</v>
      </c>
      <c r="B349">
        <v>33993</v>
      </c>
      <c r="C349">
        <v>10686.82</v>
      </c>
    </row>
    <row r="350" spans="1:3" x14ac:dyDescent="0.35">
      <c r="A350" s="7" t="s">
        <v>2248</v>
      </c>
      <c r="B350">
        <v>28010.399999999998</v>
      </c>
      <c r="C350">
        <v>10634.91</v>
      </c>
    </row>
    <row r="351" spans="1:3" x14ac:dyDescent="0.35">
      <c r="A351" s="7" t="s">
        <v>2299</v>
      </c>
      <c r="B351">
        <v>36755.25</v>
      </c>
      <c r="C351">
        <v>10608.14</v>
      </c>
    </row>
    <row r="352" spans="1:3" x14ac:dyDescent="0.35">
      <c r="A352" s="7" t="s">
        <v>2057</v>
      </c>
      <c r="B352">
        <v>43984.55</v>
      </c>
      <c r="C352">
        <v>10530.8</v>
      </c>
    </row>
    <row r="353" spans="1:3" x14ac:dyDescent="0.35">
      <c r="A353" s="7" t="s">
        <v>2168</v>
      </c>
      <c r="B353">
        <v>54490.05</v>
      </c>
      <c r="C353">
        <v>10452.89</v>
      </c>
    </row>
    <row r="354" spans="1:3" x14ac:dyDescent="0.35">
      <c r="A354" s="7" t="s">
        <v>2508</v>
      </c>
      <c r="B354">
        <v>36096.1</v>
      </c>
      <c r="C354">
        <v>10445.380000000001</v>
      </c>
    </row>
    <row r="355" spans="1:3" x14ac:dyDescent="0.35">
      <c r="A355" s="7" t="s">
        <v>2297</v>
      </c>
      <c r="B355">
        <v>24090</v>
      </c>
      <c r="C355">
        <v>10429.02</v>
      </c>
    </row>
    <row r="356" spans="1:3" x14ac:dyDescent="0.35">
      <c r="A356" s="7" t="s">
        <v>2327</v>
      </c>
      <c r="B356">
        <v>49423.7</v>
      </c>
      <c r="C356">
        <v>10307.959999999999</v>
      </c>
    </row>
    <row r="357" spans="1:3" x14ac:dyDescent="0.35">
      <c r="A357" s="7" t="s">
        <v>2286</v>
      </c>
      <c r="B357">
        <v>49920.7</v>
      </c>
      <c r="C357">
        <v>10299.59</v>
      </c>
    </row>
    <row r="358" spans="1:3" x14ac:dyDescent="0.35">
      <c r="A358" s="7" t="s">
        <v>2393</v>
      </c>
      <c r="B358">
        <v>25484.699999999997</v>
      </c>
      <c r="C358">
        <v>10207.08</v>
      </c>
    </row>
    <row r="359" spans="1:3" x14ac:dyDescent="0.35">
      <c r="A359" s="7" t="s">
        <v>2206</v>
      </c>
      <c r="B359">
        <v>29611</v>
      </c>
      <c r="C359">
        <v>10092.459999999999</v>
      </c>
    </row>
    <row r="360" spans="1:3" x14ac:dyDescent="0.35">
      <c r="A360" s="7" t="s">
        <v>2503</v>
      </c>
      <c r="B360">
        <v>55486.8</v>
      </c>
      <c r="C360">
        <v>10053.310000000001</v>
      </c>
    </row>
    <row r="361" spans="1:3" x14ac:dyDescent="0.35">
      <c r="A361" s="7" t="s">
        <v>2455</v>
      </c>
      <c r="B361">
        <v>29918.2</v>
      </c>
      <c r="C361">
        <v>10026.26</v>
      </c>
    </row>
    <row r="362" spans="1:3" x14ac:dyDescent="0.35">
      <c r="A362" s="7" t="s">
        <v>2305</v>
      </c>
      <c r="B362">
        <v>43851.5</v>
      </c>
      <c r="C362">
        <v>9978.4700000000012</v>
      </c>
    </row>
    <row r="363" spans="1:3" x14ac:dyDescent="0.35">
      <c r="A363" s="7" t="s">
        <v>2389</v>
      </c>
      <c r="B363">
        <v>43492.5</v>
      </c>
      <c r="C363">
        <v>9938.36</v>
      </c>
    </row>
    <row r="364" spans="1:3" x14ac:dyDescent="0.35">
      <c r="A364" s="7" t="s">
        <v>2271</v>
      </c>
      <c r="B364">
        <v>27826.5</v>
      </c>
      <c r="C364">
        <v>9922.34</v>
      </c>
    </row>
    <row r="365" spans="1:3" x14ac:dyDescent="0.35">
      <c r="A365" s="7" t="s">
        <v>2187</v>
      </c>
      <c r="B365">
        <v>32896.300000000003</v>
      </c>
      <c r="C365">
        <v>9844.56</v>
      </c>
    </row>
    <row r="366" spans="1:3" x14ac:dyDescent="0.35">
      <c r="A366" s="7" t="s">
        <v>2422</v>
      </c>
      <c r="B366">
        <v>34776.1</v>
      </c>
      <c r="C366">
        <v>9830.0499999999993</v>
      </c>
    </row>
    <row r="367" spans="1:3" x14ac:dyDescent="0.35">
      <c r="A367" s="7" t="s">
        <v>2146</v>
      </c>
      <c r="B367">
        <v>32118.9</v>
      </c>
      <c r="C367">
        <v>9693.8700000000008</v>
      </c>
    </row>
    <row r="368" spans="1:3" x14ac:dyDescent="0.35">
      <c r="A368" s="7" t="s">
        <v>2107</v>
      </c>
      <c r="B368">
        <v>39704.300000000003</v>
      </c>
      <c r="C368">
        <v>9664.7000000000007</v>
      </c>
    </row>
    <row r="369" spans="1:3" x14ac:dyDescent="0.35">
      <c r="A369" s="7" t="s">
        <v>2472</v>
      </c>
      <c r="B369">
        <v>41816.699999999997</v>
      </c>
      <c r="C369">
        <v>9645.380000000001</v>
      </c>
    </row>
    <row r="370" spans="1:3" x14ac:dyDescent="0.35">
      <c r="A370" s="7" t="s">
        <v>2494</v>
      </c>
      <c r="B370">
        <v>28518.6</v>
      </c>
      <c r="C370">
        <v>9563.75</v>
      </c>
    </row>
    <row r="371" spans="1:3" x14ac:dyDescent="0.35">
      <c r="A371" s="7" t="s">
        <v>2348</v>
      </c>
      <c r="B371">
        <v>33938.1</v>
      </c>
      <c r="C371">
        <v>9418.2999999999993</v>
      </c>
    </row>
    <row r="372" spans="1:3" x14ac:dyDescent="0.35">
      <c r="A372" s="7" t="s">
        <v>2427</v>
      </c>
      <c r="B372">
        <v>38167.199999999997</v>
      </c>
      <c r="C372">
        <v>9414.1299999999992</v>
      </c>
    </row>
    <row r="373" spans="1:3" x14ac:dyDescent="0.35">
      <c r="A373" s="7" t="s">
        <v>2444</v>
      </c>
      <c r="B373">
        <v>33783.200000000004</v>
      </c>
      <c r="C373">
        <v>9186.2999999999993</v>
      </c>
    </row>
    <row r="374" spans="1:3" x14ac:dyDescent="0.35">
      <c r="A374" s="7" t="s">
        <v>2239</v>
      </c>
      <c r="B374">
        <v>30414.75</v>
      </c>
      <c r="C374">
        <v>9159.07</v>
      </c>
    </row>
    <row r="375" spans="1:3" x14ac:dyDescent="0.35">
      <c r="A375" s="7" t="s">
        <v>2483</v>
      </c>
      <c r="B375">
        <v>27648</v>
      </c>
      <c r="C375">
        <v>9111.3700000000008</v>
      </c>
    </row>
    <row r="376" spans="1:3" x14ac:dyDescent="0.35">
      <c r="A376" s="7" t="s">
        <v>2439</v>
      </c>
      <c r="B376">
        <v>45270.65</v>
      </c>
      <c r="C376">
        <v>9094.44</v>
      </c>
    </row>
    <row r="377" spans="1:3" x14ac:dyDescent="0.35">
      <c r="A377" s="7" t="s">
        <v>2152</v>
      </c>
      <c r="B377">
        <v>31201.8</v>
      </c>
      <c r="C377">
        <v>9088.75</v>
      </c>
    </row>
    <row r="378" spans="1:3" x14ac:dyDescent="0.35">
      <c r="A378" s="7" t="s">
        <v>2153</v>
      </c>
      <c r="B378">
        <v>21609.9</v>
      </c>
      <c r="C378">
        <v>9052.93</v>
      </c>
    </row>
    <row r="379" spans="1:3" x14ac:dyDescent="0.35">
      <c r="A379" s="7" t="s">
        <v>2477</v>
      </c>
      <c r="B379">
        <v>62519.45</v>
      </c>
      <c r="C379">
        <v>9031.5299999999988</v>
      </c>
    </row>
    <row r="380" spans="1:3" x14ac:dyDescent="0.35">
      <c r="A380" s="7" t="s">
        <v>2408</v>
      </c>
      <c r="B380">
        <v>36940.300000000003</v>
      </c>
      <c r="C380">
        <v>9017.26</v>
      </c>
    </row>
    <row r="381" spans="1:3" x14ac:dyDescent="0.35">
      <c r="A381" s="7" t="s">
        <v>2381</v>
      </c>
      <c r="B381">
        <v>49348.1</v>
      </c>
      <c r="C381">
        <v>9006.6299999999992</v>
      </c>
    </row>
    <row r="382" spans="1:3" x14ac:dyDescent="0.35">
      <c r="A382" s="7" t="s">
        <v>2515</v>
      </c>
      <c r="B382">
        <v>21928</v>
      </c>
      <c r="C382">
        <v>9001.6299999999992</v>
      </c>
    </row>
    <row r="383" spans="1:3" x14ac:dyDescent="0.35">
      <c r="A383" s="7" t="s">
        <v>2310</v>
      </c>
      <c r="B383">
        <v>29400</v>
      </c>
      <c r="C383">
        <v>8966.9</v>
      </c>
    </row>
    <row r="384" spans="1:3" x14ac:dyDescent="0.35">
      <c r="A384" s="7" t="s">
        <v>2505</v>
      </c>
      <c r="B384">
        <v>34200</v>
      </c>
      <c r="C384">
        <v>8946.11</v>
      </c>
    </row>
    <row r="385" spans="1:3" x14ac:dyDescent="0.35">
      <c r="A385" s="7" t="s">
        <v>2502</v>
      </c>
      <c r="B385">
        <v>37900.35</v>
      </c>
      <c r="C385">
        <v>8933.5500000000011</v>
      </c>
    </row>
    <row r="386" spans="1:3" x14ac:dyDescent="0.35">
      <c r="A386" s="7" t="s">
        <v>2090</v>
      </c>
      <c r="B386">
        <v>28001.7</v>
      </c>
      <c r="C386">
        <v>8802.09</v>
      </c>
    </row>
    <row r="387" spans="1:3" x14ac:dyDescent="0.35">
      <c r="A387" s="7" t="s">
        <v>2329</v>
      </c>
      <c r="B387">
        <v>47057.9</v>
      </c>
      <c r="C387">
        <v>8798.8700000000008</v>
      </c>
    </row>
    <row r="388" spans="1:3" x14ac:dyDescent="0.35">
      <c r="A388" s="7" t="s">
        <v>2223</v>
      </c>
      <c r="B388">
        <v>42910.25</v>
      </c>
      <c r="C388">
        <v>8736.8299999999981</v>
      </c>
    </row>
    <row r="389" spans="1:3" x14ac:dyDescent="0.35">
      <c r="A389" s="7" t="s">
        <v>2178</v>
      </c>
      <c r="B389">
        <v>24253.1</v>
      </c>
      <c r="C389">
        <v>8649.8499999999985</v>
      </c>
    </row>
    <row r="390" spans="1:3" x14ac:dyDescent="0.35">
      <c r="A390" s="7" t="s">
        <v>2447</v>
      </c>
      <c r="B390">
        <v>22396.25</v>
      </c>
      <c r="C390">
        <v>8637.07</v>
      </c>
    </row>
    <row r="391" spans="1:3" x14ac:dyDescent="0.35">
      <c r="A391" s="7" t="s">
        <v>2162</v>
      </c>
      <c r="B391">
        <v>31291.7</v>
      </c>
      <c r="C391">
        <v>8628.9599999999991</v>
      </c>
    </row>
    <row r="392" spans="1:3" x14ac:dyDescent="0.35">
      <c r="A392" s="7" t="s">
        <v>2412</v>
      </c>
      <c r="B392">
        <v>24395</v>
      </c>
      <c r="C392">
        <v>8620.09</v>
      </c>
    </row>
    <row r="393" spans="1:3" x14ac:dyDescent="0.35">
      <c r="A393" s="7" t="s">
        <v>2142</v>
      </c>
      <c r="B393">
        <v>27627.9</v>
      </c>
      <c r="C393">
        <v>8537.77</v>
      </c>
    </row>
    <row r="394" spans="1:3" x14ac:dyDescent="0.35">
      <c r="A394" s="7" t="s">
        <v>2419</v>
      </c>
      <c r="B394">
        <v>40122.85</v>
      </c>
      <c r="C394">
        <v>8487.74</v>
      </c>
    </row>
    <row r="395" spans="1:3" x14ac:dyDescent="0.35">
      <c r="A395" s="7" t="s">
        <v>2265</v>
      </c>
      <c r="B395">
        <v>28857.5</v>
      </c>
      <c r="C395">
        <v>8442.2599999999984</v>
      </c>
    </row>
    <row r="396" spans="1:3" x14ac:dyDescent="0.35">
      <c r="A396" s="7" t="s">
        <v>2272</v>
      </c>
      <c r="B396">
        <v>22383.9</v>
      </c>
      <c r="C396">
        <v>8381.4500000000007</v>
      </c>
    </row>
    <row r="397" spans="1:3" x14ac:dyDescent="0.35">
      <c r="A397" s="7" t="s">
        <v>2317</v>
      </c>
      <c r="B397">
        <v>21614.400000000001</v>
      </c>
      <c r="C397">
        <v>8335.85</v>
      </c>
    </row>
    <row r="398" spans="1:3" x14ac:dyDescent="0.35">
      <c r="A398" s="7" t="s">
        <v>2094</v>
      </c>
      <c r="B398">
        <v>40498.550000000003</v>
      </c>
      <c r="C398">
        <v>8304.51</v>
      </c>
    </row>
    <row r="399" spans="1:3" x14ac:dyDescent="0.35">
      <c r="A399" s="7" t="s">
        <v>2482</v>
      </c>
      <c r="B399">
        <v>21684.2</v>
      </c>
      <c r="C399">
        <v>8239.36</v>
      </c>
    </row>
    <row r="400" spans="1:3" x14ac:dyDescent="0.35">
      <c r="A400" s="7" t="s">
        <v>2485</v>
      </c>
      <c r="B400">
        <v>37780.449999999997</v>
      </c>
      <c r="C400">
        <v>8229.880000000001</v>
      </c>
    </row>
    <row r="401" spans="1:3" x14ac:dyDescent="0.35">
      <c r="A401" s="7" t="s">
        <v>2256</v>
      </c>
      <c r="B401">
        <v>28940.400000000001</v>
      </c>
      <c r="C401">
        <v>8215</v>
      </c>
    </row>
    <row r="402" spans="1:3" x14ac:dyDescent="0.35">
      <c r="A402" s="7" t="s">
        <v>2315</v>
      </c>
      <c r="B402">
        <v>28854.3</v>
      </c>
      <c r="C402">
        <v>8185.24</v>
      </c>
    </row>
    <row r="403" spans="1:3" x14ac:dyDescent="0.35">
      <c r="A403" s="7" t="s">
        <v>2323</v>
      </c>
      <c r="B403">
        <v>49509.75</v>
      </c>
      <c r="C403">
        <v>8135.4</v>
      </c>
    </row>
    <row r="404" spans="1:3" x14ac:dyDescent="0.35">
      <c r="A404" s="7" t="s">
        <v>2520</v>
      </c>
      <c r="B404">
        <v>27711</v>
      </c>
      <c r="C404">
        <v>8131.95</v>
      </c>
    </row>
    <row r="405" spans="1:3" x14ac:dyDescent="0.35">
      <c r="A405" s="7" t="s">
        <v>2135</v>
      </c>
      <c r="B405">
        <v>49285.85</v>
      </c>
      <c r="C405">
        <v>8084.45</v>
      </c>
    </row>
    <row r="406" spans="1:3" x14ac:dyDescent="0.35">
      <c r="A406" s="7" t="s">
        <v>2406</v>
      </c>
      <c r="B406">
        <v>18481.95</v>
      </c>
      <c r="C406">
        <v>8021.92</v>
      </c>
    </row>
    <row r="407" spans="1:3" x14ac:dyDescent="0.35">
      <c r="A407" s="7" t="s">
        <v>2357</v>
      </c>
      <c r="B407">
        <v>16930.900000000001</v>
      </c>
      <c r="C407">
        <v>7932.54</v>
      </c>
    </row>
    <row r="408" spans="1:3" x14ac:dyDescent="0.35">
      <c r="A408" s="7" t="s">
        <v>2497</v>
      </c>
      <c r="B408">
        <v>28612.100000000002</v>
      </c>
      <c r="C408">
        <v>7792.4</v>
      </c>
    </row>
    <row r="409" spans="1:3" x14ac:dyDescent="0.35">
      <c r="A409" s="7" t="s">
        <v>2158</v>
      </c>
      <c r="B409">
        <v>42470.7</v>
      </c>
      <c r="C409">
        <v>7787.09</v>
      </c>
    </row>
    <row r="410" spans="1:3" x14ac:dyDescent="0.35">
      <c r="A410" s="7" t="s">
        <v>2039</v>
      </c>
      <c r="B410">
        <v>37162.75</v>
      </c>
      <c r="C410">
        <v>7767.32</v>
      </c>
    </row>
    <row r="411" spans="1:3" x14ac:dyDescent="0.35">
      <c r="A411" s="7" t="s">
        <v>2120</v>
      </c>
      <c r="B411">
        <v>37704.350000000006</v>
      </c>
      <c r="C411">
        <v>7751.35</v>
      </c>
    </row>
    <row r="412" spans="1:3" x14ac:dyDescent="0.35">
      <c r="A412" s="7" t="s">
        <v>2236</v>
      </c>
      <c r="B412">
        <v>26909.200000000001</v>
      </c>
      <c r="C412">
        <v>7723.01</v>
      </c>
    </row>
    <row r="413" spans="1:3" x14ac:dyDescent="0.35">
      <c r="A413" s="7" t="s">
        <v>2469</v>
      </c>
      <c r="B413">
        <v>34713.199999999997</v>
      </c>
      <c r="C413">
        <v>7698.6100000000006</v>
      </c>
    </row>
    <row r="414" spans="1:3" x14ac:dyDescent="0.35">
      <c r="A414" s="7" t="s">
        <v>2338</v>
      </c>
      <c r="B414">
        <v>20765.900000000001</v>
      </c>
      <c r="C414">
        <v>7579.33</v>
      </c>
    </row>
    <row r="415" spans="1:3" x14ac:dyDescent="0.35">
      <c r="A415" s="7" t="s">
        <v>2105</v>
      </c>
      <c r="B415">
        <v>23957.7</v>
      </c>
      <c r="C415">
        <v>7570.3899999999994</v>
      </c>
    </row>
    <row r="416" spans="1:3" x14ac:dyDescent="0.35">
      <c r="A416" s="7" t="s">
        <v>2433</v>
      </c>
      <c r="B416">
        <v>24576.400000000001</v>
      </c>
      <c r="C416">
        <v>7466.5</v>
      </c>
    </row>
    <row r="417" spans="1:3" x14ac:dyDescent="0.35">
      <c r="A417" s="7" t="s">
        <v>2425</v>
      </c>
      <c r="B417">
        <v>34155.550000000003</v>
      </c>
      <c r="C417">
        <v>7420.96</v>
      </c>
    </row>
    <row r="418" spans="1:3" x14ac:dyDescent="0.35">
      <c r="A418" s="7" t="s">
        <v>2463</v>
      </c>
      <c r="B418">
        <v>31995.9</v>
      </c>
      <c r="C418">
        <v>7400.6</v>
      </c>
    </row>
    <row r="419" spans="1:3" x14ac:dyDescent="0.35">
      <c r="A419" s="7" t="s">
        <v>2492</v>
      </c>
      <c r="B419">
        <v>26560.1</v>
      </c>
      <c r="C419">
        <v>7154.6399999999994</v>
      </c>
    </row>
    <row r="420" spans="1:3" x14ac:dyDescent="0.35">
      <c r="A420" s="7" t="s">
        <v>2390</v>
      </c>
      <c r="B420">
        <v>29050.65</v>
      </c>
      <c r="C420">
        <v>7140.96</v>
      </c>
    </row>
    <row r="421" spans="1:3" x14ac:dyDescent="0.35">
      <c r="A421" s="7" t="s">
        <v>2211</v>
      </c>
      <c r="B421">
        <v>21521.599999999999</v>
      </c>
      <c r="C421">
        <v>6993.3700000000008</v>
      </c>
    </row>
    <row r="422" spans="1:3" x14ac:dyDescent="0.35">
      <c r="A422" s="7" t="s">
        <v>2399</v>
      </c>
      <c r="B422">
        <v>23850.5</v>
      </c>
      <c r="C422">
        <v>6955.62</v>
      </c>
    </row>
    <row r="423" spans="1:3" x14ac:dyDescent="0.35">
      <c r="A423" s="7" t="s">
        <v>2150</v>
      </c>
      <c r="B423">
        <v>22593</v>
      </c>
      <c r="C423">
        <v>6745.4600000000009</v>
      </c>
    </row>
    <row r="424" spans="1:3" x14ac:dyDescent="0.35">
      <c r="A424" s="7" t="s">
        <v>2166</v>
      </c>
      <c r="B424">
        <v>17033.350000000002</v>
      </c>
      <c r="C424">
        <v>6628.68</v>
      </c>
    </row>
    <row r="425" spans="1:3" x14ac:dyDescent="0.35">
      <c r="A425" s="7" t="s">
        <v>2434</v>
      </c>
      <c r="B425">
        <v>35239.800000000003</v>
      </c>
      <c r="C425">
        <v>6272.58</v>
      </c>
    </row>
    <row r="426" spans="1:3" x14ac:dyDescent="0.35">
      <c r="A426" s="7" t="s">
        <v>2258</v>
      </c>
      <c r="B426">
        <v>22607.8</v>
      </c>
      <c r="C426">
        <v>6266</v>
      </c>
    </row>
    <row r="427" spans="1:3" x14ac:dyDescent="0.35">
      <c r="A427" s="7" t="s">
        <v>2062</v>
      </c>
      <c r="B427">
        <v>22816</v>
      </c>
      <c r="C427">
        <v>6263.08</v>
      </c>
    </row>
    <row r="428" spans="1:3" x14ac:dyDescent="0.35">
      <c r="A428" s="7" t="s">
        <v>2394</v>
      </c>
      <c r="B428">
        <v>30208.5</v>
      </c>
      <c r="C428">
        <v>6115.85</v>
      </c>
    </row>
    <row r="429" spans="1:3" x14ac:dyDescent="0.35">
      <c r="A429" s="7" t="s">
        <v>2418</v>
      </c>
      <c r="B429">
        <v>14107.5</v>
      </c>
      <c r="C429">
        <v>5846.87</v>
      </c>
    </row>
    <row r="430" spans="1:3" x14ac:dyDescent="0.35">
      <c r="A430" s="7" t="s">
        <v>2230</v>
      </c>
      <c r="B430">
        <v>34224.300000000003</v>
      </c>
      <c r="C430">
        <v>5786.26</v>
      </c>
    </row>
    <row r="431" spans="1:3" x14ac:dyDescent="0.35">
      <c r="A431" s="7" t="s">
        <v>2302</v>
      </c>
      <c r="B431">
        <v>38003.5</v>
      </c>
      <c r="C431">
        <v>5760.2800000000007</v>
      </c>
    </row>
    <row r="432" spans="1:3" x14ac:dyDescent="0.35">
      <c r="A432" s="7" t="s">
        <v>2426</v>
      </c>
      <c r="B432">
        <v>28694.5</v>
      </c>
      <c r="C432">
        <v>5628.2800000000007</v>
      </c>
    </row>
    <row r="433" spans="1:3" x14ac:dyDescent="0.35">
      <c r="A433" s="7" t="s">
        <v>2156</v>
      </c>
      <c r="B433">
        <v>30787.7</v>
      </c>
      <c r="C433">
        <v>5598.62</v>
      </c>
    </row>
    <row r="434" spans="1:3" x14ac:dyDescent="0.35">
      <c r="A434" s="7" t="s">
        <v>2157</v>
      </c>
      <c r="B434">
        <v>25012.100000000002</v>
      </c>
      <c r="C434">
        <v>5512.71</v>
      </c>
    </row>
    <row r="435" spans="1:3" x14ac:dyDescent="0.35">
      <c r="A435" s="7" t="s">
        <v>2274</v>
      </c>
      <c r="B435">
        <v>13810</v>
      </c>
      <c r="C435">
        <v>5507.77</v>
      </c>
    </row>
    <row r="436" spans="1:3" x14ac:dyDescent="0.35">
      <c r="A436" s="7" t="s">
        <v>2110</v>
      </c>
      <c r="B436">
        <v>38422.199999999997</v>
      </c>
      <c r="C436">
        <v>5501.59</v>
      </c>
    </row>
    <row r="437" spans="1:3" x14ac:dyDescent="0.35">
      <c r="A437" s="7" t="s">
        <v>2259</v>
      </c>
      <c r="B437">
        <v>25243.4</v>
      </c>
      <c r="C437">
        <v>5484.27</v>
      </c>
    </row>
    <row r="438" spans="1:3" x14ac:dyDescent="0.35">
      <c r="A438" s="7" t="s">
        <v>2501</v>
      </c>
      <c r="B438">
        <v>13765</v>
      </c>
      <c r="C438">
        <v>5388.79</v>
      </c>
    </row>
    <row r="439" spans="1:3" x14ac:dyDescent="0.35">
      <c r="A439" s="7" t="s">
        <v>2461</v>
      </c>
      <c r="B439">
        <v>11448.45</v>
      </c>
      <c r="C439">
        <v>5269.27</v>
      </c>
    </row>
    <row r="440" spans="1:3" x14ac:dyDescent="0.35">
      <c r="A440" s="7" t="s">
        <v>2072</v>
      </c>
      <c r="B440">
        <v>16020.900000000001</v>
      </c>
      <c r="C440">
        <v>5237.9799999999996</v>
      </c>
    </row>
    <row r="441" spans="1:3" x14ac:dyDescent="0.35">
      <c r="A441" s="7" t="s">
        <v>2519</v>
      </c>
      <c r="B441">
        <v>21379.200000000001</v>
      </c>
      <c r="C441">
        <v>5191.43</v>
      </c>
    </row>
    <row r="442" spans="1:3" x14ac:dyDescent="0.35">
      <c r="A442" s="7" t="s">
        <v>2284</v>
      </c>
      <c r="B442">
        <v>14839.8</v>
      </c>
      <c r="C442">
        <v>5182.63</v>
      </c>
    </row>
    <row r="443" spans="1:3" x14ac:dyDescent="0.35">
      <c r="A443" s="7" t="s">
        <v>2118</v>
      </c>
      <c r="B443">
        <v>21977</v>
      </c>
      <c r="C443">
        <v>5158.49</v>
      </c>
    </row>
    <row r="444" spans="1:3" x14ac:dyDescent="0.35">
      <c r="A444" s="7" t="s">
        <v>2506</v>
      </c>
      <c r="B444">
        <v>10580</v>
      </c>
      <c r="C444">
        <v>5147.59</v>
      </c>
    </row>
    <row r="445" spans="1:3" x14ac:dyDescent="0.35">
      <c r="A445" s="7" t="s">
        <v>2111</v>
      </c>
      <c r="B445">
        <v>17494.8</v>
      </c>
      <c r="C445">
        <v>4978.49</v>
      </c>
    </row>
    <row r="446" spans="1:3" x14ac:dyDescent="0.35">
      <c r="A446" s="7" t="s">
        <v>2282</v>
      </c>
      <c r="B446">
        <v>18493.7</v>
      </c>
      <c r="C446">
        <v>4872.53</v>
      </c>
    </row>
    <row r="447" spans="1:3" x14ac:dyDescent="0.35">
      <c r="A447" s="7" t="s">
        <v>2396</v>
      </c>
      <c r="B447">
        <v>24090.800000000003</v>
      </c>
      <c r="C447">
        <v>4838.42</v>
      </c>
    </row>
    <row r="448" spans="1:3" x14ac:dyDescent="0.35">
      <c r="A448" s="7" t="s">
        <v>2510</v>
      </c>
      <c r="B448">
        <v>18365.95</v>
      </c>
      <c r="C448">
        <v>4831.24</v>
      </c>
    </row>
    <row r="449" spans="1:3" x14ac:dyDescent="0.35">
      <c r="A449" s="7" t="s">
        <v>2330</v>
      </c>
      <c r="B449">
        <v>25371.599999999999</v>
      </c>
      <c r="C449">
        <v>4725.8</v>
      </c>
    </row>
    <row r="450" spans="1:3" x14ac:dyDescent="0.35">
      <c r="A450" s="7" t="s">
        <v>2449</v>
      </c>
      <c r="B450">
        <v>20382.5</v>
      </c>
      <c r="C450">
        <v>4706.43</v>
      </c>
    </row>
    <row r="451" spans="1:3" x14ac:dyDescent="0.35">
      <c r="A451" s="7" t="s">
        <v>2495</v>
      </c>
      <c r="B451">
        <v>10144</v>
      </c>
      <c r="C451">
        <v>4679.53</v>
      </c>
    </row>
    <row r="452" spans="1:3" x14ac:dyDescent="0.35">
      <c r="A452" s="7" t="s">
        <v>2334</v>
      </c>
      <c r="B452">
        <v>14288.8</v>
      </c>
      <c r="C452">
        <v>4666.09</v>
      </c>
    </row>
    <row r="453" spans="1:3" x14ac:dyDescent="0.35">
      <c r="A453" s="7" t="s">
        <v>2499</v>
      </c>
      <c r="B453">
        <v>14950</v>
      </c>
      <c r="C453">
        <v>4646.16</v>
      </c>
    </row>
    <row r="454" spans="1:3" x14ac:dyDescent="0.35">
      <c r="A454" s="7" t="s">
        <v>2504</v>
      </c>
      <c r="B454">
        <v>19375.25</v>
      </c>
      <c r="C454">
        <v>4617.21</v>
      </c>
    </row>
    <row r="455" spans="1:3" x14ac:dyDescent="0.35">
      <c r="A455" s="7" t="s">
        <v>2301</v>
      </c>
      <c r="B455">
        <v>10010</v>
      </c>
      <c r="C455">
        <v>4523.37</v>
      </c>
    </row>
    <row r="456" spans="1:3" x14ac:dyDescent="0.35">
      <c r="A456" s="7" t="s">
        <v>2464</v>
      </c>
      <c r="B456">
        <v>12676.9</v>
      </c>
      <c r="C456">
        <v>4495.7000000000007</v>
      </c>
    </row>
    <row r="457" spans="1:3" x14ac:dyDescent="0.35">
      <c r="A457" s="7" t="s">
        <v>2096</v>
      </c>
      <c r="B457">
        <v>23789.800000000003</v>
      </c>
      <c r="C457">
        <v>4451.93</v>
      </c>
    </row>
    <row r="458" spans="1:3" x14ac:dyDescent="0.35">
      <c r="A458" s="7" t="s">
        <v>2413</v>
      </c>
      <c r="B458">
        <v>17560.8</v>
      </c>
      <c r="C458">
        <v>4427.4799999999996</v>
      </c>
    </row>
    <row r="459" spans="1:3" x14ac:dyDescent="0.35">
      <c r="A459" s="7" t="s">
        <v>2452</v>
      </c>
      <c r="B459">
        <v>17820</v>
      </c>
      <c r="C459">
        <v>4354.84</v>
      </c>
    </row>
    <row r="460" spans="1:3" x14ac:dyDescent="0.35">
      <c r="A460" s="7" t="s">
        <v>2346</v>
      </c>
      <c r="B460">
        <v>20519.25</v>
      </c>
      <c r="C460">
        <v>4303.8700000000008</v>
      </c>
    </row>
    <row r="461" spans="1:3" x14ac:dyDescent="0.35">
      <c r="A461" s="7" t="s">
        <v>2369</v>
      </c>
      <c r="B461">
        <v>37153.850000000006</v>
      </c>
      <c r="C461">
        <v>4197.5</v>
      </c>
    </row>
    <row r="462" spans="1:3" x14ac:dyDescent="0.35">
      <c r="A462" s="7" t="s">
        <v>2392</v>
      </c>
      <c r="B462">
        <v>11956.7</v>
      </c>
      <c r="C462">
        <v>4051.79</v>
      </c>
    </row>
    <row r="463" spans="1:3" x14ac:dyDescent="0.35">
      <c r="A463" s="7" t="s">
        <v>2496</v>
      </c>
      <c r="B463">
        <v>13448.75</v>
      </c>
      <c r="C463">
        <v>3893.92</v>
      </c>
    </row>
    <row r="464" spans="1:3" x14ac:dyDescent="0.35">
      <c r="A464" s="7" t="s">
        <v>2384</v>
      </c>
      <c r="B464">
        <v>21116.5</v>
      </c>
      <c r="C464">
        <v>3683.1000000000004</v>
      </c>
    </row>
    <row r="465" spans="1:3" x14ac:dyDescent="0.35">
      <c r="A465" s="7" t="s">
        <v>2511</v>
      </c>
      <c r="B465">
        <v>22115.4</v>
      </c>
      <c r="C465">
        <v>3637.66</v>
      </c>
    </row>
    <row r="466" spans="1:3" x14ac:dyDescent="0.35">
      <c r="A466" s="7" t="s">
        <v>2371</v>
      </c>
      <c r="B466">
        <v>22684.65</v>
      </c>
      <c r="C466">
        <v>3506.16</v>
      </c>
    </row>
    <row r="467" spans="1:3" x14ac:dyDescent="0.35">
      <c r="A467" s="7" t="s">
        <v>2201</v>
      </c>
      <c r="B467">
        <v>11327.05</v>
      </c>
      <c r="C467">
        <v>3326.55</v>
      </c>
    </row>
    <row r="468" spans="1:3" x14ac:dyDescent="0.35">
      <c r="A468" s="7" t="s">
        <v>2093</v>
      </c>
      <c r="B468">
        <v>14284.099999999999</v>
      </c>
      <c r="C468">
        <v>3239.94</v>
      </c>
    </row>
    <row r="469" spans="1:3" x14ac:dyDescent="0.35">
      <c r="A469" s="7" t="s">
        <v>2076</v>
      </c>
      <c r="B469">
        <v>8187.5</v>
      </c>
      <c r="C469">
        <v>2989.5600000000004</v>
      </c>
    </row>
    <row r="470" spans="1:3" x14ac:dyDescent="0.35">
      <c r="A470" s="7" t="s">
        <v>2516</v>
      </c>
      <c r="B470">
        <v>12362.400000000001</v>
      </c>
      <c r="C470">
        <v>2966.34</v>
      </c>
    </row>
    <row r="471" spans="1:3" x14ac:dyDescent="0.35">
      <c r="A471" s="7" t="s">
        <v>2233</v>
      </c>
      <c r="B471">
        <v>13169.7</v>
      </c>
      <c r="C471">
        <v>2891.38</v>
      </c>
    </row>
    <row r="472" spans="1:3" x14ac:dyDescent="0.35">
      <c r="A472" s="7" t="s">
        <v>2451</v>
      </c>
      <c r="B472">
        <v>10623.55</v>
      </c>
      <c r="C472">
        <v>2869.98</v>
      </c>
    </row>
    <row r="473" spans="1:3" x14ac:dyDescent="0.35">
      <c r="A473" s="7" t="s">
        <v>2298</v>
      </c>
      <c r="B473">
        <v>21850.6</v>
      </c>
      <c r="C473">
        <v>2849.17</v>
      </c>
    </row>
    <row r="474" spans="1:3" x14ac:dyDescent="0.35">
      <c r="A474" s="7" t="s">
        <v>2474</v>
      </c>
      <c r="B474">
        <v>8026</v>
      </c>
      <c r="C474">
        <v>2710.07</v>
      </c>
    </row>
    <row r="475" spans="1:3" x14ac:dyDescent="0.35">
      <c r="A475" s="7" t="s">
        <v>2293</v>
      </c>
      <c r="B475">
        <v>19266.849999999999</v>
      </c>
      <c r="C475">
        <v>2657.21</v>
      </c>
    </row>
    <row r="476" spans="1:3" x14ac:dyDescent="0.35">
      <c r="A476" s="7" t="s">
        <v>2435</v>
      </c>
      <c r="B476">
        <v>10408.9</v>
      </c>
      <c r="C476">
        <v>2540.09</v>
      </c>
    </row>
    <row r="477" spans="1:3" x14ac:dyDescent="0.35">
      <c r="A477" s="7" t="s">
        <v>2407</v>
      </c>
      <c r="B477">
        <v>10528</v>
      </c>
      <c r="C477">
        <v>2335.48</v>
      </c>
    </row>
    <row r="478" spans="1:3" x14ac:dyDescent="0.35">
      <c r="A478" s="7" t="s">
        <v>2489</v>
      </c>
      <c r="B478">
        <v>18287.900000000001</v>
      </c>
      <c r="C478">
        <v>2246.4499999999998</v>
      </c>
    </row>
    <row r="479" spans="1:3" x14ac:dyDescent="0.35">
      <c r="A479" s="7" t="s">
        <v>2467</v>
      </c>
      <c r="B479">
        <v>6962.2000000000007</v>
      </c>
      <c r="C479">
        <v>2078.25</v>
      </c>
    </row>
    <row r="480" spans="1:3" x14ac:dyDescent="0.35">
      <c r="A480" s="7" t="s">
        <v>2466</v>
      </c>
      <c r="B480">
        <v>8034</v>
      </c>
      <c r="C480">
        <v>1932.9699999999998</v>
      </c>
    </row>
    <row r="481" spans="1:3" x14ac:dyDescent="0.35">
      <c r="A481" s="7" t="s">
        <v>2437</v>
      </c>
      <c r="B481">
        <v>4381.2</v>
      </c>
      <c r="C481">
        <v>1925.93</v>
      </c>
    </row>
    <row r="482" spans="1:3" x14ac:dyDescent="0.35">
      <c r="A482" s="7" t="s">
        <v>2309</v>
      </c>
      <c r="B482">
        <v>4173</v>
      </c>
      <c r="C482">
        <v>1922.84</v>
      </c>
    </row>
    <row r="483" spans="1:3" x14ac:dyDescent="0.35">
      <c r="A483" s="7" t="s">
        <v>2424</v>
      </c>
      <c r="B483">
        <v>4847</v>
      </c>
      <c r="C483">
        <v>1706.75</v>
      </c>
    </row>
    <row r="484" spans="1:3" x14ac:dyDescent="0.35">
      <c r="A484" s="7" t="s">
        <v>2261</v>
      </c>
      <c r="B484">
        <v>5818.6</v>
      </c>
      <c r="C484">
        <v>1678.21</v>
      </c>
    </row>
    <row r="485" spans="1:3" x14ac:dyDescent="0.35">
      <c r="A485" s="7" t="s">
        <v>2512</v>
      </c>
      <c r="B485">
        <v>5836.8</v>
      </c>
      <c r="C485">
        <v>1612.69</v>
      </c>
    </row>
    <row r="486" spans="1:3" x14ac:dyDescent="0.35">
      <c r="A486" s="7" t="s">
        <v>2416</v>
      </c>
      <c r="B486">
        <v>14784.9</v>
      </c>
      <c r="C486">
        <v>1575.23</v>
      </c>
    </row>
    <row r="487" spans="1:3" x14ac:dyDescent="0.35">
      <c r="A487" s="7" t="s">
        <v>2514</v>
      </c>
      <c r="B487">
        <v>4648.3500000000004</v>
      </c>
      <c r="C487">
        <v>1467.41</v>
      </c>
    </row>
    <row r="488" spans="1:3" x14ac:dyDescent="0.35">
      <c r="A488" s="7" t="s">
        <v>2373</v>
      </c>
      <c r="B488">
        <v>13780.2</v>
      </c>
      <c r="C488">
        <v>1287.6500000000001</v>
      </c>
    </row>
    <row r="489" spans="1:3" x14ac:dyDescent="0.35">
      <c r="A489" s="7" t="s">
        <v>2405</v>
      </c>
      <c r="B489">
        <v>19025.55</v>
      </c>
      <c r="C489">
        <v>1195.33</v>
      </c>
    </row>
    <row r="490" spans="1:3" x14ac:dyDescent="0.35">
      <c r="A490" s="7" t="s">
        <v>2124</v>
      </c>
      <c r="B490">
        <v>3770.1</v>
      </c>
      <c r="C490">
        <v>1117.69</v>
      </c>
    </row>
    <row r="491" spans="1:3" x14ac:dyDescent="0.35">
      <c r="A491" s="7" t="s">
        <v>2417</v>
      </c>
      <c r="B491">
        <v>2740</v>
      </c>
      <c r="C491">
        <v>983.32</v>
      </c>
    </row>
    <row r="492" spans="1:3" x14ac:dyDescent="0.35">
      <c r="A492" s="7" t="s">
        <v>2486</v>
      </c>
      <c r="B492">
        <v>3330.7</v>
      </c>
      <c r="C492">
        <v>943.03</v>
      </c>
    </row>
    <row r="493" spans="1:3" x14ac:dyDescent="0.35">
      <c r="A493" s="7" t="s">
        <v>2517</v>
      </c>
      <c r="B493">
        <v>8152.35</v>
      </c>
      <c r="C493">
        <v>675.64</v>
      </c>
    </row>
    <row r="494" spans="1:3" x14ac:dyDescent="0.35">
      <c r="A494" s="7" t="s">
        <v>2278</v>
      </c>
      <c r="B494">
        <v>3256</v>
      </c>
      <c r="C494">
        <v>656.95</v>
      </c>
    </row>
    <row r="495" spans="1:3" x14ac:dyDescent="0.35">
      <c r="A495" s="7" t="s">
        <v>2518</v>
      </c>
      <c r="B495">
        <v>1385.5</v>
      </c>
      <c r="C495">
        <v>431.68</v>
      </c>
    </row>
    <row r="496" spans="1:3" x14ac:dyDescent="0.35">
      <c r="A496" s="7" t="s">
        <v>2473</v>
      </c>
      <c r="B496">
        <v>1809</v>
      </c>
      <c r="C496">
        <v>244.73</v>
      </c>
    </row>
    <row r="497" spans="1:3" x14ac:dyDescent="0.35">
      <c r="A497" s="7" t="s">
        <v>2534</v>
      </c>
      <c r="B497">
        <v>28877867.049999975</v>
      </c>
      <c r="C497">
        <v>8683869.5100000091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AE37-7EB9-40C9-8414-417EAFA0D7D6}">
  <dimension ref="A3:C8"/>
  <sheetViews>
    <sheetView tabSelected="1" workbookViewId="0">
      <selection activeCell="J4" sqref="J4"/>
    </sheetView>
  </sheetViews>
  <sheetFormatPr defaultRowHeight="14.5" x14ac:dyDescent="0.35"/>
  <cols>
    <col min="1" max="1" width="12.36328125" bestFit="1" customWidth="1"/>
    <col min="2" max="2" width="12.7265625" style="8" bestFit="1" customWidth="1"/>
    <col min="3" max="3" width="19.1796875" style="8" bestFit="1" customWidth="1"/>
  </cols>
  <sheetData>
    <row r="3" spans="1:3" x14ac:dyDescent="0.35">
      <c r="A3" s="6" t="s">
        <v>2532</v>
      </c>
      <c r="B3" s="8" t="s">
        <v>2533</v>
      </c>
      <c r="C3" s="8" t="s">
        <v>2535</v>
      </c>
    </row>
    <row r="4" spans="1:3" x14ac:dyDescent="0.35">
      <c r="A4" s="7" t="s">
        <v>2525</v>
      </c>
      <c r="B4" s="8">
        <v>2252928.1000000006</v>
      </c>
      <c r="C4" s="8">
        <v>7628001.6999999993</v>
      </c>
    </row>
    <row r="5" spans="1:3" x14ac:dyDescent="0.35">
      <c r="A5" s="7" t="s">
        <v>2524</v>
      </c>
      <c r="B5" s="8">
        <v>2229042.3100000019</v>
      </c>
      <c r="C5" s="8">
        <v>7239454.1000000015</v>
      </c>
    </row>
    <row r="6" spans="1:3" x14ac:dyDescent="0.35">
      <c r="A6" s="7" t="s">
        <v>2526</v>
      </c>
      <c r="B6" s="8">
        <v>2166490.5899999989</v>
      </c>
      <c r="C6" s="8">
        <v>7119218.3500000006</v>
      </c>
    </row>
    <row r="7" spans="1:3" x14ac:dyDescent="0.35">
      <c r="A7" s="7" t="s">
        <v>2527</v>
      </c>
      <c r="B7" s="8">
        <v>2035408.5099999998</v>
      </c>
      <c r="C7" s="8">
        <v>6891192.9000000013</v>
      </c>
    </row>
    <row r="8" spans="1:3" x14ac:dyDescent="0.35">
      <c r="A8" s="7" t="s">
        <v>2534</v>
      </c>
      <c r="B8" s="8">
        <v>8683869.5100000016</v>
      </c>
      <c r="C8" s="8">
        <v>28877867.050000004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E9D12-8AB4-4BB6-A241-7CD7CE2B4A10}">
  <dimension ref="A3:C10"/>
  <sheetViews>
    <sheetView workbookViewId="0">
      <selection activeCell="F3" sqref="F3"/>
    </sheetView>
  </sheetViews>
  <sheetFormatPr defaultRowHeight="14.5" x14ac:dyDescent="0.35"/>
  <cols>
    <col min="1" max="1" width="12.36328125" bestFit="1" customWidth="1"/>
    <col min="2" max="2" width="19.1796875" style="8" bestFit="1" customWidth="1"/>
    <col min="3" max="3" width="12.7265625" style="8" bestFit="1" customWidth="1"/>
  </cols>
  <sheetData>
    <row r="3" spans="1:3" x14ac:dyDescent="0.35">
      <c r="A3" s="6" t="s">
        <v>2532</v>
      </c>
      <c r="B3" s="8" t="s">
        <v>2535</v>
      </c>
      <c r="C3" s="8" t="s">
        <v>2533</v>
      </c>
    </row>
    <row r="4" spans="1:3" x14ac:dyDescent="0.35">
      <c r="A4" s="7" t="s">
        <v>2025</v>
      </c>
      <c r="B4" s="8">
        <v>6446120.6000000006</v>
      </c>
      <c r="C4" s="8">
        <v>1972059.3900000004</v>
      </c>
    </row>
    <row r="5" spans="1:3" x14ac:dyDescent="0.35">
      <c r="A5" s="7" t="s">
        <v>2024</v>
      </c>
      <c r="B5" s="8">
        <v>5674509.25</v>
      </c>
      <c r="C5" s="8">
        <v>1701833.9700000002</v>
      </c>
    </row>
    <row r="6" spans="1:3" x14ac:dyDescent="0.35">
      <c r="A6" s="7" t="s">
        <v>2026</v>
      </c>
      <c r="B6" s="8">
        <v>5625613.6999999993</v>
      </c>
      <c r="C6" s="8">
        <v>1694789.0599999998</v>
      </c>
    </row>
    <row r="7" spans="1:3" x14ac:dyDescent="0.35">
      <c r="A7" s="7" t="s">
        <v>2028</v>
      </c>
      <c r="B7" s="8">
        <v>5345627.05</v>
      </c>
      <c r="C7" s="8">
        <v>1565813.7000000007</v>
      </c>
    </row>
    <row r="8" spans="1:3" x14ac:dyDescent="0.35">
      <c r="A8" s="7" t="s">
        <v>2023</v>
      </c>
      <c r="B8" s="8">
        <v>2978521.8999999994</v>
      </c>
      <c r="C8" s="8">
        <v>937308.30999999994</v>
      </c>
    </row>
    <row r="9" spans="1:3" x14ac:dyDescent="0.35">
      <c r="A9" s="7" t="s">
        <v>2027</v>
      </c>
      <c r="B9" s="8">
        <v>2807474.5500000003</v>
      </c>
      <c r="C9" s="8">
        <v>812065.07999999973</v>
      </c>
    </row>
    <row r="10" spans="1:3" x14ac:dyDescent="0.35">
      <c r="A10" s="7" t="s">
        <v>2534</v>
      </c>
      <c r="B10" s="8">
        <v>28877867.050000001</v>
      </c>
      <c r="C10" s="8">
        <v>8683869.5100000016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01"/>
  <sheetViews>
    <sheetView topLeftCell="A2" workbookViewId="0">
      <selection activeCell="H6" sqref="H6"/>
    </sheetView>
  </sheetViews>
  <sheetFormatPr defaultRowHeight="14.5" x14ac:dyDescent="0.35"/>
  <cols>
    <col min="1" max="1" width="9.54296875" customWidth="1"/>
    <col min="2" max="2" width="10.453125" style="3" bestFit="1" customWidth="1"/>
    <col min="3" max="3" width="12.54296875" bestFit="1" customWidth="1"/>
    <col min="4" max="4" width="10.26953125" customWidth="1"/>
    <col min="5" max="5" width="10.90625" customWidth="1"/>
    <col min="6" max="7" width="10.1796875" customWidth="1"/>
    <col min="8" max="8" width="17.26953125" bestFit="1" customWidth="1"/>
    <col min="9" max="9" width="11.08984375" customWidth="1"/>
    <col min="10" max="10" width="10.08984375" bestFit="1" customWidth="1"/>
    <col min="11" max="11" width="19.7265625" style="5" bestFit="1" customWidth="1"/>
    <col min="12" max="12" width="11.08984375" style="5" bestFit="1" customWidth="1"/>
    <col min="13" max="13" width="9.08984375" bestFit="1" customWidth="1"/>
    <col min="14" max="14" width="9.08984375" customWidth="1"/>
    <col min="15" max="15" width="16.36328125" customWidth="1"/>
    <col min="16" max="16" width="18.7265625" customWidth="1"/>
  </cols>
  <sheetData>
    <row r="1" spans="1:17" x14ac:dyDescent="0.35">
      <c r="A1" s="1" t="s">
        <v>0</v>
      </c>
      <c r="B1" s="2" t="s">
        <v>1</v>
      </c>
      <c r="C1" s="1" t="s">
        <v>2</v>
      </c>
      <c r="D1" s="1" t="s">
        <v>3</v>
      </c>
      <c r="E1" s="1" t="s">
        <v>4</v>
      </c>
      <c r="F1" s="1" t="s">
        <v>5</v>
      </c>
      <c r="G1" s="1" t="s">
        <v>6</v>
      </c>
      <c r="H1" s="1" t="s">
        <v>7</v>
      </c>
      <c r="I1" s="1" t="s">
        <v>8</v>
      </c>
      <c r="J1" s="1" t="s">
        <v>9</v>
      </c>
      <c r="K1" s="4" t="s">
        <v>2528</v>
      </c>
      <c r="L1" s="4" t="s">
        <v>2529</v>
      </c>
      <c r="M1" s="1" t="s">
        <v>2530</v>
      </c>
      <c r="N1" s="1" t="s">
        <v>2531</v>
      </c>
      <c r="O1" s="1" t="s">
        <v>10</v>
      </c>
      <c r="P1" s="1" t="s">
        <v>11</v>
      </c>
      <c r="Q1" s="1" t="s">
        <v>12</v>
      </c>
    </row>
    <row r="2" spans="1:17" x14ac:dyDescent="0.35">
      <c r="A2" t="s">
        <v>1690</v>
      </c>
      <c r="B2" s="3">
        <v>44928</v>
      </c>
      <c r="C2" t="s">
        <v>2015</v>
      </c>
      <c r="D2" t="s">
        <v>2025</v>
      </c>
      <c r="E2" s="8">
        <v>858</v>
      </c>
      <c r="F2">
        <v>1</v>
      </c>
      <c r="G2">
        <v>15</v>
      </c>
      <c r="H2" s="8">
        <v>729.3</v>
      </c>
      <c r="I2">
        <v>446.06</v>
      </c>
      <c r="J2">
        <v>283.24</v>
      </c>
      <c r="K2" s="5">
        <f>IF(SalesData[[#This Row],[Total Revenue]]=0,0,SalesData[[#This Row],[Profit]]/SalesData[[#This Row],[Total Revenue]])</f>
        <v>0.3883724119018237</v>
      </c>
      <c r="L2" s="5" t="str">
        <f>TEXT(SalesData[[#This Row],[Date]],"mmm")</f>
        <v>Jan</v>
      </c>
      <c r="M2">
        <f>YEAR(SalesData[[#This Row],[Date]])</f>
        <v>2023</v>
      </c>
      <c r="N2">
        <f>WEEKNUM(SalesData[[#This Row],[Date]])</f>
        <v>1</v>
      </c>
      <c r="O2" t="s">
        <v>2202</v>
      </c>
      <c r="P2" t="s">
        <v>2523</v>
      </c>
      <c r="Q2" t="s">
        <v>2524</v>
      </c>
    </row>
    <row r="3" spans="1:17" x14ac:dyDescent="0.35">
      <c r="A3" t="s">
        <v>1362</v>
      </c>
      <c r="B3" s="3">
        <v>45115</v>
      </c>
      <c r="C3" t="s">
        <v>2021</v>
      </c>
      <c r="D3" t="s">
        <v>2028</v>
      </c>
      <c r="E3" s="8">
        <v>870</v>
      </c>
      <c r="F3">
        <v>1</v>
      </c>
      <c r="G3">
        <v>15</v>
      </c>
      <c r="H3" s="8">
        <v>739.5</v>
      </c>
      <c r="I3">
        <v>496.01</v>
      </c>
      <c r="J3">
        <v>243.49</v>
      </c>
      <c r="K3" s="5">
        <f>IF(SalesData[[#This Row],[Total Revenue]]=0,0,SalesData[[#This Row],[Profit]]/SalesData[[#This Row],[Total Revenue]])</f>
        <v>0.32926301555104803</v>
      </c>
      <c r="L3" s="5" t="str">
        <f>TEXT(SalesData[[#This Row],[Date]],"mmm")</f>
        <v>Jul</v>
      </c>
      <c r="M3">
        <f>YEAR(SalesData[[#This Row],[Date]])</f>
        <v>2023</v>
      </c>
      <c r="N3">
        <f>WEEKNUM(SalesData[[#This Row],[Date]])</f>
        <v>27</v>
      </c>
      <c r="O3" t="s">
        <v>2245</v>
      </c>
      <c r="P3" t="s">
        <v>2522</v>
      </c>
      <c r="Q3" t="s">
        <v>2527</v>
      </c>
    </row>
    <row r="4" spans="1:17" x14ac:dyDescent="0.35">
      <c r="A4" t="s">
        <v>1488</v>
      </c>
      <c r="B4" s="3">
        <v>44939</v>
      </c>
      <c r="C4" t="s">
        <v>2018</v>
      </c>
      <c r="D4" t="s">
        <v>2026</v>
      </c>
      <c r="E4" s="8">
        <v>887</v>
      </c>
      <c r="F4">
        <v>1</v>
      </c>
      <c r="G4">
        <v>15</v>
      </c>
      <c r="H4" s="8">
        <v>753.95</v>
      </c>
      <c r="I4">
        <v>513.80999999999995</v>
      </c>
      <c r="J4">
        <v>240.14</v>
      </c>
      <c r="K4" s="5">
        <f>IF(SalesData[[#This Row],[Total Revenue]]=0,0,SalesData[[#This Row],[Profit]]/SalesData[[#This Row],[Total Revenue]])</f>
        <v>0.31850918495921476</v>
      </c>
      <c r="L4" s="5" t="str">
        <f>TEXT(SalesData[[#This Row],[Date]],"mmm")</f>
        <v>Jan</v>
      </c>
      <c r="M4">
        <f>YEAR(SalesData[[#This Row],[Date]])</f>
        <v>2023</v>
      </c>
      <c r="N4">
        <f>WEEKNUM(SalesData[[#This Row],[Date]])</f>
        <v>2</v>
      </c>
      <c r="O4" t="s">
        <v>2197</v>
      </c>
      <c r="P4" t="s">
        <v>2523</v>
      </c>
      <c r="Q4" t="s">
        <v>2525</v>
      </c>
    </row>
    <row r="5" spans="1:17" x14ac:dyDescent="0.35">
      <c r="A5" t="s">
        <v>1914</v>
      </c>
      <c r="B5" s="3">
        <v>45059</v>
      </c>
      <c r="C5" t="s">
        <v>2014</v>
      </c>
      <c r="D5" t="s">
        <v>2024</v>
      </c>
      <c r="E5" s="8">
        <v>804</v>
      </c>
      <c r="F5">
        <v>1</v>
      </c>
      <c r="G5">
        <v>5</v>
      </c>
      <c r="H5" s="8">
        <v>763.8</v>
      </c>
      <c r="I5">
        <v>496.87</v>
      </c>
      <c r="J5">
        <v>266.93</v>
      </c>
      <c r="K5" s="5">
        <f>IF(SalesData[[#This Row],[Total Revenue]]=0,0,SalesData[[#This Row],[Profit]]/SalesData[[#This Row],[Total Revenue]])</f>
        <v>0.34947630269704116</v>
      </c>
      <c r="L5" s="5" t="str">
        <f>TEXT(SalesData[[#This Row],[Date]],"mmm")</f>
        <v>May</v>
      </c>
      <c r="M5">
        <f>YEAR(SalesData[[#This Row],[Date]])</f>
        <v>2023</v>
      </c>
      <c r="N5">
        <f>WEEKNUM(SalesData[[#This Row],[Date]])</f>
        <v>19</v>
      </c>
      <c r="O5" t="s">
        <v>2228</v>
      </c>
      <c r="P5" t="s">
        <v>2522</v>
      </c>
      <c r="Q5" t="s">
        <v>2525</v>
      </c>
    </row>
    <row r="6" spans="1:17" x14ac:dyDescent="0.35">
      <c r="A6" t="s">
        <v>671</v>
      </c>
      <c r="B6" s="3">
        <v>44965</v>
      </c>
      <c r="C6" t="s">
        <v>2015</v>
      </c>
      <c r="D6" t="s">
        <v>2025</v>
      </c>
      <c r="E6" s="8">
        <v>1009</v>
      </c>
      <c r="F6">
        <v>1</v>
      </c>
      <c r="G6">
        <v>15</v>
      </c>
      <c r="H6" s="8">
        <v>857.65</v>
      </c>
      <c r="I6">
        <v>506.54</v>
      </c>
      <c r="J6">
        <v>351.11</v>
      </c>
      <c r="K6" s="5">
        <f>IF(SalesData[[#This Row],[Total Revenue]]=0,0,SalesData[[#This Row],[Profit]]/SalesData[[#This Row],[Total Revenue]])</f>
        <v>0.40938611321634705</v>
      </c>
      <c r="L6" s="5" t="str">
        <f>TEXT(SalesData[[#This Row],[Date]],"mmm")</f>
        <v>Feb</v>
      </c>
      <c r="M6">
        <f>YEAR(SalesData[[#This Row],[Date]])</f>
        <v>2023</v>
      </c>
      <c r="N6">
        <f>WEEKNUM(SalesData[[#This Row],[Date]])</f>
        <v>6</v>
      </c>
      <c r="O6" t="s">
        <v>2048</v>
      </c>
      <c r="P6" t="s">
        <v>2522</v>
      </c>
      <c r="Q6" t="s">
        <v>2527</v>
      </c>
    </row>
    <row r="7" spans="1:17" x14ac:dyDescent="0.35">
      <c r="A7" t="s">
        <v>1175</v>
      </c>
      <c r="B7" s="3">
        <v>45245</v>
      </c>
      <c r="C7" t="s">
        <v>2014</v>
      </c>
      <c r="D7" t="s">
        <v>2024</v>
      </c>
      <c r="E7" s="8">
        <v>1014</v>
      </c>
      <c r="F7">
        <v>1</v>
      </c>
      <c r="G7">
        <v>15</v>
      </c>
      <c r="H7" s="8">
        <v>861.9</v>
      </c>
      <c r="I7">
        <v>679.24</v>
      </c>
      <c r="J7">
        <v>182.66</v>
      </c>
      <c r="K7" s="5">
        <f>IF(SalesData[[#This Row],[Total Revenue]]=0,0,SalesData[[#This Row],[Profit]]/SalesData[[#This Row],[Total Revenue]])</f>
        <v>0.21192713771899294</v>
      </c>
      <c r="L7" s="5" t="str">
        <f>TEXT(SalesData[[#This Row],[Date]],"mmm")</f>
        <v>Nov</v>
      </c>
      <c r="M7">
        <f>YEAR(SalesData[[#This Row],[Date]])</f>
        <v>2023</v>
      </c>
      <c r="N7">
        <f>WEEKNUM(SalesData[[#This Row],[Date]])</f>
        <v>46</v>
      </c>
      <c r="O7" t="s">
        <v>2084</v>
      </c>
      <c r="P7" t="s">
        <v>2522</v>
      </c>
      <c r="Q7" t="s">
        <v>2525</v>
      </c>
    </row>
    <row r="8" spans="1:17" x14ac:dyDescent="0.35">
      <c r="A8" t="s">
        <v>1908</v>
      </c>
      <c r="B8" s="3">
        <v>45013</v>
      </c>
      <c r="C8" t="s">
        <v>2022</v>
      </c>
      <c r="D8" t="s">
        <v>2024</v>
      </c>
      <c r="E8" s="8">
        <v>1019</v>
      </c>
      <c r="F8">
        <v>1</v>
      </c>
      <c r="G8">
        <v>15</v>
      </c>
      <c r="H8" s="8">
        <v>866.15</v>
      </c>
      <c r="I8">
        <v>630.94000000000005</v>
      </c>
      <c r="J8">
        <v>235.21</v>
      </c>
      <c r="K8" s="5">
        <f>IF(SalesData[[#This Row],[Total Revenue]]=0,0,SalesData[[#This Row],[Profit]]/SalesData[[#This Row],[Total Revenue]])</f>
        <v>0.27155804421866886</v>
      </c>
      <c r="L8" s="5" t="str">
        <f>TEXT(SalesData[[#This Row],[Date]],"mmm")</f>
        <v>Mar</v>
      </c>
      <c r="M8">
        <f>YEAR(SalesData[[#This Row],[Date]])</f>
        <v>2023</v>
      </c>
      <c r="N8">
        <f>WEEKNUM(SalesData[[#This Row],[Date]])</f>
        <v>13</v>
      </c>
      <c r="O8" t="s">
        <v>2329</v>
      </c>
      <c r="P8" t="s">
        <v>2522</v>
      </c>
      <c r="Q8" t="s">
        <v>2524</v>
      </c>
    </row>
    <row r="9" spans="1:17" x14ac:dyDescent="0.35">
      <c r="A9" t="s">
        <v>1709</v>
      </c>
      <c r="B9" s="3">
        <v>45110</v>
      </c>
      <c r="C9" t="s">
        <v>2019</v>
      </c>
      <c r="D9" t="s">
        <v>2027</v>
      </c>
      <c r="E9" s="8">
        <v>913</v>
      </c>
      <c r="F9">
        <v>1</v>
      </c>
      <c r="G9">
        <v>5</v>
      </c>
      <c r="H9" s="8">
        <v>867.35</v>
      </c>
      <c r="I9">
        <v>662.86</v>
      </c>
      <c r="J9">
        <v>204.49</v>
      </c>
      <c r="K9" s="5">
        <f>IF(SalesData[[#This Row],[Total Revenue]]=0,0,SalesData[[#This Row],[Profit]]/SalesData[[#This Row],[Total Revenue]])</f>
        <v>0.23576410906785036</v>
      </c>
      <c r="L9" s="5" t="str">
        <f>TEXT(SalesData[[#This Row],[Date]],"mmm")</f>
        <v>Jul</v>
      </c>
      <c r="M9">
        <f>YEAR(SalesData[[#This Row],[Date]])</f>
        <v>2023</v>
      </c>
      <c r="N9">
        <f>WEEKNUM(SalesData[[#This Row],[Date]])</f>
        <v>27</v>
      </c>
      <c r="O9" t="s">
        <v>2239</v>
      </c>
      <c r="P9" t="s">
        <v>2523</v>
      </c>
      <c r="Q9" t="s">
        <v>2527</v>
      </c>
    </row>
    <row r="10" spans="1:17" x14ac:dyDescent="0.35">
      <c r="A10" t="s">
        <v>1330</v>
      </c>
      <c r="B10" s="3">
        <v>45152</v>
      </c>
      <c r="C10" t="s">
        <v>2021</v>
      </c>
      <c r="D10" t="s">
        <v>2028</v>
      </c>
      <c r="E10" s="8">
        <v>960</v>
      </c>
      <c r="F10">
        <v>1</v>
      </c>
      <c r="G10">
        <v>5</v>
      </c>
      <c r="H10" s="8">
        <v>912</v>
      </c>
      <c r="I10">
        <v>682.49</v>
      </c>
      <c r="J10">
        <v>229.51</v>
      </c>
      <c r="K10" s="5">
        <f>IF(SalesData[[#This Row],[Total Revenue]]=0,0,SalesData[[#This Row],[Profit]]/SalesData[[#This Row],[Total Revenue]])</f>
        <v>0.25165570175438595</v>
      </c>
      <c r="L10" s="5" t="str">
        <f>TEXT(SalesData[[#This Row],[Date]],"mmm")</f>
        <v>Aug</v>
      </c>
      <c r="M10">
        <f>YEAR(SalesData[[#This Row],[Date]])</f>
        <v>2023</v>
      </c>
      <c r="N10">
        <f>WEEKNUM(SalesData[[#This Row],[Date]])</f>
        <v>33</v>
      </c>
      <c r="O10" t="s">
        <v>2322</v>
      </c>
      <c r="P10" t="s">
        <v>2523</v>
      </c>
      <c r="Q10" t="s">
        <v>2526</v>
      </c>
    </row>
    <row r="11" spans="1:17" x14ac:dyDescent="0.35">
      <c r="A11" t="s">
        <v>498</v>
      </c>
      <c r="B11" s="3">
        <v>45140</v>
      </c>
      <c r="C11" t="s">
        <v>2018</v>
      </c>
      <c r="D11" t="s">
        <v>2026</v>
      </c>
      <c r="E11" s="8">
        <v>976</v>
      </c>
      <c r="F11">
        <v>1</v>
      </c>
      <c r="G11">
        <v>5</v>
      </c>
      <c r="H11" s="8">
        <v>927.2</v>
      </c>
      <c r="I11">
        <v>582.35</v>
      </c>
      <c r="J11">
        <v>344.85</v>
      </c>
      <c r="K11" s="5">
        <f>IF(SalesData[[#This Row],[Total Revenue]]=0,0,SalesData[[#This Row],[Profit]]/SalesData[[#This Row],[Total Revenue]])</f>
        <v>0.3719262295081967</v>
      </c>
      <c r="L11" s="5" t="str">
        <f>TEXT(SalesData[[#This Row],[Date]],"mmm")</f>
        <v>Aug</v>
      </c>
      <c r="M11">
        <f>YEAR(SalesData[[#This Row],[Date]])</f>
        <v>2023</v>
      </c>
      <c r="N11">
        <f>WEEKNUM(SalesData[[#This Row],[Date]])</f>
        <v>31</v>
      </c>
      <c r="O11" t="s">
        <v>2282</v>
      </c>
      <c r="P11" t="s">
        <v>2523</v>
      </c>
      <c r="Q11" t="s">
        <v>2526</v>
      </c>
    </row>
    <row r="12" spans="1:17" x14ac:dyDescent="0.35">
      <c r="A12" t="s">
        <v>828</v>
      </c>
      <c r="B12" s="3">
        <v>44964</v>
      </c>
      <c r="C12" t="s">
        <v>2016</v>
      </c>
      <c r="D12" t="s">
        <v>2025</v>
      </c>
      <c r="E12" s="8">
        <v>956</v>
      </c>
      <c r="F12">
        <v>1</v>
      </c>
      <c r="G12">
        <v>0</v>
      </c>
      <c r="H12" s="8">
        <v>956</v>
      </c>
      <c r="I12">
        <v>675.87</v>
      </c>
      <c r="J12">
        <v>280.13</v>
      </c>
      <c r="K12" s="5">
        <f>IF(SalesData[[#This Row],[Total Revenue]]=0,0,SalesData[[#This Row],[Profit]]/SalesData[[#This Row],[Total Revenue]])</f>
        <v>0.29302301255230123</v>
      </c>
      <c r="L12" s="5" t="str">
        <f>TEXT(SalesData[[#This Row],[Date]],"mmm")</f>
        <v>Feb</v>
      </c>
      <c r="M12">
        <f>YEAR(SalesData[[#This Row],[Date]])</f>
        <v>2023</v>
      </c>
      <c r="N12">
        <f>WEEKNUM(SalesData[[#This Row],[Date]])</f>
        <v>6</v>
      </c>
      <c r="O12" t="s">
        <v>2246</v>
      </c>
      <c r="P12" t="s">
        <v>2523</v>
      </c>
      <c r="Q12" t="s">
        <v>2527</v>
      </c>
    </row>
    <row r="13" spans="1:17" x14ac:dyDescent="0.35">
      <c r="A13" t="s">
        <v>1728</v>
      </c>
      <c r="B13" s="3">
        <v>45010</v>
      </c>
      <c r="C13" t="s">
        <v>2015</v>
      </c>
      <c r="D13" t="s">
        <v>2025</v>
      </c>
      <c r="E13" s="8">
        <v>1039</v>
      </c>
      <c r="F13">
        <v>1</v>
      </c>
      <c r="G13">
        <v>5</v>
      </c>
      <c r="H13" s="8">
        <v>987.05</v>
      </c>
      <c r="I13">
        <v>533.27</v>
      </c>
      <c r="J13">
        <v>453.78</v>
      </c>
      <c r="K13" s="5">
        <f>IF(SalesData[[#This Row],[Total Revenue]]=0,0,SalesData[[#This Row],[Profit]]/SalesData[[#This Row],[Total Revenue]])</f>
        <v>0.45973354946557926</v>
      </c>
      <c r="L13" s="5" t="str">
        <f>TEXT(SalesData[[#This Row],[Date]],"mmm")</f>
        <v>Mar</v>
      </c>
      <c r="M13">
        <f>YEAR(SalesData[[#This Row],[Date]])</f>
        <v>2023</v>
      </c>
      <c r="N13">
        <f>WEEKNUM(SalesData[[#This Row],[Date]])</f>
        <v>12</v>
      </c>
      <c r="O13" t="s">
        <v>2123</v>
      </c>
      <c r="P13" t="s">
        <v>2523</v>
      </c>
      <c r="Q13" t="s">
        <v>2527</v>
      </c>
    </row>
    <row r="14" spans="1:17" x14ac:dyDescent="0.35">
      <c r="A14" t="s">
        <v>479</v>
      </c>
      <c r="B14" s="3">
        <v>44993</v>
      </c>
      <c r="C14" t="s">
        <v>2020</v>
      </c>
      <c r="D14" t="s">
        <v>2028</v>
      </c>
      <c r="E14" s="8">
        <v>1126</v>
      </c>
      <c r="F14">
        <v>1</v>
      </c>
      <c r="G14">
        <v>10</v>
      </c>
      <c r="H14" s="8">
        <v>1013.4</v>
      </c>
      <c r="I14">
        <v>588.24</v>
      </c>
      <c r="J14">
        <v>425.16</v>
      </c>
      <c r="K14" s="5">
        <f>IF(SalesData[[#This Row],[Total Revenue]]=0,0,SalesData[[#This Row],[Profit]]/SalesData[[#This Row],[Total Revenue]])</f>
        <v>0.41953818827708705</v>
      </c>
      <c r="L14" s="5" t="str">
        <f>TEXT(SalesData[[#This Row],[Date]],"mmm")</f>
        <v>Mar</v>
      </c>
      <c r="M14">
        <f>YEAR(SalesData[[#This Row],[Date]])</f>
        <v>2023</v>
      </c>
      <c r="N14">
        <f>WEEKNUM(SalesData[[#This Row],[Date]])</f>
        <v>10</v>
      </c>
      <c r="O14" t="s">
        <v>2235</v>
      </c>
      <c r="P14" t="s">
        <v>2522</v>
      </c>
      <c r="Q14" t="s">
        <v>2526</v>
      </c>
    </row>
    <row r="15" spans="1:17" x14ac:dyDescent="0.35">
      <c r="A15" t="s">
        <v>936</v>
      </c>
      <c r="B15" s="3">
        <v>45235</v>
      </c>
      <c r="C15" t="s">
        <v>2020</v>
      </c>
      <c r="D15" t="s">
        <v>2028</v>
      </c>
      <c r="E15" s="8">
        <v>1015</v>
      </c>
      <c r="F15">
        <v>1</v>
      </c>
      <c r="G15">
        <v>0</v>
      </c>
      <c r="H15" s="8">
        <v>1015</v>
      </c>
      <c r="I15">
        <v>637.69000000000005</v>
      </c>
      <c r="J15">
        <v>377.31</v>
      </c>
      <c r="K15" s="5">
        <f>IF(SalesData[[#This Row],[Total Revenue]]=0,0,SalesData[[#This Row],[Profit]]/SalesData[[#This Row],[Total Revenue]])</f>
        <v>0.37173399014778324</v>
      </c>
      <c r="L15" s="5" t="str">
        <f>TEXT(SalesData[[#This Row],[Date]],"mmm")</f>
        <v>Nov</v>
      </c>
      <c r="M15">
        <f>YEAR(SalesData[[#This Row],[Date]])</f>
        <v>2023</v>
      </c>
      <c r="N15">
        <f>WEEKNUM(SalesData[[#This Row],[Date]])</f>
        <v>45</v>
      </c>
      <c r="O15" t="s">
        <v>2030</v>
      </c>
      <c r="P15" t="s">
        <v>2523</v>
      </c>
      <c r="Q15" t="s">
        <v>2525</v>
      </c>
    </row>
    <row r="16" spans="1:17" x14ac:dyDescent="0.35">
      <c r="A16" t="s">
        <v>108</v>
      </c>
      <c r="B16" s="3">
        <v>45024</v>
      </c>
      <c r="C16" t="s">
        <v>2019</v>
      </c>
      <c r="D16" t="s">
        <v>2027</v>
      </c>
      <c r="E16" s="8">
        <v>1037</v>
      </c>
      <c r="F16">
        <v>1</v>
      </c>
      <c r="G16">
        <v>0</v>
      </c>
      <c r="H16" s="8">
        <v>1037</v>
      </c>
      <c r="I16">
        <v>607.36</v>
      </c>
      <c r="J16">
        <v>429.64</v>
      </c>
      <c r="K16" s="5">
        <f>IF(SalesData[[#This Row],[Total Revenue]]=0,0,SalesData[[#This Row],[Profit]]/SalesData[[#This Row],[Total Revenue]])</f>
        <v>0.41431051108968175</v>
      </c>
      <c r="L16" s="5" t="str">
        <f>TEXT(SalesData[[#This Row],[Date]],"mmm")</f>
        <v>Apr</v>
      </c>
      <c r="M16">
        <f>YEAR(SalesData[[#This Row],[Date]])</f>
        <v>2023</v>
      </c>
      <c r="N16">
        <f>WEEKNUM(SalesData[[#This Row],[Date]])</f>
        <v>14</v>
      </c>
      <c r="O16" t="s">
        <v>2029</v>
      </c>
      <c r="P16" t="s">
        <v>2523</v>
      </c>
      <c r="Q16" t="s">
        <v>2525</v>
      </c>
    </row>
    <row r="17" spans="1:17" x14ac:dyDescent="0.35">
      <c r="A17" t="s">
        <v>50</v>
      </c>
      <c r="B17" s="3">
        <v>45249</v>
      </c>
      <c r="C17" t="s">
        <v>2021</v>
      </c>
      <c r="D17" t="s">
        <v>2028</v>
      </c>
      <c r="E17" s="8">
        <v>1042</v>
      </c>
      <c r="F17">
        <v>1</v>
      </c>
      <c r="G17">
        <v>0</v>
      </c>
      <c r="H17" s="8">
        <v>1042</v>
      </c>
      <c r="I17">
        <v>570.54</v>
      </c>
      <c r="J17">
        <v>471.46</v>
      </c>
      <c r="K17" s="5">
        <f>IF(SalesData[[#This Row],[Total Revenue]]=0,0,SalesData[[#This Row],[Profit]]/SalesData[[#This Row],[Total Revenue]])</f>
        <v>0.4524568138195777</v>
      </c>
      <c r="L17" s="5" t="str">
        <f>TEXT(SalesData[[#This Row],[Date]],"mmm")</f>
        <v>Nov</v>
      </c>
      <c r="M17">
        <f>YEAR(SalesData[[#This Row],[Date]])</f>
        <v>2023</v>
      </c>
      <c r="N17">
        <f>WEEKNUM(SalesData[[#This Row],[Date]])</f>
        <v>47</v>
      </c>
      <c r="O17" t="s">
        <v>2062</v>
      </c>
      <c r="P17" t="s">
        <v>2523</v>
      </c>
      <c r="Q17" t="s">
        <v>2525</v>
      </c>
    </row>
    <row r="18" spans="1:17" x14ac:dyDescent="0.35">
      <c r="A18" t="s">
        <v>1651</v>
      </c>
      <c r="B18" s="3">
        <v>45259</v>
      </c>
      <c r="C18" t="s">
        <v>2021</v>
      </c>
      <c r="D18" t="s">
        <v>2028</v>
      </c>
      <c r="E18" s="8">
        <v>1208</v>
      </c>
      <c r="F18">
        <v>1</v>
      </c>
      <c r="G18">
        <v>10</v>
      </c>
      <c r="H18" s="8">
        <v>1087.2</v>
      </c>
      <c r="I18">
        <v>863.96</v>
      </c>
      <c r="J18">
        <v>223.24</v>
      </c>
      <c r="K18" s="5">
        <f>IF(SalesData[[#This Row],[Total Revenue]]=0,0,SalesData[[#This Row],[Profit]]/SalesData[[#This Row],[Total Revenue]])</f>
        <v>0.20533480500367918</v>
      </c>
      <c r="L18" s="5" t="str">
        <f>TEXT(SalesData[[#This Row],[Date]],"mmm")</f>
        <v>Nov</v>
      </c>
      <c r="M18">
        <f>YEAR(SalesData[[#This Row],[Date]])</f>
        <v>2023</v>
      </c>
      <c r="N18">
        <f>WEEKNUM(SalesData[[#This Row],[Date]])</f>
        <v>48</v>
      </c>
      <c r="O18" t="s">
        <v>2233</v>
      </c>
      <c r="P18" t="s">
        <v>2523</v>
      </c>
      <c r="Q18" t="s">
        <v>2527</v>
      </c>
    </row>
    <row r="19" spans="1:17" x14ac:dyDescent="0.35">
      <c r="A19" t="s">
        <v>608</v>
      </c>
      <c r="B19" s="3">
        <v>44935</v>
      </c>
      <c r="C19" t="s">
        <v>2017</v>
      </c>
      <c r="D19" t="s">
        <v>2026</v>
      </c>
      <c r="E19" s="8">
        <v>1091</v>
      </c>
      <c r="F19">
        <v>1</v>
      </c>
      <c r="G19">
        <v>0</v>
      </c>
      <c r="H19" s="8">
        <v>1091</v>
      </c>
      <c r="I19">
        <v>696.46</v>
      </c>
      <c r="J19">
        <v>394.54</v>
      </c>
      <c r="K19" s="5">
        <f>IF(SalesData[[#This Row],[Total Revenue]]=0,0,SalesData[[#This Row],[Profit]]/SalesData[[#This Row],[Total Revenue]])</f>
        <v>0.36163153070577453</v>
      </c>
      <c r="L19" s="5" t="str">
        <f>TEXT(SalesData[[#This Row],[Date]],"mmm")</f>
        <v>Jan</v>
      </c>
      <c r="M19">
        <f>YEAR(SalesData[[#This Row],[Date]])</f>
        <v>2023</v>
      </c>
      <c r="N19">
        <f>WEEKNUM(SalesData[[#This Row],[Date]])</f>
        <v>2</v>
      </c>
      <c r="O19" t="s">
        <v>2127</v>
      </c>
      <c r="P19" t="s">
        <v>2522</v>
      </c>
      <c r="Q19" t="s">
        <v>2524</v>
      </c>
    </row>
    <row r="20" spans="1:17" x14ac:dyDescent="0.35">
      <c r="A20" t="s">
        <v>250</v>
      </c>
      <c r="B20" s="3">
        <v>44947</v>
      </c>
      <c r="C20" t="s">
        <v>2020</v>
      </c>
      <c r="D20" t="s">
        <v>2028</v>
      </c>
      <c r="E20" s="8">
        <v>1225</v>
      </c>
      <c r="F20">
        <v>1</v>
      </c>
      <c r="G20">
        <v>10</v>
      </c>
      <c r="H20" s="8">
        <v>1102.5</v>
      </c>
      <c r="I20">
        <v>709.37</v>
      </c>
      <c r="J20">
        <v>393.13</v>
      </c>
      <c r="K20" s="5">
        <f>IF(SalesData[[#This Row],[Total Revenue]]=0,0,SalesData[[#This Row],[Profit]]/SalesData[[#This Row],[Total Revenue]])</f>
        <v>0.35658049886621312</v>
      </c>
      <c r="L20" s="5" t="str">
        <f>TEXT(SalesData[[#This Row],[Date]],"mmm")</f>
        <v>Jan</v>
      </c>
      <c r="M20">
        <f>YEAR(SalesData[[#This Row],[Date]])</f>
        <v>2023</v>
      </c>
      <c r="N20">
        <f>WEEKNUM(SalesData[[#This Row],[Date]])</f>
        <v>3</v>
      </c>
      <c r="O20" t="s">
        <v>2218</v>
      </c>
      <c r="P20" t="s">
        <v>2522</v>
      </c>
      <c r="Q20" t="s">
        <v>2527</v>
      </c>
    </row>
    <row r="21" spans="1:17" x14ac:dyDescent="0.35">
      <c r="A21" t="s">
        <v>997</v>
      </c>
      <c r="B21" s="3">
        <v>45028</v>
      </c>
      <c r="C21" t="s">
        <v>2017</v>
      </c>
      <c r="D21" t="s">
        <v>2026</v>
      </c>
      <c r="E21" s="8">
        <v>1175</v>
      </c>
      <c r="F21">
        <v>1</v>
      </c>
      <c r="G21">
        <v>5</v>
      </c>
      <c r="H21" s="8">
        <v>1116.25</v>
      </c>
      <c r="I21">
        <v>799.07</v>
      </c>
      <c r="J21">
        <v>317.18</v>
      </c>
      <c r="K21" s="5">
        <f>IF(SalesData[[#This Row],[Total Revenue]]=0,0,SalesData[[#This Row],[Profit]]/SalesData[[#This Row],[Total Revenue]])</f>
        <v>0.28414781634938413</v>
      </c>
      <c r="L21" s="5" t="str">
        <f>TEXT(SalesData[[#This Row],[Date]],"mmm")</f>
        <v>Apr</v>
      </c>
      <c r="M21">
        <f>YEAR(SalesData[[#This Row],[Date]])</f>
        <v>2023</v>
      </c>
      <c r="N21">
        <f>WEEKNUM(SalesData[[#This Row],[Date]])</f>
        <v>15</v>
      </c>
      <c r="O21" t="s">
        <v>2185</v>
      </c>
      <c r="P21" t="s">
        <v>2522</v>
      </c>
      <c r="Q21" t="s">
        <v>2525</v>
      </c>
    </row>
    <row r="22" spans="1:17" x14ac:dyDescent="0.35">
      <c r="A22" t="s">
        <v>518</v>
      </c>
      <c r="B22" s="3">
        <v>45057</v>
      </c>
      <c r="C22" t="s">
        <v>2020</v>
      </c>
      <c r="D22" t="s">
        <v>2028</v>
      </c>
      <c r="E22" s="8">
        <v>1315</v>
      </c>
      <c r="F22">
        <v>1</v>
      </c>
      <c r="G22">
        <v>15</v>
      </c>
      <c r="H22" s="8">
        <v>1117.75</v>
      </c>
      <c r="I22">
        <v>896.38</v>
      </c>
      <c r="J22">
        <v>221.37</v>
      </c>
      <c r="K22" s="5">
        <f>IF(SalesData[[#This Row],[Total Revenue]]=0,0,SalesData[[#This Row],[Profit]]/SalesData[[#This Row],[Total Revenue]])</f>
        <v>0.19804965332140462</v>
      </c>
      <c r="L22" s="5" t="str">
        <f>TEXT(SalesData[[#This Row],[Date]],"mmm")</f>
        <v>May</v>
      </c>
      <c r="M22">
        <f>YEAR(SalesData[[#This Row],[Date]])</f>
        <v>2023</v>
      </c>
      <c r="N22">
        <f>WEEKNUM(SalesData[[#This Row],[Date]])</f>
        <v>19</v>
      </c>
      <c r="O22" t="s">
        <v>2181</v>
      </c>
      <c r="P22" t="s">
        <v>2523</v>
      </c>
      <c r="Q22" t="s">
        <v>2527</v>
      </c>
    </row>
    <row r="23" spans="1:17" x14ac:dyDescent="0.35">
      <c r="A23" t="s">
        <v>759</v>
      </c>
      <c r="B23" s="3">
        <v>44930</v>
      </c>
      <c r="C23" t="s">
        <v>2020</v>
      </c>
      <c r="D23" t="s">
        <v>2028</v>
      </c>
      <c r="E23" s="8">
        <v>1334</v>
      </c>
      <c r="F23">
        <v>1</v>
      </c>
      <c r="G23">
        <v>15</v>
      </c>
      <c r="H23" s="8">
        <v>1133.9000000000001</v>
      </c>
      <c r="I23">
        <v>927.54</v>
      </c>
      <c r="J23">
        <v>206.36</v>
      </c>
      <c r="K23" s="5">
        <f>IF(SalesData[[#This Row],[Total Revenue]]=0,0,SalesData[[#This Row],[Profit]]/SalesData[[#This Row],[Total Revenue]])</f>
        <v>0.1819913572625452</v>
      </c>
      <c r="L23" s="5" t="str">
        <f>TEXT(SalesData[[#This Row],[Date]],"mmm")</f>
        <v>Jan</v>
      </c>
      <c r="M23">
        <f>YEAR(SalesData[[#This Row],[Date]])</f>
        <v>2023</v>
      </c>
      <c r="N23">
        <f>WEEKNUM(SalesData[[#This Row],[Date]])</f>
        <v>1</v>
      </c>
      <c r="O23" t="s">
        <v>2185</v>
      </c>
      <c r="P23" t="s">
        <v>2523</v>
      </c>
      <c r="Q23" t="s">
        <v>2527</v>
      </c>
    </row>
    <row r="24" spans="1:17" x14ac:dyDescent="0.35">
      <c r="A24" t="s">
        <v>1771</v>
      </c>
      <c r="B24" s="3">
        <v>45067</v>
      </c>
      <c r="C24" t="s">
        <v>2013</v>
      </c>
      <c r="D24" t="s">
        <v>2023</v>
      </c>
      <c r="E24" s="8">
        <v>1334</v>
      </c>
      <c r="F24">
        <v>1</v>
      </c>
      <c r="G24">
        <v>15</v>
      </c>
      <c r="H24" s="8">
        <v>1133.9000000000001</v>
      </c>
      <c r="I24">
        <v>840.78</v>
      </c>
      <c r="J24">
        <v>293.12</v>
      </c>
      <c r="K24" s="5">
        <f>IF(SalesData[[#This Row],[Total Revenue]]=0,0,SalesData[[#This Row],[Profit]]/SalesData[[#This Row],[Total Revenue]])</f>
        <v>0.25850604109709852</v>
      </c>
      <c r="L24" s="5" t="str">
        <f>TEXT(SalesData[[#This Row],[Date]],"mmm")</f>
        <v>May</v>
      </c>
      <c r="M24">
        <f>YEAR(SalesData[[#This Row],[Date]])</f>
        <v>2023</v>
      </c>
      <c r="N24">
        <f>WEEKNUM(SalesData[[#This Row],[Date]])</f>
        <v>21</v>
      </c>
      <c r="O24" t="s">
        <v>2148</v>
      </c>
      <c r="P24" t="s">
        <v>2523</v>
      </c>
      <c r="Q24" t="s">
        <v>2527</v>
      </c>
    </row>
    <row r="25" spans="1:17" x14ac:dyDescent="0.35">
      <c r="A25" t="s">
        <v>257</v>
      </c>
      <c r="B25" s="3">
        <v>45188</v>
      </c>
      <c r="C25" t="s">
        <v>2018</v>
      </c>
      <c r="D25" t="s">
        <v>2026</v>
      </c>
      <c r="E25" s="8">
        <v>1362</v>
      </c>
      <c r="F25">
        <v>1</v>
      </c>
      <c r="G25">
        <v>15</v>
      </c>
      <c r="H25" s="8">
        <v>1157.7</v>
      </c>
      <c r="I25">
        <v>788.72</v>
      </c>
      <c r="J25">
        <v>368.98</v>
      </c>
      <c r="K25" s="5">
        <f>IF(SalesData[[#This Row],[Total Revenue]]=0,0,SalesData[[#This Row],[Profit]]/SalesData[[#This Row],[Total Revenue]])</f>
        <v>0.31871814805217241</v>
      </c>
      <c r="L25" s="5" t="str">
        <f>TEXT(SalesData[[#This Row],[Date]],"mmm")</f>
        <v>Sep</v>
      </c>
      <c r="M25">
        <f>YEAR(SalesData[[#This Row],[Date]])</f>
        <v>2023</v>
      </c>
      <c r="N25">
        <f>WEEKNUM(SalesData[[#This Row],[Date]])</f>
        <v>38</v>
      </c>
      <c r="O25" t="s">
        <v>2223</v>
      </c>
      <c r="P25" t="s">
        <v>2523</v>
      </c>
      <c r="Q25" t="s">
        <v>2524</v>
      </c>
    </row>
    <row r="26" spans="1:17" x14ac:dyDescent="0.35">
      <c r="A26" t="s">
        <v>1582</v>
      </c>
      <c r="B26" s="3">
        <v>44941</v>
      </c>
      <c r="C26" t="s">
        <v>2021</v>
      </c>
      <c r="D26" t="s">
        <v>2028</v>
      </c>
      <c r="E26" s="8">
        <v>1160</v>
      </c>
      <c r="F26">
        <v>1</v>
      </c>
      <c r="G26">
        <v>0</v>
      </c>
      <c r="H26" s="8">
        <v>1160</v>
      </c>
      <c r="I26">
        <v>590.13</v>
      </c>
      <c r="J26">
        <v>569.87</v>
      </c>
      <c r="K26" s="5">
        <f>IF(SalesData[[#This Row],[Total Revenue]]=0,0,SalesData[[#This Row],[Profit]]/SalesData[[#This Row],[Total Revenue]])</f>
        <v>0.49126724137931033</v>
      </c>
      <c r="L26" s="5" t="str">
        <f>TEXT(SalesData[[#This Row],[Date]],"mmm")</f>
        <v>Jan</v>
      </c>
      <c r="M26">
        <f>YEAR(SalesData[[#This Row],[Date]])</f>
        <v>2023</v>
      </c>
      <c r="N26">
        <f>WEEKNUM(SalesData[[#This Row],[Date]])</f>
        <v>3</v>
      </c>
      <c r="O26" t="s">
        <v>2177</v>
      </c>
      <c r="P26" t="s">
        <v>2523</v>
      </c>
      <c r="Q26" t="s">
        <v>2524</v>
      </c>
    </row>
    <row r="27" spans="1:17" x14ac:dyDescent="0.35">
      <c r="A27" t="s">
        <v>549</v>
      </c>
      <c r="B27" s="3">
        <v>44957</v>
      </c>
      <c r="C27" t="s">
        <v>2018</v>
      </c>
      <c r="D27" t="s">
        <v>2026</v>
      </c>
      <c r="E27" s="8">
        <v>1387</v>
      </c>
      <c r="F27">
        <v>1</v>
      </c>
      <c r="G27">
        <v>15</v>
      </c>
      <c r="H27" s="8">
        <v>1178.95</v>
      </c>
      <c r="I27">
        <v>832.39</v>
      </c>
      <c r="J27">
        <v>346.56</v>
      </c>
      <c r="K27" s="5">
        <f>IF(SalesData[[#This Row],[Total Revenue]]=0,0,SalesData[[#This Row],[Profit]]/SalesData[[#This Row],[Total Revenue]])</f>
        <v>0.29395648670427071</v>
      </c>
      <c r="L27" s="5" t="str">
        <f>TEXT(SalesData[[#This Row],[Date]],"mmm")</f>
        <v>Jan</v>
      </c>
      <c r="M27">
        <f>YEAR(SalesData[[#This Row],[Date]])</f>
        <v>2023</v>
      </c>
      <c r="N27">
        <f>WEEKNUM(SalesData[[#This Row],[Date]])</f>
        <v>5</v>
      </c>
      <c r="O27" t="s">
        <v>2354</v>
      </c>
      <c r="P27" t="s">
        <v>2523</v>
      </c>
      <c r="Q27" t="s">
        <v>2527</v>
      </c>
    </row>
    <row r="28" spans="1:17" x14ac:dyDescent="0.35">
      <c r="A28" t="s">
        <v>61</v>
      </c>
      <c r="B28" s="3">
        <v>45149</v>
      </c>
      <c r="C28" t="s">
        <v>2019</v>
      </c>
      <c r="D28" t="s">
        <v>2027</v>
      </c>
      <c r="E28" s="8">
        <v>1347</v>
      </c>
      <c r="F28">
        <v>1</v>
      </c>
      <c r="G28">
        <v>10</v>
      </c>
      <c r="H28" s="8">
        <v>1212.3</v>
      </c>
      <c r="I28">
        <v>722.81</v>
      </c>
      <c r="J28">
        <v>489.49</v>
      </c>
      <c r="K28" s="5">
        <f>IF(SalesData[[#This Row],[Total Revenue]]=0,0,SalesData[[#This Row],[Profit]]/SalesData[[#This Row],[Total Revenue]])</f>
        <v>0.40376969397013945</v>
      </c>
      <c r="L28" s="5" t="str">
        <f>TEXT(SalesData[[#This Row],[Date]],"mmm")</f>
        <v>Aug</v>
      </c>
      <c r="M28">
        <f>YEAR(SalesData[[#This Row],[Date]])</f>
        <v>2023</v>
      </c>
      <c r="N28">
        <f>WEEKNUM(SalesData[[#This Row],[Date]])</f>
        <v>32</v>
      </c>
      <c r="O28" t="s">
        <v>2072</v>
      </c>
      <c r="P28" t="s">
        <v>2523</v>
      </c>
      <c r="Q28" t="s">
        <v>2524</v>
      </c>
    </row>
    <row r="29" spans="1:17" x14ac:dyDescent="0.35">
      <c r="A29" t="s">
        <v>917</v>
      </c>
      <c r="B29" s="3">
        <v>44975</v>
      </c>
      <c r="C29" t="s">
        <v>2017</v>
      </c>
      <c r="D29" t="s">
        <v>2026</v>
      </c>
      <c r="E29" s="8">
        <v>1280</v>
      </c>
      <c r="F29">
        <v>1</v>
      </c>
      <c r="G29">
        <v>5</v>
      </c>
      <c r="H29" s="8">
        <v>1216</v>
      </c>
      <c r="I29">
        <v>991.57</v>
      </c>
      <c r="J29">
        <v>224.43</v>
      </c>
      <c r="K29" s="5">
        <f>IF(SalesData[[#This Row],[Total Revenue]]=0,0,SalesData[[#This Row],[Profit]]/SalesData[[#This Row],[Total Revenue]])</f>
        <v>0.1845641447368421</v>
      </c>
      <c r="L29" s="5" t="str">
        <f>TEXT(SalesData[[#This Row],[Date]],"mmm")</f>
        <v>Feb</v>
      </c>
      <c r="M29">
        <f>YEAR(SalesData[[#This Row],[Date]])</f>
        <v>2023</v>
      </c>
      <c r="N29">
        <f>WEEKNUM(SalesData[[#This Row],[Date]])</f>
        <v>7</v>
      </c>
      <c r="O29" t="s">
        <v>2389</v>
      </c>
      <c r="P29" t="s">
        <v>2523</v>
      </c>
      <c r="Q29" t="s">
        <v>2526</v>
      </c>
    </row>
    <row r="30" spans="1:17" x14ac:dyDescent="0.35">
      <c r="A30" t="s">
        <v>707</v>
      </c>
      <c r="B30" s="3">
        <v>45007</v>
      </c>
      <c r="C30" t="s">
        <v>2021</v>
      </c>
      <c r="D30" t="s">
        <v>2028</v>
      </c>
      <c r="E30" s="8">
        <v>1447</v>
      </c>
      <c r="F30">
        <v>1</v>
      </c>
      <c r="G30">
        <v>15</v>
      </c>
      <c r="H30" s="8">
        <v>1229.95</v>
      </c>
      <c r="I30">
        <v>1006.61</v>
      </c>
      <c r="J30">
        <v>223.34</v>
      </c>
      <c r="K30" s="5">
        <f>IF(SalesData[[#This Row],[Total Revenue]]=0,0,SalesData[[#This Row],[Profit]]/SalesData[[#This Row],[Total Revenue]])</f>
        <v>0.18158461726086425</v>
      </c>
      <c r="L30" s="5" t="str">
        <f>TEXT(SalesData[[#This Row],[Date]],"mmm")</f>
        <v>Mar</v>
      </c>
      <c r="M30">
        <f>YEAR(SalesData[[#This Row],[Date]])</f>
        <v>2023</v>
      </c>
      <c r="N30">
        <f>WEEKNUM(SalesData[[#This Row],[Date]])</f>
        <v>12</v>
      </c>
      <c r="O30" t="s">
        <v>2250</v>
      </c>
      <c r="P30" t="s">
        <v>2523</v>
      </c>
      <c r="Q30" t="s">
        <v>2527</v>
      </c>
    </row>
    <row r="31" spans="1:17" x14ac:dyDescent="0.35">
      <c r="A31" t="s">
        <v>1779</v>
      </c>
      <c r="B31" s="3">
        <v>45033</v>
      </c>
      <c r="C31" t="s">
        <v>2019</v>
      </c>
      <c r="D31" t="s">
        <v>2027</v>
      </c>
      <c r="E31" s="8">
        <v>1236</v>
      </c>
      <c r="F31">
        <v>1</v>
      </c>
      <c r="G31">
        <v>0</v>
      </c>
      <c r="H31" s="8">
        <v>1236</v>
      </c>
      <c r="I31">
        <v>797.08</v>
      </c>
      <c r="J31">
        <v>438.92</v>
      </c>
      <c r="K31" s="5">
        <f>IF(SalesData[[#This Row],[Total Revenue]]=0,0,SalesData[[#This Row],[Profit]]/SalesData[[#This Row],[Total Revenue]])</f>
        <v>0.35511326860841425</v>
      </c>
      <c r="L31" s="5" t="str">
        <f>TEXT(SalesData[[#This Row],[Date]],"mmm")</f>
        <v>Apr</v>
      </c>
      <c r="M31">
        <f>YEAR(SalesData[[#This Row],[Date]])</f>
        <v>2023</v>
      </c>
      <c r="N31">
        <f>WEEKNUM(SalesData[[#This Row],[Date]])</f>
        <v>16</v>
      </c>
      <c r="O31" t="s">
        <v>2205</v>
      </c>
      <c r="P31" t="s">
        <v>2523</v>
      </c>
      <c r="Q31" t="s">
        <v>2524</v>
      </c>
    </row>
    <row r="32" spans="1:17" x14ac:dyDescent="0.35">
      <c r="A32" t="s">
        <v>568</v>
      </c>
      <c r="B32" s="3">
        <v>45155</v>
      </c>
      <c r="C32" t="s">
        <v>2016</v>
      </c>
      <c r="D32" t="s">
        <v>2025</v>
      </c>
      <c r="E32" s="8">
        <v>1406</v>
      </c>
      <c r="F32">
        <v>1</v>
      </c>
      <c r="G32">
        <v>10</v>
      </c>
      <c r="H32" s="8">
        <v>1265.4000000000001</v>
      </c>
      <c r="I32">
        <v>918.37</v>
      </c>
      <c r="J32">
        <v>347.03</v>
      </c>
      <c r="K32" s="5">
        <f>IF(SalesData[[#This Row],[Total Revenue]]=0,0,SalesData[[#This Row],[Profit]]/SalesData[[#This Row],[Total Revenue]])</f>
        <v>0.27424529792950841</v>
      </c>
      <c r="L32" s="5" t="str">
        <f>TEXT(SalesData[[#This Row],[Date]],"mmm")</f>
        <v>Aug</v>
      </c>
      <c r="M32">
        <f>YEAR(SalesData[[#This Row],[Date]])</f>
        <v>2023</v>
      </c>
      <c r="N32">
        <f>WEEKNUM(SalesData[[#This Row],[Date]])</f>
        <v>33</v>
      </c>
      <c r="O32" t="s">
        <v>2360</v>
      </c>
      <c r="P32" t="s">
        <v>2522</v>
      </c>
      <c r="Q32" t="s">
        <v>2527</v>
      </c>
    </row>
    <row r="33" spans="1:17" x14ac:dyDescent="0.35">
      <c r="A33" t="s">
        <v>1006</v>
      </c>
      <c r="B33" s="3">
        <v>45284</v>
      </c>
      <c r="C33" t="s">
        <v>2020</v>
      </c>
      <c r="D33" t="s">
        <v>2028</v>
      </c>
      <c r="E33" s="8">
        <v>1503</v>
      </c>
      <c r="F33">
        <v>1</v>
      </c>
      <c r="G33">
        <v>15</v>
      </c>
      <c r="H33" s="8">
        <v>1277.55</v>
      </c>
      <c r="I33">
        <v>1145.92</v>
      </c>
      <c r="J33">
        <v>131.63</v>
      </c>
      <c r="K33" s="5">
        <f>IF(SalesData[[#This Row],[Total Revenue]]=0,0,SalesData[[#This Row],[Profit]]/SalesData[[#This Row],[Total Revenue]])</f>
        <v>0.10303314938749951</v>
      </c>
      <c r="L33" s="5" t="str">
        <f>TEXT(SalesData[[#This Row],[Date]],"mmm")</f>
        <v>Dec</v>
      </c>
      <c r="M33">
        <f>YEAR(SalesData[[#This Row],[Date]])</f>
        <v>2023</v>
      </c>
      <c r="N33">
        <f>WEEKNUM(SalesData[[#This Row],[Date]])</f>
        <v>52</v>
      </c>
      <c r="O33" t="s">
        <v>2384</v>
      </c>
      <c r="P33" t="s">
        <v>2523</v>
      </c>
      <c r="Q33" t="s">
        <v>2527</v>
      </c>
    </row>
    <row r="34" spans="1:17" x14ac:dyDescent="0.35">
      <c r="A34" t="s">
        <v>1547</v>
      </c>
      <c r="B34" s="3">
        <v>45274</v>
      </c>
      <c r="C34" t="s">
        <v>2016</v>
      </c>
      <c r="D34" t="s">
        <v>2025</v>
      </c>
      <c r="E34" s="8">
        <v>1519</v>
      </c>
      <c r="F34">
        <v>1</v>
      </c>
      <c r="G34">
        <v>15</v>
      </c>
      <c r="H34" s="8">
        <v>1291.1500000000001</v>
      </c>
      <c r="I34">
        <v>947.47</v>
      </c>
      <c r="J34">
        <v>343.68</v>
      </c>
      <c r="K34" s="5">
        <f>IF(SalesData[[#This Row],[Total Revenue]]=0,0,SalesData[[#This Row],[Profit]]/SalesData[[#This Row],[Total Revenue]])</f>
        <v>0.26618131123417105</v>
      </c>
      <c r="L34" s="5" t="str">
        <f>TEXT(SalesData[[#This Row],[Date]],"mmm")</f>
        <v>Dec</v>
      </c>
      <c r="M34">
        <f>YEAR(SalesData[[#This Row],[Date]])</f>
        <v>2023</v>
      </c>
      <c r="N34">
        <f>WEEKNUM(SalesData[[#This Row],[Date]])</f>
        <v>50</v>
      </c>
      <c r="O34" t="s">
        <v>2439</v>
      </c>
      <c r="P34" t="s">
        <v>2522</v>
      </c>
      <c r="Q34" t="s">
        <v>2526</v>
      </c>
    </row>
    <row r="35" spans="1:17" x14ac:dyDescent="0.35">
      <c r="A35" t="s">
        <v>982</v>
      </c>
      <c r="B35" s="3">
        <v>45079</v>
      </c>
      <c r="C35" t="s">
        <v>2022</v>
      </c>
      <c r="D35" t="s">
        <v>2024</v>
      </c>
      <c r="E35" s="8">
        <v>1527</v>
      </c>
      <c r="F35">
        <v>1</v>
      </c>
      <c r="G35">
        <v>15</v>
      </c>
      <c r="H35" s="8">
        <v>1297.95</v>
      </c>
      <c r="I35">
        <v>990.39</v>
      </c>
      <c r="J35">
        <v>307.56</v>
      </c>
      <c r="K35" s="5">
        <f>IF(SalesData[[#This Row],[Total Revenue]]=0,0,SalesData[[#This Row],[Profit]]/SalesData[[#This Row],[Total Revenue]])</f>
        <v>0.23695828036519126</v>
      </c>
      <c r="L35" s="5" t="str">
        <f>TEXT(SalesData[[#This Row],[Date]],"mmm")</f>
        <v>Jun</v>
      </c>
      <c r="M35">
        <f>YEAR(SalesData[[#This Row],[Date]])</f>
        <v>2023</v>
      </c>
      <c r="N35">
        <f>WEEKNUM(SalesData[[#This Row],[Date]])</f>
        <v>22</v>
      </c>
      <c r="O35" t="s">
        <v>2338</v>
      </c>
      <c r="P35" t="s">
        <v>2523</v>
      </c>
      <c r="Q35" t="s">
        <v>2526</v>
      </c>
    </row>
    <row r="36" spans="1:17" x14ac:dyDescent="0.35">
      <c r="A36" t="s">
        <v>1757</v>
      </c>
      <c r="B36" s="3">
        <v>45044</v>
      </c>
      <c r="C36" t="s">
        <v>2013</v>
      </c>
      <c r="D36" t="s">
        <v>2023</v>
      </c>
      <c r="E36" s="8">
        <v>1308</v>
      </c>
      <c r="F36">
        <v>1</v>
      </c>
      <c r="G36">
        <v>0</v>
      </c>
      <c r="H36" s="8">
        <v>1308</v>
      </c>
      <c r="I36">
        <v>693.15</v>
      </c>
      <c r="J36">
        <v>614.85</v>
      </c>
      <c r="K36" s="5">
        <f>IF(SalesData[[#This Row],[Total Revenue]]=0,0,SalesData[[#This Row],[Profit]]/SalesData[[#This Row],[Total Revenue]])</f>
        <v>0.47006880733944956</v>
      </c>
      <c r="L36" s="5" t="str">
        <f>TEXT(SalesData[[#This Row],[Date]],"mmm")</f>
        <v>Apr</v>
      </c>
      <c r="M36">
        <f>YEAR(SalesData[[#This Row],[Date]])</f>
        <v>2023</v>
      </c>
      <c r="N36">
        <f>WEEKNUM(SalesData[[#This Row],[Date]])</f>
        <v>17</v>
      </c>
      <c r="O36" t="s">
        <v>2301</v>
      </c>
      <c r="P36" t="s">
        <v>2522</v>
      </c>
      <c r="Q36" t="s">
        <v>2524</v>
      </c>
    </row>
    <row r="37" spans="1:17" x14ac:dyDescent="0.35">
      <c r="A37" t="s">
        <v>1435</v>
      </c>
      <c r="B37" s="3">
        <v>45247</v>
      </c>
      <c r="C37" t="s">
        <v>2017</v>
      </c>
      <c r="D37" t="s">
        <v>2026</v>
      </c>
      <c r="E37" s="8">
        <v>1422</v>
      </c>
      <c r="F37">
        <v>1</v>
      </c>
      <c r="G37">
        <v>5</v>
      </c>
      <c r="H37" s="8">
        <v>1350.9</v>
      </c>
      <c r="I37">
        <v>982.04</v>
      </c>
      <c r="J37">
        <v>368.86</v>
      </c>
      <c r="K37" s="5">
        <f>IF(SalesData[[#This Row],[Total Revenue]]=0,0,SalesData[[#This Row],[Profit]]/SalesData[[#This Row],[Total Revenue]])</f>
        <v>0.27304759789769784</v>
      </c>
      <c r="L37" s="5" t="str">
        <f>TEXT(SalesData[[#This Row],[Date]],"mmm")</f>
        <v>Nov</v>
      </c>
      <c r="M37">
        <f>YEAR(SalesData[[#This Row],[Date]])</f>
        <v>2023</v>
      </c>
      <c r="N37">
        <f>WEEKNUM(SalesData[[#This Row],[Date]])</f>
        <v>46</v>
      </c>
      <c r="O37" t="s">
        <v>2353</v>
      </c>
      <c r="P37" t="s">
        <v>2522</v>
      </c>
      <c r="Q37" t="s">
        <v>2527</v>
      </c>
    </row>
    <row r="38" spans="1:17" x14ac:dyDescent="0.35">
      <c r="A38" t="s">
        <v>1760</v>
      </c>
      <c r="B38" s="3">
        <v>45056</v>
      </c>
      <c r="C38" t="s">
        <v>2022</v>
      </c>
      <c r="D38" t="s">
        <v>2024</v>
      </c>
      <c r="E38" s="8">
        <v>1630</v>
      </c>
      <c r="F38">
        <v>1</v>
      </c>
      <c r="G38">
        <v>15</v>
      </c>
      <c r="H38" s="8">
        <v>1385.5</v>
      </c>
      <c r="I38">
        <v>953.82</v>
      </c>
      <c r="J38">
        <v>431.68</v>
      </c>
      <c r="K38" s="5">
        <f>IF(SalesData[[#This Row],[Total Revenue]]=0,0,SalesData[[#This Row],[Profit]]/SalesData[[#This Row],[Total Revenue]])</f>
        <v>0.31156983038614217</v>
      </c>
      <c r="L38" s="5" t="str">
        <f>TEXT(SalesData[[#This Row],[Date]],"mmm")</f>
        <v>May</v>
      </c>
      <c r="M38">
        <f>YEAR(SalesData[[#This Row],[Date]])</f>
        <v>2023</v>
      </c>
      <c r="N38">
        <f>WEEKNUM(SalesData[[#This Row],[Date]])</f>
        <v>19</v>
      </c>
      <c r="O38" t="s">
        <v>2518</v>
      </c>
      <c r="P38" t="s">
        <v>2523</v>
      </c>
      <c r="Q38" t="s">
        <v>2525</v>
      </c>
    </row>
    <row r="39" spans="1:17" x14ac:dyDescent="0.35">
      <c r="A39" t="s">
        <v>1100</v>
      </c>
      <c r="B39" s="3">
        <v>45273</v>
      </c>
      <c r="C39" t="s">
        <v>2013</v>
      </c>
      <c r="D39" t="s">
        <v>2023</v>
      </c>
      <c r="E39" s="8">
        <v>1387</v>
      </c>
      <c r="F39">
        <v>1</v>
      </c>
      <c r="G39">
        <v>0</v>
      </c>
      <c r="H39" s="8">
        <v>1387</v>
      </c>
      <c r="I39">
        <v>805.81</v>
      </c>
      <c r="J39">
        <v>581.19000000000005</v>
      </c>
      <c r="K39" s="5">
        <f>IF(SalesData[[#This Row],[Total Revenue]]=0,0,SalesData[[#This Row],[Profit]]/SalesData[[#This Row],[Total Revenue]])</f>
        <v>0.4190266762797405</v>
      </c>
      <c r="L39" s="5" t="str">
        <f>TEXT(SalesData[[#This Row],[Date]],"mmm")</f>
        <v>Dec</v>
      </c>
      <c r="M39">
        <f>YEAR(SalesData[[#This Row],[Date]])</f>
        <v>2023</v>
      </c>
      <c r="N39">
        <f>WEEKNUM(SalesData[[#This Row],[Date]])</f>
        <v>50</v>
      </c>
      <c r="O39" t="s">
        <v>2470</v>
      </c>
      <c r="P39" t="s">
        <v>2522</v>
      </c>
      <c r="Q39" t="s">
        <v>2527</v>
      </c>
    </row>
    <row r="40" spans="1:17" x14ac:dyDescent="0.35">
      <c r="A40" t="s">
        <v>205</v>
      </c>
      <c r="B40" s="3">
        <v>45137</v>
      </c>
      <c r="C40" t="s">
        <v>2014</v>
      </c>
      <c r="D40" t="s">
        <v>2024</v>
      </c>
      <c r="E40" s="8">
        <v>1462</v>
      </c>
      <c r="F40">
        <v>1</v>
      </c>
      <c r="G40">
        <v>5</v>
      </c>
      <c r="H40" s="8">
        <v>1388.9</v>
      </c>
      <c r="I40">
        <v>886.71</v>
      </c>
      <c r="J40">
        <v>502.19</v>
      </c>
      <c r="K40" s="5">
        <f>IF(SalesData[[#This Row],[Total Revenue]]=0,0,SalesData[[#This Row],[Profit]]/SalesData[[#This Row],[Total Revenue]])</f>
        <v>0.36157390740874068</v>
      </c>
      <c r="L40" s="5" t="str">
        <f>TEXT(SalesData[[#This Row],[Date]],"mmm")</f>
        <v>Jul</v>
      </c>
      <c r="M40">
        <f>YEAR(SalesData[[#This Row],[Date]])</f>
        <v>2023</v>
      </c>
      <c r="N40">
        <f>WEEKNUM(SalesData[[#This Row],[Date]])</f>
        <v>31</v>
      </c>
      <c r="O40" t="s">
        <v>2109</v>
      </c>
      <c r="P40" t="s">
        <v>2522</v>
      </c>
      <c r="Q40" t="s">
        <v>2525</v>
      </c>
    </row>
    <row r="41" spans="1:17" x14ac:dyDescent="0.35">
      <c r="A41" t="s">
        <v>450</v>
      </c>
      <c r="B41" s="3">
        <v>45100</v>
      </c>
      <c r="C41" t="s">
        <v>2022</v>
      </c>
      <c r="D41" t="s">
        <v>2024</v>
      </c>
      <c r="E41" s="8">
        <v>1590</v>
      </c>
      <c r="F41">
        <v>1</v>
      </c>
      <c r="G41">
        <v>10</v>
      </c>
      <c r="H41" s="8">
        <v>1431</v>
      </c>
      <c r="I41">
        <v>1154.3599999999999</v>
      </c>
      <c r="J41">
        <v>276.64</v>
      </c>
      <c r="K41" s="5">
        <f>IF(SalesData[[#This Row],[Total Revenue]]=0,0,SalesData[[#This Row],[Profit]]/SalesData[[#This Row],[Total Revenue]])</f>
        <v>0.19331935709294198</v>
      </c>
      <c r="L41" s="5" t="str">
        <f>TEXT(SalesData[[#This Row],[Date]],"mmm")</f>
        <v>Jun</v>
      </c>
      <c r="M41">
        <f>YEAR(SalesData[[#This Row],[Date]])</f>
        <v>2023</v>
      </c>
      <c r="N41">
        <f>WEEKNUM(SalesData[[#This Row],[Date]])</f>
        <v>25</v>
      </c>
      <c r="O41" t="s">
        <v>2185</v>
      </c>
      <c r="P41" t="s">
        <v>2522</v>
      </c>
      <c r="Q41" t="s">
        <v>2526</v>
      </c>
    </row>
    <row r="42" spans="1:17" x14ac:dyDescent="0.35">
      <c r="A42" t="s">
        <v>1874</v>
      </c>
      <c r="B42" s="3">
        <v>44928</v>
      </c>
      <c r="C42" t="s">
        <v>2015</v>
      </c>
      <c r="D42" t="s">
        <v>2025</v>
      </c>
      <c r="E42" s="8">
        <v>1721</v>
      </c>
      <c r="F42">
        <v>1</v>
      </c>
      <c r="G42">
        <v>15</v>
      </c>
      <c r="H42" s="8">
        <v>1462.85</v>
      </c>
      <c r="I42">
        <v>1163.31</v>
      </c>
      <c r="J42">
        <v>299.54000000000002</v>
      </c>
      <c r="K42" s="5">
        <f>IF(SalesData[[#This Row],[Total Revenue]]=0,0,SalesData[[#This Row],[Profit]]/SalesData[[#This Row],[Total Revenue]])</f>
        <v>0.20476467170249857</v>
      </c>
      <c r="L42" s="5" t="str">
        <f>TEXT(SalesData[[#This Row],[Date]],"mmm")</f>
        <v>Jan</v>
      </c>
      <c r="M42">
        <f>YEAR(SalesData[[#This Row],[Date]])</f>
        <v>2023</v>
      </c>
      <c r="N42">
        <f>WEEKNUM(SalesData[[#This Row],[Date]])</f>
        <v>1</v>
      </c>
      <c r="O42" t="s">
        <v>2507</v>
      </c>
      <c r="P42" t="s">
        <v>2522</v>
      </c>
      <c r="Q42" t="s">
        <v>2526</v>
      </c>
    </row>
    <row r="43" spans="1:17" x14ac:dyDescent="0.35">
      <c r="A43" t="s">
        <v>1480</v>
      </c>
      <c r="B43" s="3">
        <v>45240</v>
      </c>
      <c r="C43" t="s">
        <v>2016</v>
      </c>
      <c r="D43" t="s">
        <v>2025</v>
      </c>
      <c r="E43" s="8">
        <v>1629</v>
      </c>
      <c r="F43">
        <v>1</v>
      </c>
      <c r="G43">
        <v>10</v>
      </c>
      <c r="H43" s="8">
        <v>1466.1</v>
      </c>
      <c r="I43">
        <v>862.96</v>
      </c>
      <c r="J43">
        <v>603.14</v>
      </c>
      <c r="K43" s="5">
        <f>IF(SalesData[[#This Row],[Total Revenue]]=0,0,SalesData[[#This Row],[Profit]]/SalesData[[#This Row],[Total Revenue]])</f>
        <v>0.41139076461360075</v>
      </c>
      <c r="L43" s="5" t="str">
        <f>TEXT(SalesData[[#This Row],[Date]],"mmm")</f>
        <v>Nov</v>
      </c>
      <c r="M43">
        <f>YEAR(SalesData[[#This Row],[Date]])</f>
        <v>2023</v>
      </c>
      <c r="N43">
        <f>WEEKNUM(SalesData[[#This Row],[Date]])</f>
        <v>45</v>
      </c>
      <c r="O43" t="s">
        <v>2367</v>
      </c>
      <c r="P43" t="s">
        <v>2523</v>
      </c>
      <c r="Q43" t="s">
        <v>2525</v>
      </c>
    </row>
    <row r="44" spans="1:17" x14ac:dyDescent="0.35">
      <c r="A44" t="s">
        <v>1472</v>
      </c>
      <c r="B44" s="3">
        <v>45193</v>
      </c>
      <c r="C44" t="s">
        <v>2013</v>
      </c>
      <c r="D44" t="s">
        <v>2023</v>
      </c>
      <c r="E44" s="8">
        <v>829</v>
      </c>
      <c r="F44">
        <v>2</v>
      </c>
      <c r="G44">
        <v>10</v>
      </c>
      <c r="H44" s="8">
        <v>1492.2</v>
      </c>
      <c r="I44">
        <v>416.7</v>
      </c>
      <c r="J44">
        <v>658.81</v>
      </c>
      <c r="K44" s="5">
        <f>IF(SalesData[[#This Row],[Total Revenue]]=0,0,SalesData[[#This Row],[Profit]]/SalesData[[#This Row],[Total Revenue]])</f>
        <v>0.44150247956038058</v>
      </c>
      <c r="L44" s="5" t="str">
        <f>TEXT(SalesData[[#This Row],[Date]],"mmm")</f>
        <v>Sep</v>
      </c>
      <c r="M44">
        <f>YEAR(SalesData[[#This Row],[Date]])</f>
        <v>2023</v>
      </c>
      <c r="N44">
        <f>WEEKNUM(SalesData[[#This Row],[Date]])</f>
        <v>39</v>
      </c>
      <c r="O44" t="s">
        <v>2399</v>
      </c>
      <c r="P44" t="s">
        <v>2523</v>
      </c>
      <c r="Q44" t="s">
        <v>2527</v>
      </c>
    </row>
    <row r="45" spans="1:17" x14ac:dyDescent="0.35">
      <c r="A45" t="s">
        <v>1153</v>
      </c>
      <c r="B45" s="3">
        <v>45283</v>
      </c>
      <c r="C45" t="s">
        <v>2019</v>
      </c>
      <c r="D45" t="s">
        <v>2027</v>
      </c>
      <c r="E45" s="8">
        <v>1493</v>
      </c>
      <c r="F45">
        <v>1</v>
      </c>
      <c r="G45">
        <v>0</v>
      </c>
      <c r="H45" s="8">
        <v>1493</v>
      </c>
      <c r="I45">
        <v>934.06</v>
      </c>
      <c r="J45">
        <v>558.94000000000005</v>
      </c>
      <c r="K45" s="5">
        <f>IF(SalesData[[#This Row],[Total Revenue]]=0,0,SalesData[[#This Row],[Profit]]/SalesData[[#This Row],[Total Revenue]])</f>
        <v>0.37437374413931684</v>
      </c>
      <c r="L45" s="5" t="str">
        <f>TEXT(SalesData[[#This Row],[Date]],"mmm")</f>
        <v>Dec</v>
      </c>
      <c r="M45">
        <f>YEAR(SalesData[[#This Row],[Date]])</f>
        <v>2023</v>
      </c>
      <c r="N45">
        <f>WEEKNUM(SalesData[[#This Row],[Date]])</f>
        <v>51</v>
      </c>
      <c r="O45" t="s">
        <v>2251</v>
      </c>
      <c r="P45" t="s">
        <v>2522</v>
      </c>
      <c r="Q45" t="s">
        <v>2525</v>
      </c>
    </row>
    <row r="46" spans="1:17" x14ac:dyDescent="0.35">
      <c r="A46" t="s">
        <v>975</v>
      </c>
      <c r="B46" s="3">
        <v>44942</v>
      </c>
      <c r="C46" t="s">
        <v>2014</v>
      </c>
      <c r="D46" t="s">
        <v>2024</v>
      </c>
      <c r="E46" s="8">
        <v>1592</v>
      </c>
      <c r="F46">
        <v>1</v>
      </c>
      <c r="G46">
        <v>5</v>
      </c>
      <c r="H46" s="8">
        <v>1512.4</v>
      </c>
      <c r="I46">
        <v>1263.79</v>
      </c>
      <c r="J46">
        <v>248.61</v>
      </c>
      <c r="K46" s="5">
        <f>IF(SalesData[[#This Row],[Total Revenue]]=0,0,SalesData[[#This Row],[Profit]]/SalesData[[#This Row],[Total Revenue]])</f>
        <v>0.16438111610685005</v>
      </c>
      <c r="L46" s="5" t="str">
        <f>TEXT(SalesData[[#This Row],[Date]],"mmm")</f>
        <v>Jan</v>
      </c>
      <c r="M46">
        <f>YEAR(SalesData[[#This Row],[Date]])</f>
        <v>2023</v>
      </c>
      <c r="N46">
        <f>WEEKNUM(SalesData[[#This Row],[Date]])</f>
        <v>3</v>
      </c>
      <c r="O46" t="s">
        <v>2451</v>
      </c>
      <c r="P46" t="s">
        <v>2523</v>
      </c>
      <c r="Q46" t="s">
        <v>2525</v>
      </c>
    </row>
    <row r="47" spans="1:17" x14ac:dyDescent="0.35">
      <c r="A47" t="s">
        <v>1254</v>
      </c>
      <c r="B47" s="3">
        <v>44981</v>
      </c>
      <c r="C47" t="s">
        <v>2013</v>
      </c>
      <c r="D47" t="s">
        <v>2023</v>
      </c>
      <c r="E47" s="8">
        <v>1681</v>
      </c>
      <c r="F47">
        <v>1</v>
      </c>
      <c r="G47">
        <v>10</v>
      </c>
      <c r="H47" s="8">
        <v>1512.9</v>
      </c>
      <c r="I47">
        <v>1250.48</v>
      </c>
      <c r="J47">
        <v>262.42</v>
      </c>
      <c r="K47" s="5">
        <f>IF(SalesData[[#This Row],[Total Revenue]]=0,0,SalesData[[#This Row],[Profit]]/SalesData[[#This Row],[Total Revenue]])</f>
        <v>0.17345495406173575</v>
      </c>
      <c r="L47" s="5" t="str">
        <f>TEXT(SalesData[[#This Row],[Date]],"mmm")</f>
        <v>Feb</v>
      </c>
      <c r="M47">
        <f>YEAR(SalesData[[#This Row],[Date]])</f>
        <v>2023</v>
      </c>
      <c r="N47">
        <f>WEEKNUM(SalesData[[#This Row],[Date]])</f>
        <v>8</v>
      </c>
      <c r="O47" t="s">
        <v>2385</v>
      </c>
      <c r="P47" t="s">
        <v>2523</v>
      </c>
      <c r="Q47" t="s">
        <v>2525</v>
      </c>
    </row>
    <row r="48" spans="1:17" x14ac:dyDescent="0.35">
      <c r="A48" t="s">
        <v>743</v>
      </c>
      <c r="B48" s="3">
        <v>45168</v>
      </c>
      <c r="C48" t="s">
        <v>2022</v>
      </c>
      <c r="D48" t="s">
        <v>2024</v>
      </c>
      <c r="E48" s="8">
        <v>1691</v>
      </c>
      <c r="F48">
        <v>1</v>
      </c>
      <c r="G48">
        <v>10</v>
      </c>
      <c r="H48" s="8">
        <v>1521.9</v>
      </c>
      <c r="I48">
        <v>1153.8499999999999</v>
      </c>
      <c r="J48">
        <v>368.05</v>
      </c>
      <c r="K48" s="5">
        <f>IF(SalesData[[#This Row],[Total Revenue]]=0,0,SalesData[[#This Row],[Profit]]/SalesData[[#This Row],[Total Revenue]])</f>
        <v>0.24183586306590446</v>
      </c>
      <c r="L48" s="5" t="str">
        <f>TEXT(SalesData[[#This Row],[Date]],"mmm")</f>
        <v>Aug</v>
      </c>
      <c r="M48">
        <f>YEAR(SalesData[[#This Row],[Date]])</f>
        <v>2023</v>
      </c>
      <c r="N48">
        <f>WEEKNUM(SalesData[[#This Row],[Date]])</f>
        <v>35</v>
      </c>
      <c r="O48" t="s">
        <v>2039</v>
      </c>
      <c r="P48" t="s">
        <v>2523</v>
      </c>
      <c r="Q48" t="s">
        <v>2525</v>
      </c>
    </row>
    <row r="49" spans="1:17" x14ac:dyDescent="0.35">
      <c r="A49" t="s">
        <v>537</v>
      </c>
      <c r="B49" s="3">
        <v>45180</v>
      </c>
      <c r="C49" t="s">
        <v>2014</v>
      </c>
      <c r="D49" t="s">
        <v>2024</v>
      </c>
      <c r="E49" s="8">
        <v>855</v>
      </c>
      <c r="F49">
        <v>2</v>
      </c>
      <c r="G49">
        <v>10</v>
      </c>
      <c r="H49" s="8">
        <v>1539</v>
      </c>
      <c r="I49">
        <v>536.78</v>
      </c>
      <c r="J49">
        <v>465.44</v>
      </c>
      <c r="K49" s="5">
        <f>IF(SalesData[[#This Row],[Total Revenue]]=0,0,SalesData[[#This Row],[Profit]]/SalesData[[#This Row],[Total Revenue]])</f>
        <v>0.30243014944769331</v>
      </c>
      <c r="L49" s="5" t="str">
        <f>TEXT(SalesData[[#This Row],[Date]],"mmm")</f>
        <v>Sep</v>
      </c>
      <c r="M49">
        <f>YEAR(SalesData[[#This Row],[Date]])</f>
        <v>2023</v>
      </c>
      <c r="N49">
        <f>WEEKNUM(SalesData[[#This Row],[Date]])</f>
        <v>37</v>
      </c>
      <c r="O49" t="s">
        <v>2298</v>
      </c>
      <c r="P49" t="s">
        <v>2522</v>
      </c>
      <c r="Q49" t="s">
        <v>2525</v>
      </c>
    </row>
    <row r="50" spans="1:17" x14ac:dyDescent="0.35">
      <c r="A50" t="s">
        <v>746</v>
      </c>
      <c r="B50" s="3">
        <v>45180</v>
      </c>
      <c r="C50" t="s">
        <v>2022</v>
      </c>
      <c r="D50" t="s">
        <v>2024</v>
      </c>
      <c r="E50" s="8">
        <v>1542</v>
      </c>
      <c r="F50">
        <v>1</v>
      </c>
      <c r="G50">
        <v>0</v>
      </c>
      <c r="H50" s="8">
        <v>1542</v>
      </c>
      <c r="I50">
        <v>794.44</v>
      </c>
      <c r="J50">
        <v>747.56</v>
      </c>
      <c r="K50" s="5">
        <f>IF(SalesData[[#This Row],[Total Revenue]]=0,0,SalesData[[#This Row],[Profit]]/SalesData[[#This Row],[Total Revenue]])</f>
        <v>0.48479896238651099</v>
      </c>
      <c r="L50" s="5" t="str">
        <f>TEXT(SalesData[[#This Row],[Date]],"mmm")</f>
        <v>Sep</v>
      </c>
      <c r="M50">
        <f>YEAR(SalesData[[#This Row],[Date]])</f>
        <v>2023</v>
      </c>
      <c r="N50">
        <f>WEEKNUM(SalesData[[#This Row],[Date]])</f>
        <v>37</v>
      </c>
      <c r="O50" t="s">
        <v>2190</v>
      </c>
      <c r="P50" t="s">
        <v>2523</v>
      </c>
      <c r="Q50" t="s">
        <v>2524</v>
      </c>
    </row>
    <row r="51" spans="1:17" x14ac:dyDescent="0.35">
      <c r="A51" t="s">
        <v>352</v>
      </c>
      <c r="B51" s="3">
        <v>45177</v>
      </c>
      <c r="C51" t="s">
        <v>2022</v>
      </c>
      <c r="D51" t="s">
        <v>2024</v>
      </c>
      <c r="E51" s="8">
        <v>1560</v>
      </c>
      <c r="F51">
        <v>1</v>
      </c>
      <c r="G51">
        <v>0</v>
      </c>
      <c r="H51" s="8">
        <v>1560</v>
      </c>
      <c r="I51">
        <v>1125.45</v>
      </c>
      <c r="J51">
        <v>434.55</v>
      </c>
      <c r="K51" s="5">
        <f>IF(SalesData[[#This Row],[Total Revenue]]=0,0,SalesData[[#This Row],[Profit]]/SalesData[[#This Row],[Total Revenue]])</f>
        <v>0.27855769230769234</v>
      </c>
      <c r="L51" s="5" t="str">
        <f>TEXT(SalesData[[#This Row],[Date]],"mmm")</f>
        <v>Sep</v>
      </c>
      <c r="M51">
        <f>YEAR(SalesData[[#This Row],[Date]])</f>
        <v>2023</v>
      </c>
      <c r="N51">
        <f>WEEKNUM(SalesData[[#This Row],[Date]])</f>
        <v>36</v>
      </c>
      <c r="O51" t="s">
        <v>2231</v>
      </c>
      <c r="P51" t="s">
        <v>2522</v>
      </c>
      <c r="Q51" t="s">
        <v>2526</v>
      </c>
    </row>
    <row r="52" spans="1:17" x14ac:dyDescent="0.35">
      <c r="A52" t="s">
        <v>1719</v>
      </c>
      <c r="B52" s="3">
        <v>45066</v>
      </c>
      <c r="C52" t="s">
        <v>2020</v>
      </c>
      <c r="D52" t="s">
        <v>2028</v>
      </c>
      <c r="E52" s="8">
        <v>1561</v>
      </c>
      <c r="F52">
        <v>1</v>
      </c>
      <c r="G52">
        <v>0</v>
      </c>
      <c r="H52" s="8">
        <v>1561</v>
      </c>
      <c r="I52">
        <v>892.57</v>
      </c>
      <c r="J52">
        <v>668.43</v>
      </c>
      <c r="K52" s="5">
        <f>IF(SalesData[[#This Row],[Total Revenue]]=0,0,SalesData[[#This Row],[Profit]]/SalesData[[#This Row],[Total Revenue]])</f>
        <v>0.42820627802690581</v>
      </c>
      <c r="L52" s="5" t="str">
        <f>TEXT(SalesData[[#This Row],[Date]],"mmm")</f>
        <v>May</v>
      </c>
      <c r="M52">
        <f>YEAR(SalesData[[#This Row],[Date]])</f>
        <v>2023</v>
      </c>
      <c r="N52">
        <f>WEEKNUM(SalesData[[#This Row],[Date]])</f>
        <v>20</v>
      </c>
      <c r="O52" t="s">
        <v>2442</v>
      </c>
      <c r="P52" t="s">
        <v>2523</v>
      </c>
      <c r="Q52" t="s">
        <v>2525</v>
      </c>
    </row>
    <row r="53" spans="1:17" x14ac:dyDescent="0.35">
      <c r="A53" t="s">
        <v>281</v>
      </c>
      <c r="B53" s="3">
        <v>45050</v>
      </c>
      <c r="C53" t="s">
        <v>2018</v>
      </c>
      <c r="D53" t="s">
        <v>2026</v>
      </c>
      <c r="E53" s="8">
        <v>1746</v>
      </c>
      <c r="F53">
        <v>1</v>
      </c>
      <c r="G53">
        <v>10</v>
      </c>
      <c r="H53" s="8">
        <v>1571.4</v>
      </c>
      <c r="I53">
        <v>1255.4000000000001</v>
      </c>
      <c r="J53">
        <v>316</v>
      </c>
      <c r="K53" s="5">
        <f>IF(SalesData[[#This Row],[Total Revenue]]=0,0,SalesData[[#This Row],[Profit]]/SalesData[[#This Row],[Total Revenue]])</f>
        <v>0.20109456535573372</v>
      </c>
      <c r="L53" s="5" t="str">
        <f>TEXT(SalesData[[#This Row],[Date]],"mmm")</f>
        <v>May</v>
      </c>
      <c r="M53">
        <f>YEAR(SalesData[[#This Row],[Date]])</f>
        <v>2023</v>
      </c>
      <c r="N53">
        <f>WEEKNUM(SalesData[[#This Row],[Date]])</f>
        <v>18</v>
      </c>
      <c r="O53" t="s">
        <v>2193</v>
      </c>
      <c r="P53" t="s">
        <v>2523</v>
      </c>
      <c r="Q53" t="s">
        <v>2526</v>
      </c>
    </row>
    <row r="54" spans="1:17" x14ac:dyDescent="0.35">
      <c r="A54" t="s">
        <v>478</v>
      </c>
      <c r="B54" s="3">
        <v>45101</v>
      </c>
      <c r="C54" t="s">
        <v>2015</v>
      </c>
      <c r="D54" t="s">
        <v>2025</v>
      </c>
      <c r="E54" s="8">
        <v>1747</v>
      </c>
      <c r="F54">
        <v>1</v>
      </c>
      <c r="G54">
        <v>10</v>
      </c>
      <c r="H54" s="8">
        <v>1572.3</v>
      </c>
      <c r="I54">
        <v>1208.5</v>
      </c>
      <c r="J54">
        <v>363.8</v>
      </c>
      <c r="K54" s="5">
        <f>IF(SalesData[[#This Row],[Total Revenue]]=0,0,SalesData[[#This Row],[Profit]]/SalesData[[#This Row],[Total Revenue]])</f>
        <v>0.23138077974941171</v>
      </c>
      <c r="L54" s="5" t="str">
        <f>TEXT(SalesData[[#This Row],[Date]],"mmm")</f>
        <v>Jun</v>
      </c>
      <c r="M54">
        <f>YEAR(SalesData[[#This Row],[Date]])</f>
        <v>2023</v>
      </c>
      <c r="N54">
        <f>WEEKNUM(SalesData[[#This Row],[Date]])</f>
        <v>25</v>
      </c>
      <c r="O54" t="s">
        <v>2326</v>
      </c>
      <c r="P54" t="s">
        <v>2522</v>
      </c>
      <c r="Q54" t="s">
        <v>2526</v>
      </c>
    </row>
    <row r="55" spans="1:17" x14ac:dyDescent="0.35">
      <c r="A55" t="s">
        <v>1062</v>
      </c>
      <c r="B55" s="3">
        <v>44999</v>
      </c>
      <c r="C55" t="s">
        <v>2020</v>
      </c>
      <c r="D55" t="s">
        <v>2028</v>
      </c>
      <c r="E55" s="8">
        <v>1574</v>
      </c>
      <c r="F55">
        <v>1</v>
      </c>
      <c r="G55">
        <v>0</v>
      </c>
      <c r="H55" s="8">
        <v>1574</v>
      </c>
      <c r="I55">
        <v>1215.69</v>
      </c>
      <c r="J55">
        <v>358.31</v>
      </c>
      <c r="K55" s="5">
        <f>IF(SalesData[[#This Row],[Total Revenue]]=0,0,SalesData[[#This Row],[Profit]]/SalesData[[#This Row],[Total Revenue]])</f>
        <v>0.22764294790343076</v>
      </c>
      <c r="L55" s="5" t="str">
        <f>TEXT(SalesData[[#This Row],[Date]],"mmm")</f>
        <v>Mar</v>
      </c>
      <c r="M55">
        <f>YEAR(SalesData[[#This Row],[Date]])</f>
        <v>2023</v>
      </c>
      <c r="N55">
        <f>WEEKNUM(SalesData[[#This Row],[Date]])</f>
        <v>11</v>
      </c>
      <c r="O55" t="s">
        <v>2350</v>
      </c>
      <c r="P55" t="s">
        <v>2523</v>
      </c>
      <c r="Q55" t="s">
        <v>2525</v>
      </c>
    </row>
    <row r="56" spans="1:17" x14ac:dyDescent="0.35">
      <c r="A56" t="s">
        <v>991</v>
      </c>
      <c r="B56" s="3">
        <v>45107</v>
      </c>
      <c r="C56" t="s">
        <v>2018</v>
      </c>
      <c r="D56" t="s">
        <v>2026</v>
      </c>
      <c r="E56" s="8">
        <v>1670</v>
      </c>
      <c r="F56">
        <v>1</v>
      </c>
      <c r="G56">
        <v>5</v>
      </c>
      <c r="H56" s="8">
        <v>1586.5</v>
      </c>
      <c r="I56">
        <v>1211.8499999999999</v>
      </c>
      <c r="J56">
        <v>374.65</v>
      </c>
      <c r="K56" s="5">
        <f>IF(SalesData[[#This Row],[Total Revenue]]=0,0,SalesData[[#This Row],[Profit]]/SalesData[[#This Row],[Total Revenue]])</f>
        <v>0.23614875512133626</v>
      </c>
      <c r="L56" s="5" t="str">
        <f>TEXT(SalesData[[#This Row],[Date]],"mmm")</f>
        <v>Jun</v>
      </c>
      <c r="M56">
        <f>YEAR(SalesData[[#This Row],[Date]])</f>
        <v>2023</v>
      </c>
      <c r="N56">
        <f>WEEKNUM(SalesData[[#This Row],[Date]])</f>
        <v>26</v>
      </c>
      <c r="O56" t="s">
        <v>2453</v>
      </c>
      <c r="P56" t="s">
        <v>2522</v>
      </c>
      <c r="Q56" t="s">
        <v>2526</v>
      </c>
    </row>
    <row r="57" spans="1:17" x14ac:dyDescent="0.35">
      <c r="A57" t="s">
        <v>249</v>
      </c>
      <c r="B57" s="3">
        <v>44948</v>
      </c>
      <c r="C57" t="s">
        <v>2017</v>
      </c>
      <c r="D57" t="s">
        <v>2026</v>
      </c>
      <c r="E57" s="8">
        <v>1879</v>
      </c>
      <c r="F57">
        <v>1</v>
      </c>
      <c r="G57">
        <v>15</v>
      </c>
      <c r="H57" s="8">
        <v>1597.15</v>
      </c>
      <c r="I57">
        <v>1487.05</v>
      </c>
      <c r="J57">
        <v>110.1</v>
      </c>
      <c r="K57" s="5">
        <f>IF(SalesData[[#This Row],[Total Revenue]]=0,0,SalesData[[#This Row],[Profit]]/SalesData[[#This Row],[Total Revenue]])</f>
        <v>6.8935290987070713E-2</v>
      </c>
      <c r="L57" s="5" t="str">
        <f>TEXT(SalesData[[#This Row],[Date]],"mmm")</f>
        <v>Jan</v>
      </c>
      <c r="M57">
        <f>YEAR(SalesData[[#This Row],[Date]])</f>
        <v>2023</v>
      </c>
      <c r="N57">
        <f>WEEKNUM(SalesData[[#This Row],[Date]])</f>
        <v>4</v>
      </c>
      <c r="O57" t="s">
        <v>2075</v>
      </c>
      <c r="P57" t="s">
        <v>2523</v>
      </c>
      <c r="Q57" t="s">
        <v>2524</v>
      </c>
    </row>
    <row r="58" spans="1:17" x14ac:dyDescent="0.35">
      <c r="A58" t="s">
        <v>1629</v>
      </c>
      <c r="B58" s="3">
        <v>45040</v>
      </c>
      <c r="C58" t="s">
        <v>2016</v>
      </c>
      <c r="D58" t="s">
        <v>2025</v>
      </c>
      <c r="E58" s="8">
        <v>1614</v>
      </c>
      <c r="F58">
        <v>1</v>
      </c>
      <c r="G58">
        <v>0</v>
      </c>
      <c r="H58" s="8">
        <v>1614</v>
      </c>
      <c r="I58">
        <v>829.42</v>
      </c>
      <c r="J58">
        <v>784.58</v>
      </c>
      <c r="K58" s="5">
        <f>IF(SalesData[[#This Row],[Total Revenue]]=0,0,SalesData[[#This Row],[Profit]]/SalesData[[#This Row],[Total Revenue]])</f>
        <v>0.48610904584882281</v>
      </c>
      <c r="L58" s="5" t="str">
        <f>TEXT(SalesData[[#This Row],[Date]],"mmm")</f>
        <v>Apr</v>
      </c>
      <c r="M58">
        <f>YEAR(SalesData[[#This Row],[Date]])</f>
        <v>2023</v>
      </c>
      <c r="N58">
        <f>WEEKNUM(SalesData[[#This Row],[Date]])</f>
        <v>17</v>
      </c>
      <c r="O58" t="s">
        <v>2458</v>
      </c>
      <c r="P58" t="s">
        <v>2523</v>
      </c>
      <c r="Q58" t="s">
        <v>2525</v>
      </c>
    </row>
    <row r="59" spans="1:17" x14ac:dyDescent="0.35">
      <c r="A59" t="s">
        <v>216</v>
      </c>
      <c r="B59" s="3">
        <v>45230</v>
      </c>
      <c r="C59" t="s">
        <v>2022</v>
      </c>
      <c r="D59" t="s">
        <v>2024</v>
      </c>
      <c r="E59" s="8">
        <v>1619</v>
      </c>
      <c r="F59">
        <v>1</v>
      </c>
      <c r="G59">
        <v>0</v>
      </c>
      <c r="H59" s="8">
        <v>1619</v>
      </c>
      <c r="I59">
        <v>1130.73</v>
      </c>
      <c r="J59">
        <v>488.27</v>
      </c>
      <c r="K59" s="5">
        <f>IF(SalesData[[#This Row],[Total Revenue]]=0,0,SalesData[[#This Row],[Profit]]/SalesData[[#This Row],[Total Revenue]])</f>
        <v>0.30158739962940084</v>
      </c>
      <c r="L59" s="5" t="str">
        <f>TEXT(SalesData[[#This Row],[Date]],"mmm")</f>
        <v>Oct</v>
      </c>
      <c r="M59">
        <f>YEAR(SalesData[[#This Row],[Date]])</f>
        <v>2023</v>
      </c>
      <c r="N59">
        <f>WEEKNUM(SalesData[[#This Row],[Date]])</f>
        <v>44</v>
      </c>
      <c r="O59" t="s">
        <v>2084</v>
      </c>
      <c r="P59" t="s">
        <v>2522</v>
      </c>
      <c r="Q59" t="s">
        <v>2527</v>
      </c>
    </row>
    <row r="60" spans="1:17" x14ac:dyDescent="0.35">
      <c r="A60" t="s">
        <v>1301</v>
      </c>
      <c r="B60" s="3">
        <v>45069</v>
      </c>
      <c r="C60" t="s">
        <v>2021</v>
      </c>
      <c r="D60" t="s">
        <v>2028</v>
      </c>
      <c r="E60" s="8">
        <v>813</v>
      </c>
      <c r="F60">
        <v>2</v>
      </c>
      <c r="G60">
        <v>0</v>
      </c>
      <c r="H60" s="8">
        <v>1626</v>
      </c>
      <c r="I60">
        <v>438.36</v>
      </c>
      <c r="J60">
        <v>749.28</v>
      </c>
      <c r="K60" s="5">
        <f>IF(SalesData[[#This Row],[Total Revenue]]=0,0,SalesData[[#This Row],[Profit]]/SalesData[[#This Row],[Total Revenue]])</f>
        <v>0.46081180811808115</v>
      </c>
      <c r="L60" s="5" t="str">
        <f>TEXT(SalesData[[#This Row],[Date]],"mmm")</f>
        <v>May</v>
      </c>
      <c r="M60">
        <f>YEAR(SalesData[[#This Row],[Date]])</f>
        <v>2023</v>
      </c>
      <c r="N60">
        <f>WEEKNUM(SalesData[[#This Row],[Date]])</f>
        <v>21</v>
      </c>
      <c r="O60" t="s">
        <v>2496</v>
      </c>
      <c r="P60" t="s">
        <v>2522</v>
      </c>
      <c r="Q60" t="s">
        <v>2527</v>
      </c>
    </row>
    <row r="61" spans="1:17" x14ac:dyDescent="0.35">
      <c r="A61" t="s">
        <v>822</v>
      </c>
      <c r="B61" s="3">
        <v>45230</v>
      </c>
      <c r="C61" t="s">
        <v>2020</v>
      </c>
      <c r="D61" t="s">
        <v>2028</v>
      </c>
      <c r="E61" s="8">
        <v>1812</v>
      </c>
      <c r="F61">
        <v>1</v>
      </c>
      <c r="G61">
        <v>10</v>
      </c>
      <c r="H61" s="8">
        <v>1630.8</v>
      </c>
      <c r="I61">
        <v>1069.17</v>
      </c>
      <c r="J61">
        <v>561.63</v>
      </c>
      <c r="K61" s="5">
        <f>IF(SalesData[[#This Row],[Total Revenue]]=0,0,SalesData[[#This Row],[Profit]]/SalesData[[#This Row],[Total Revenue]])</f>
        <v>0.34438925680647536</v>
      </c>
      <c r="L61" s="5" t="str">
        <f>TEXT(SalesData[[#This Row],[Date]],"mmm")</f>
        <v>Oct</v>
      </c>
      <c r="M61">
        <f>YEAR(SalesData[[#This Row],[Date]])</f>
        <v>2023</v>
      </c>
      <c r="N61">
        <f>WEEKNUM(SalesData[[#This Row],[Date]])</f>
        <v>44</v>
      </c>
      <c r="O61" t="s">
        <v>2372</v>
      </c>
      <c r="P61" t="s">
        <v>2523</v>
      </c>
      <c r="Q61" t="s">
        <v>2524</v>
      </c>
    </row>
    <row r="62" spans="1:17" x14ac:dyDescent="0.35">
      <c r="A62" t="s">
        <v>1415</v>
      </c>
      <c r="B62" s="3">
        <v>45032</v>
      </c>
      <c r="C62" t="s">
        <v>2019</v>
      </c>
      <c r="D62" t="s">
        <v>2027</v>
      </c>
      <c r="E62" s="8">
        <v>1946</v>
      </c>
      <c r="F62">
        <v>1</v>
      </c>
      <c r="G62">
        <v>15</v>
      </c>
      <c r="H62" s="8">
        <v>1654.1</v>
      </c>
      <c r="I62">
        <v>1419.39</v>
      </c>
      <c r="J62">
        <v>234.71</v>
      </c>
      <c r="K62" s="5">
        <f>IF(SalesData[[#This Row],[Total Revenue]]=0,0,SalesData[[#This Row],[Profit]]/SalesData[[#This Row],[Total Revenue]])</f>
        <v>0.14189589504866695</v>
      </c>
      <c r="L62" s="5" t="str">
        <f>TEXT(SalesData[[#This Row],[Date]],"mmm")</f>
        <v>Apr</v>
      </c>
      <c r="M62">
        <f>YEAR(SalesData[[#This Row],[Date]])</f>
        <v>2023</v>
      </c>
      <c r="N62">
        <f>WEEKNUM(SalesData[[#This Row],[Date]])</f>
        <v>16</v>
      </c>
      <c r="O62" t="s">
        <v>2259</v>
      </c>
      <c r="P62" t="s">
        <v>2523</v>
      </c>
      <c r="Q62" t="s">
        <v>2527</v>
      </c>
    </row>
    <row r="63" spans="1:17" x14ac:dyDescent="0.35">
      <c r="A63" t="s">
        <v>756</v>
      </c>
      <c r="B63" s="3">
        <v>45150</v>
      </c>
      <c r="C63" t="s">
        <v>2020</v>
      </c>
      <c r="D63" t="s">
        <v>2028</v>
      </c>
      <c r="E63" s="8">
        <v>1753</v>
      </c>
      <c r="F63">
        <v>1</v>
      </c>
      <c r="G63">
        <v>5</v>
      </c>
      <c r="H63" s="8">
        <v>1665.35</v>
      </c>
      <c r="I63">
        <v>1240.43</v>
      </c>
      <c r="J63">
        <v>424.92</v>
      </c>
      <c r="K63" s="5">
        <f>IF(SalesData[[#This Row],[Total Revenue]]=0,0,SalesData[[#This Row],[Profit]]/SalesData[[#This Row],[Total Revenue]])</f>
        <v>0.25515357132134386</v>
      </c>
      <c r="L63" s="5" t="str">
        <f>TEXT(SalesData[[#This Row],[Date]],"mmm")</f>
        <v>Aug</v>
      </c>
      <c r="M63">
        <f>YEAR(SalesData[[#This Row],[Date]])</f>
        <v>2023</v>
      </c>
      <c r="N63">
        <f>WEEKNUM(SalesData[[#This Row],[Date]])</f>
        <v>32</v>
      </c>
      <c r="O63" t="s">
        <v>2414</v>
      </c>
      <c r="P63" t="s">
        <v>2522</v>
      </c>
      <c r="Q63" t="s">
        <v>2526</v>
      </c>
    </row>
    <row r="64" spans="1:17" x14ac:dyDescent="0.35">
      <c r="A64" t="s">
        <v>436</v>
      </c>
      <c r="B64" s="3">
        <v>45134</v>
      </c>
      <c r="C64" t="s">
        <v>2013</v>
      </c>
      <c r="D64" t="s">
        <v>2023</v>
      </c>
      <c r="E64" s="8">
        <v>987</v>
      </c>
      <c r="F64">
        <v>2</v>
      </c>
      <c r="G64">
        <v>15</v>
      </c>
      <c r="H64" s="8">
        <v>1677.9</v>
      </c>
      <c r="I64">
        <v>766.6</v>
      </c>
      <c r="J64">
        <v>144.69</v>
      </c>
      <c r="K64" s="5">
        <f>IF(SalesData[[#This Row],[Total Revenue]]=0,0,SalesData[[#This Row],[Profit]]/SalesData[[#This Row],[Total Revenue]])</f>
        <v>8.6232790988735916E-2</v>
      </c>
      <c r="L64" s="5" t="str">
        <f>TEXT(SalesData[[#This Row],[Date]],"mmm")</f>
        <v>Jul</v>
      </c>
      <c r="M64">
        <f>YEAR(SalesData[[#This Row],[Date]])</f>
        <v>2023</v>
      </c>
      <c r="N64">
        <f>WEEKNUM(SalesData[[#This Row],[Date]])</f>
        <v>30</v>
      </c>
      <c r="O64" t="s">
        <v>2236</v>
      </c>
      <c r="P64" t="s">
        <v>2523</v>
      </c>
      <c r="Q64" t="s">
        <v>2527</v>
      </c>
    </row>
    <row r="65" spans="1:17" x14ac:dyDescent="0.35">
      <c r="A65" t="s">
        <v>1575</v>
      </c>
      <c r="B65" s="3">
        <v>45174</v>
      </c>
      <c r="C65" t="s">
        <v>2018</v>
      </c>
      <c r="D65" t="s">
        <v>2026</v>
      </c>
      <c r="E65" s="8">
        <v>1684</v>
      </c>
      <c r="F65">
        <v>1</v>
      </c>
      <c r="G65">
        <v>0</v>
      </c>
      <c r="H65" s="8">
        <v>1684</v>
      </c>
      <c r="I65">
        <v>1053.8699999999999</v>
      </c>
      <c r="J65">
        <v>630.13</v>
      </c>
      <c r="K65" s="5">
        <f>IF(SalesData[[#This Row],[Total Revenue]]=0,0,SalesData[[#This Row],[Profit]]/SalesData[[#This Row],[Total Revenue]])</f>
        <v>0.37418646080760093</v>
      </c>
      <c r="L65" s="5" t="str">
        <f>TEXT(SalesData[[#This Row],[Date]],"mmm")</f>
        <v>Sep</v>
      </c>
      <c r="M65">
        <f>YEAR(SalesData[[#This Row],[Date]])</f>
        <v>2023</v>
      </c>
      <c r="N65">
        <f>WEEKNUM(SalesData[[#This Row],[Date]])</f>
        <v>36</v>
      </c>
      <c r="O65" t="s">
        <v>2257</v>
      </c>
      <c r="P65" t="s">
        <v>2523</v>
      </c>
      <c r="Q65" t="s">
        <v>2525</v>
      </c>
    </row>
    <row r="66" spans="1:17" x14ac:dyDescent="0.35">
      <c r="A66" t="s">
        <v>614</v>
      </c>
      <c r="B66" s="3">
        <v>44939</v>
      </c>
      <c r="C66" t="s">
        <v>2018</v>
      </c>
      <c r="D66" t="s">
        <v>2026</v>
      </c>
      <c r="E66" s="8">
        <v>1695</v>
      </c>
      <c r="F66">
        <v>1</v>
      </c>
      <c r="G66">
        <v>0</v>
      </c>
      <c r="H66" s="8">
        <v>1695</v>
      </c>
      <c r="I66">
        <v>1137.01</v>
      </c>
      <c r="J66">
        <v>557.99</v>
      </c>
      <c r="K66" s="5">
        <f>IF(SalesData[[#This Row],[Total Revenue]]=0,0,SalesData[[#This Row],[Profit]]/SalesData[[#This Row],[Total Revenue]])</f>
        <v>0.32919764011799413</v>
      </c>
      <c r="L66" s="5" t="str">
        <f>TEXT(SalesData[[#This Row],[Date]],"mmm")</f>
        <v>Jan</v>
      </c>
      <c r="M66">
        <f>YEAR(SalesData[[#This Row],[Date]])</f>
        <v>2023</v>
      </c>
      <c r="N66">
        <f>WEEKNUM(SalesData[[#This Row],[Date]])</f>
        <v>2</v>
      </c>
      <c r="O66" t="s">
        <v>2168</v>
      </c>
      <c r="P66" t="s">
        <v>2523</v>
      </c>
      <c r="Q66" t="s">
        <v>2527</v>
      </c>
    </row>
    <row r="67" spans="1:17" x14ac:dyDescent="0.35">
      <c r="A67" t="s">
        <v>336</v>
      </c>
      <c r="B67" s="3">
        <v>45232</v>
      </c>
      <c r="C67" t="s">
        <v>2015</v>
      </c>
      <c r="D67" t="s">
        <v>2025</v>
      </c>
      <c r="E67" s="8">
        <v>1884</v>
      </c>
      <c r="F67">
        <v>1</v>
      </c>
      <c r="G67">
        <v>10</v>
      </c>
      <c r="H67" s="8">
        <v>1695.6</v>
      </c>
      <c r="I67">
        <v>1393.92</v>
      </c>
      <c r="J67">
        <v>301.68</v>
      </c>
      <c r="K67" s="5">
        <f>IF(SalesData[[#This Row],[Total Revenue]]=0,0,SalesData[[#This Row],[Profit]]/SalesData[[#This Row],[Total Revenue]])</f>
        <v>0.17791932059447985</v>
      </c>
      <c r="L67" s="5" t="str">
        <f>TEXT(SalesData[[#This Row],[Date]],"mmm")</f>
        <v>Nov</v>
      </c>
      <c r="M67">
        <f>YEAR(SalesData[[#This Row],[Date]])</f>
        <v>2023</v>
      </c>
      <c r="N67">
        <f>WEEKNUM(SalesData[[#This Row],[Date]])</f>
        <v>44</v>
      </c>
      <c r="O67" t="s">
        <v>2266</v>
      </c>
      <c r="P67" t="s">
        <v>2523</v>
      </c>
      <c r="Q67" t="s">
        <v>2524</v>
      </c>
    </row>
    <row r="68" spans="1:17" x14ac:dyDescent="0.35">
      <c r="A68" t="s">
        <v>1725</v>
      </c>
      <c r="B68" s="3">
        <v>45195</v>
      </c>
      <c r="C68" t="s">
        <v>2017</v>
      </c>
      <c r="D68" t="s">
        <v>2026</v>
      </c>
      <c r="E68" s="8">
        <v>852</v>
      </c>
      <c r="F68">
        <v>2</v>
      </c>
      <c r="G68">
        <v>0</v>
      </c>
      <c r="H68" s="8">
        <v>1704</v>
      </c>
      <c r="I68">
        <v>598.44000000000005</v>
      </c>
      <c r="J68">
        <v>507.12</v>
      </c>
      <c r="K68" s="5">
        <f>IF(SalesData[[#This Row],[Total Revenue]]=0,0,SalesData[[#This Row],[Profit]]/SalesData[[#This Row],[Total Revenue]])</f>
        <v>0.2976056338028169</v>
      </c>
      <c r="L68" s="5" t="str">
        <f>TEXT(SalesData[[#This Row],[Date]],"mmm")</f>
        <v>Sep</v>
      </c>
      <c r="M68">
        <f>YEAR(SalesData[[#This Row],[Date]])</f>
        <v>2023</v>
      </c>
      <c r="N68">
        <f>WEEKNUM(SalesData[[#This Row],[Date]])</f>
        <v>39</v>
      </c>
      <c r="O68" t="s">
        <v>2132</v>
      </c>
      <c r="P68" t="s">
        <v>2523</v>
      </c>
      <c r="Q68" t="s">
        <v>2524</v>
      </c>
    </row>
    <row r="69" spans="1:17" x14ac:dyDescent="0.35">
      <c r="A69" t="s">
        <v>1636</v>
      </c>
      <c r="B69" s="3">
        <v>45069</v>
      </c>
      <c r="C69" t="s">
        <v>2017</v>
      </c>
      <c r="D69" t="s">
        <v>2026</v>
      </c>
      <c r="E69" s="8">
        <v>1899</v>
      </c>
      <c r="F69">
        <v>1</v>
      </c>
      <c r="G69">
        <v>10</v>
      </c>
      <c r="H69" s="8">
        <v>1709.1</v>
      </c>
      <c r="I69">
        <v>1499.51</v>
      </c>
      <c r="J69">
        <v>209.59</v>
      </c>
      <c r="K69" s="5">
        <f>IF(SalesData[[#This Row],[Total Revenue]]=0,0,SalesData[[#This Row],[Profit]]/SalesData[[#This Row],[Total Revenue]])</f>
        <v>0.12263179451173133</v>
      </c>
      <c r="L69" s="5" t="str">
        <f>TEXT(SalesData[[#This Row],[Date]],"mmm")</f>
        <v>May</v>
      </c>
      <c r="M69">
        <f>YEAR(SalesData[[#This Row],[Date]])</f>
        <v>2023</v>
      </c>
      <c r="N69">
        <f>WEEKNUM(SalesData[[#This Row],[Date]])</f>
        <v>21</v>
      </c>
      <c r="O69" t="s">
        <v>2391</v>
      </c>
      <c r="P69" t="s">
        <v>2522</v>
      </c>
      <c r="Q69" t="s">
        <v>2525</v>
      </c>
    </row>
    <row r="70" spans="1:17" x14ac:dyDescent="0.35">
      <c r="A70" t="s">
        <v>735</v>
      </c>
      <c r="B70" s="3">
        <v>44945</v>
      </c>
      <c r="C70" t="s">
        <v>2014</v>
      </c>
      <c r="D70" t="s">
        <v>2024</v>
      </c>
      <c r="E70" s="8">
        <v>1907</v>
      </c>
      <c r="F70">
        <v>1</v>
      </c>
      <c r="G70">
        <v>10</v>
      </c>
      <c r="H70" s="8">
        <v>1716.3</v>
      </c>
      <c r="I70">
        <v>1054.51</v>
      </c>
      <c r="J70">
        <v>661.79</v>
      </c>
      <c r="K70" s="5">
        <f>IF(SalesData[[#This Row],[Total Revenue]]=0,0,SalesData[[#This Row],[Profit]]/SalesData[[#This Row],[Total Revenue]])</f>
        <v>0.3855910971275418</v>
      </c>
      <c r="L70" s="5" t="str">
        <f>TEXT(SalesData[[#This Row],[Date]],"mmm")</f>
        <v>Jan</v>
      </c>
      <c r="M70">
        <f>YEAR(SalesData[[#This Row],[Date]])</f>
        <v>2023</v>
      </c>
      <c r="N70">
        <f>WEEKNUM(SalesData[[#This Row],[Date]])</f>
        <v>3</v>
      </c>
      <c r="O70" t="s">
        <v>2044</v>
      </c>
      <c r="P70" t="s">
        <v>2523</v>
      </c>
      <c r="Q70" t="s">
        <v>2527</v>
      </c>
    </row>
    <row r="71" spans="1:17" x14ac:dyDescent="0.35">
      <c r="A71" t="s">
        <v>304</v>
      </c>
      <c r="B71" s="3">
        <v>44932</v>
      </c>
      <c r="C71" t="s">
        <v>2017</v>
      </c>
      <c r="D71" t="s">
        <v>2026</v>
      </c>
      <c r="E71" s="8">
        <v>1910</v>
      </c>
      <c r="F71">
        <v>1</v>
      </c>
      <c r="G71">
        <v>10</v>
      </c>
      <c r="H71" s="8">
        <v>1719</v>
      </c>
      <c r="I71">
        <v>1241.81</v>
      </c>
      <c r="J71">
        <v>477.19</v>
      </c>
      <c r="K71" s="5">
        <f>IF(SalesData[[#This Row],[Total Revenue]]=0,0,SalesData[[#This Row],[Profit]]/SalesData[[#This Row],[Total Revenue]])</f>
        <v>0.27759744037230949</v>
      </c>
      <c r="L71" s="5" t="str">
        <f>TEXT(SalesData[[#This Row],[Date]],"mmm")</f>
        <v>Jan</v>
      </c>
      <c r="M71">
        <f>YEAR(SalesData[[#This Row],[Date]])</f>
        <v>2023</v>
      </c>
      <c r="N71">
        <f>WEEKNUM(SalesData[[#This Row],[Date]])</f>
        <v>1</v>
      </c>
      <c r="O71" t="s">
        <v>2249</v>
      </c>
      <c r="P71" t="s">
        <v>2522</v>
      </c>
      <c r="Q71" t="s">
        <v>2525</v>
      </c>
    </row>
    <row r="72" spans="1:17" x14ac:dyDescent="0.35">
      <c r="A72" t="s">
        <v>1572</v>
      </c>
      <c r="B72" s="3">
        <v>44957</v>
      </c>
      <c r="C72" t="s">
        <v>2018</v>
      </c>
      <c r="D72" t="s">
        <v>2026</v>
      </c>
      <c r="E72" s="8">
        <v>2037</v>
      </c>
      <c r="F72">
        <v>1</v>
      </c>
      <c r="G72">
        <v>15</v>
      </c>
      <c r="H72" s="8">
        <v>1731.45</v>
      </c>
      <c r="I72">
        <v>1077.0899999999999</v>
      </c>
      <c r="J72">
        <v>654.36</v>
      </c>
      <c r="K72" s="5">
        <f>IF(SalesData[[#This Row],[Total Revenue]]=0,0,SalesData[[#This Row],[Profit]]/SalesData[[#This Row],[Total Revenue]])</f>
        <v>0.37792601576713158</v>
      </c>
      <c r="L72" s="5" t="str">
        <f>TEXT(SalesData[[#This Row],[Date]],"mmm")</f>
        <v>Jan</v>
      </c>
      <c r="M72">
        <f>YEAR(SalesData[[#This Row],[Date]])</f>
        <v>2023</v>
      </c>
      <c r="N72">
        <f>WEEKNUM(SalesData[[#This Row],[Date]])</f>
        <v>5</v>
      </c>
      <c r="O72" t="s">
        <v>2270</v>
      </c>
      <c r="P72" t="s">
        <v>2522</v>
      </c>
      <c r="Q72" t="s">
        <v>2527</v>
      </c>
    </row>
    <row r="73" spans="1:17" x14ac:dyDescent="0.35">
      <c r="A73" t="s">
        <v>358</v>
      </c>
      <c r="B73" s="3">
        <v>44956</v>
      </c>
      <c r="C73" t="s">
        <v>2022</v>
      </c>
      <c r="D73" t="s">
        <v>2024</v>
      </c>
      <c r="E73" s="8">
        <v>2041</v>
      </c>
      <c r="F73">
        <v>1</v>
      </c>
      <c r="G73">
        <v>15</v>
      </c>
      <c r="H73" s="8">
        <v>1734.85</v>
      </c>
      <c r="I73">
        <v>1511.79</v>
      </c>
      <c r="J73">
        <v>223.06</v>
      </c>
      <c r="K73" s="5">
        <f>IF(SalesData[[#This Row],[Total Revenue]]=0,0,SalesData[[#This Row],[Profit]]/SalesData[[#This Row],[Total Revenue]])</f>
        <v>0.12857595757558291</v>
      </c>
      <c r="L73" s="5" t="str">
        <f>TEXT(SalesData[[#This Row],[Date]],"mmm")</f>
        <v>Jan</v>
      </c>
      <c r="M73">
        <f>YEAR(SalesData[[#This Row],[Date]])</f>
        <v>2023</v>
      </c>
      <c r="N73">
        <f>WEEKNUM(SalesData[[#This Row],[Date]])</f>
        <v>5</v>
      </c>
      <c r="O73" t="s">
        <v>2148</v>
      </c>
      <c r="P73" t="s">
        <v>2522</v>
      </c>
      <c r="Q73" t="s">
        <v>2524</v>
      </c>
    </row>
    <row r="74" spans="1:17" x14ac:dyDescent="0.35">
      <c r="A74" t="s">
        <v>1888</v>
      </c>
      <c r="B74" s="3">
        <v>45232</v>
      </c>
      <c r="C74" t="s">
        <v>2014</v>
      </c>
      <c r="D74" t="s">
        <v>2024</v>
      </c>
      <c r="E74" s="8">
        <v>1928</v>
      </c>
      <c r="F74">
        <v>1</v>
      </c>
      <c r="G74">
        <v>10</v>
      </c>
      <c r="H74" s="8">
        <v>1735.2</v>
      </c>
      <c r="I74">
        <v>1385.93</v>
      </c>
      <c r="J74">
        <v>349.27</v>
      </c>
      <c r="K74" s="5">
        <f>IF(SalesData[[#This Row],[Total Revenue]]=0,0,SalesData[[#This Row],[Profit]]/SalesData[[#This Row],[Total Revenue]])</f>
        <v>0.20128515444905484</v>
      </c>
      <c r="L74" s="5" t="str">
        <f>TEXT(SalesData[[#This Row],[Date]],"mmm")</f>
        <v>Nov</v>
      </c>
      <c r="M74">
        <f>YEAR(SalesData[[#This Row],[Date]])</f>
        <v>2023</v>
      </c>
      <c r="N74">
        <f>WEEKNUM(SalesData[[#This Row],[Date]])</f>
        <v>44</v>
      </c>
      <c r="O74" t="s">
        <v>2503</v>
      </c>
      <c r="P74" t="s">
        <v>2522</v>
      </c>
      <c r="Q74" t="s">
        <v>2526</v>
      </c>
    </row>
    <row r="75" spans="1:17" x14ac:dyDescent="0.35">
      <c r="A75" t="s">
        <v>1778</v>
      </c>
      <c r="B75" s="3">
        <v>45040</v>
      </c>
      <c r="C75" t="s">
        <v>2018</v>
      </c>
      <c r="D75" t="s">
        <v>2026</v>
      </c>
      <c r="E75" s="8">
        <v>1856</v>
      </c>
      <c r="F75">
        <v>1</v>
      </c>
      <c r="G75">
        <v>5</v>
      </c>
      <c r="H75" s="8">
        <v>1763.2</v>
      </c>
      <c r="I75">
        <v>1434.9</v>
      </c>
      <c r="J75">
        <v>328.3</v>
      </c>
      <c r="K75" s="5">
        <f>IF(SalesData[[#This Row],[Total Revenue]]=0,0,SalesData[[#This Row],[Profit]]/SalesData[[#This Row],[Total Revenue]])</f>
        <v>0.18619555353901995</v>
      </c>
      <c r="L75" s="5" t="str">
        <f>TEXT(SalesData[[#This Row],[Date]],"mmm")</f>
        <v>Apr</v>
      </c>
      <c r="M75">
        <f>YEAR(SalesData[[#This Row],[Date]])</f>
        <v>2023</v>
      </c>
      <c r="N75">
        <f>WEEKNUM(SalesData[[#This Row],[Date]])</f>
        <v>17</v>
      </c>
      <c r="O75" t="s">
        <v>2242</v>
      </c>
      <c r="P75" t="s">
        <v>2522</v>
      </c>
      <c r="Q75" t="s">
        <v>2526</v>
      </c>
    </row>
    <row r="76" spans="1:17" x14ac:dyDescent="0.35">
      <c r="A76" t="s">
        <v>1857</v>
      </c>
      <c r="B76" s="3">
        <v>45093</v>
      </c>
      <c r="C76" t="s">
        <v>2018</v>
      </c>
      <c r="D76" t="s">
        <v>2026</v>
      </c>
      <c r="E76" s="8">
        <v>2090</v>
      </c>
      <c r="F76">
        <v>1</v>
      </c>
      <c r="G76">
        <v>15</v>
      </c>
      <c r="H76" s="8">
        <v>1776.5</v>
      </c>
      <c r="I76">
        <v>1100.29</v>
      </c>
      <c r="J76">
        <v>676.21</v>
      </c>
      <c r="K76" s="5">
        <f>IF(SalesData[[#This Row],[Total Revenue]]=0,0,SalesData[[#This Row],[Profit]]/SalesData[[#This Row],[Total Revenue]])</f>
        <v>0.38064171122994656</v>
      </c>
      <c r="L76" s="5" t="str">
        <f>TEXT(SalesData[[#This Row],[Date]],"mmm")</f>
        <v>Jun</v>
      </c>
      <c r="M76">
        <f>YEAR(SalesData[[#This Row],[Date]])</f>
        <v>2023</v>
      </c>
      <c r="N76">
        <f>WEEKNUM(SalesData[[#This Row],[Date]])</f>
        <v>24</v>
      </c>
      <c r="O76" t="s">
        <v>2279</v>
      </c>
      <c r="P76" t="s">
        <v>2523</v>
      </c>
      <c r="Q76" t="s">
        <v>2527</v>
      </c>
    </row>
    <row r="77" spans="1:17" x14ac:dyDescent="0.35">
      <c r="A77" t="s">
        <v>433</v>
      </c>
      <c r="B77" s="3">
        <v>45241</v>
      </c>
      <c r="C77" t="s">
        <v>2015</v>
      </c>
      <c r="D77" t="s">
        <v>2025</v>
      </c>
      <c r="E77" s="8">
        <v>1982</v>
      </c>
      <c r="F77">
        <v>1</v>
      </c>
      <c r="G77">
        <v>10</v>
      </c>
      <c r="H77" s="8">
        <v>1783.8</v>
      </c>
      <c r="I77">
        <v>1030.69</v>
      </c>
      <c r="J77">
        <v>753.11</v>
      </c>
      <c r="K77" s="5">
        <f>IF(SalesData[[#This Row],[Total Revenue]]=0,0,SalesData[[#This Row],[Profit]]/SalesData[[#This Row],[Total Revenue]])</f>
        <v>0.42219419217401055</v>
      </c>
      <c r="L77" s="5" t="str">
        <f>TEXT(SalesData[[#This Row],[Date]],"mmm")</f>
        <v>Nov</v>
      </c>
      <c r="M77">
        <f>YEAR(SalesData[[#This Row],[Date]])</f>
        <v>2023</v>
      </c>
      <c r="N77">
        <f>WEEKNUM(SalesData[[#This Row],[Date]])</f>
        <v>45</v>
      </c>
      <c r="O77" t="s">
        <v>2124</v>
      </c>
      <c r="P77" t="s">
        <v>2523</v>
      </c>
      <c r="Q77" t="s">
        <v>2526</v>
      </c>
    </row>
    <row r="78" spans="1:17" x14ac:dyDescent="0.35">
      <c r="A78" t="s">
        <v>484</v>
      </c>
      <c r="B78" s="3">
        <v>45132</v>
      </c>
      <c r="C78" t="s">
        <v>2015</v>
      </c>
      <c r="D78" t="s">
        <v>2025</v>
      </c>
      <c r="E78" s="8">
        <v>1785</v>
      </c>
      <c r="F78">
        <v>1</v>
      </c>
      <c r="G78">
        <v>0</v>
      </c>
      <c r="H78" s="8">
        <v>1785</v>
      </c>
      <c r="I78">
        <v>974.42</v>
      </c>
      <c r="J78">
        <v>810.58</v>
      </c>
      <c r="K78" s="5">
        <f>IF(SalesData[[#This Row],[Total Revenue]]=0,0,SalesData[[#This Row],[Profit]]/SalesData[[#This Row],[Total Revenue]])</f>
        <v>0.45410644257703081</v>
      </c>
      <c r="L78" s="5" t="str">
        <f>TEXT(SalesData[[#This Row],[Date]],"mmm")</f>
        <v>Jul</v>
      </c>
      <c r="M78">
        <f>YEAR(SalesData[[#This Row],[Date]])</f>
        <v>2023</v>
      </c>
      <c r="N78">
        <f>WEEKNUM(SalesData[[#This Row],[Date]])</f>
        <v>30</v>
      </c>
      <c r="O78" t="s">
        <v>2330</v>
      </c>
      <c r="P78" t="s">
        <v>2523</v>
      </c>
      <c r="Q78" t="s">
        <v>2524</v>
      </c>
    </row>
    <row r="79" spans="1:17" x14ac:dyDescent="0.35">
      <c r="A79" t="s">
        <v>1130</v>
      </c>
      <c r="B79" s="3">
        <v>45290</v>
      </c>
      <c r="C79" t="s">
        <v>2022</v>
      </c>
      <c r="D79" t="s">
        <v>2024</v>
      </c>
      <c r="E79" s="8">
        <v>2010</v>
      </c>
      <c r="F79">
        <v>1</v>
      </c>
      <c r="G79">
        <v>10</v>
      </c>
      <c r="H79" s="8">
        <v>1809</v>
      </c>
      <c r="I79">
        <v>1564.27</v>
      </c>
      <c r="J79">
        <v>244.73</v>
      </c>
      <c r="K79" s="5">
        <f>IF(SalesData[[#This Row],[Total Revenue]]=0,0,SalesData[[#This Row],[Profit]]/SalesData[[#This Row],[Total Revenue]])</f>
        <v>0.13528468767274737</v>
      </c>
      <c r="L79" s="5" t="str">
        <f>TEXT(SalesData[[#This Row],[Date]],"mmm")</f>
        <v>Dec</v>
      </c>
      <c r="M79">
        <f>YEAR(SalesData[[#This Row],[Date]])</f>
        <v>2023</v>
      </c>
      <c r="N79">
        <f>WEEKNUM(SalesData[[#This Row],[Date]])</f>
        <v>52</v>
      </c>
      <c r="O79" t="s">
        <v>2473</v>
      </c>
      <c r="P79" t="s">
        <v>2523</v>
      </c>
      <c r="Q79" t="s">
        <v>2526</v>
      </c>
    </row>
    <row r="80" spans="1:17" x14ac:dyDescent="0.35">
      <c r="A80" t="s">
        <v>2002</v>
      </c>
      <c r="B80" s="3">
        <v>45250</v>
      </c>
      <c r="C80" t="s">
        <v>2013</v>
      </c>
      <c r="D80" t="s">
        <v>2023</v>
      </c>
      <c r="E80" s="8">
        <v>1810</v>
      </c>
      <c r="F80">
        <v>1</v>
      </c>
      <c r="G80">
        <v>0</v>
      </c>
      <c r="H80" s="8">
        <v>1810</v>
      </c>
      <c r="I80">
        <v>988.99</v>
      </c>
      <c r="J80">
        <v>821.01</v>
      </c>
      <c r="K80" s="5">
        <f>IF(SalesData[[#This Row],[Total Revenue]]=0,0,SalesData[[#This Row],[Profit]]/SalesData[[#This Row],[Total Revenue]])</f>
        <v>0.45359668508287293</v>
      </c>
      <c r="L80" s="5" t="str">
        <f>TEXT(SalesData[[#This Row],[Date]],"mmm")</f>
        <v>Nov</v>
      </c>
      <c r="M80">
        <f>YEAR(SalesData[[#This Row],[Date]])</f>
        <v>2023</v>
      </c>
      <c r="N80">
        <f>WEEKNUM(SalesData[[#This Row],[Date]])</f>
        <v>47</v>
      </c>
      <c r="O80" t="s">
        <v>2069</v>
      </c>
      <c r="P80" t="s">
        <v>2522</v>
      </c>
      <c r="Q80" t="s">
        <v>2524</v>
      </c>
    </row>
    <row r="81" spans="1:17" x14ac:dyDescent="0.35">
      <c r="A81" t="s">
        <v>1558</v>
      </c>
      <c r="B81" s="3">
        <v>45289</v>
      </c>
      <c r="C81" t="s">
        <v>2021</v>
      </c>
      <c r="D81" t="s">
        <v>2028</v>
      </c>
      <c r="E81" s="8">
        <v>1838</v>
      </c>
      <c r="F81">
        <v>1</v>
      </c>
      <c r="G81">
        <v>0</v>
      </c>
      <c r="H81" s="8">
        <v>1838</v>
      </c>
      <c r="I81">
        <v>1234.24</v>
      </c>
      <c r="J81">
        <v>603.76</v>
      </c>
      <c r="K81" s="5">
        <f>IF(SalesData[[#This Row],[Total Revenue]]=0,0,SalesData[[#This Row],[Profit]]/SalesData[[#This Row],[Total Revenue]])</f>
        <v>0.32848748639825898</v>
      </c>
      <c r="L81" s="5" t="str">
        <f>TEXT(SalesData[[#This Row],[Date]],"mmm")</f>
        <v>Dec</v>
      </c>
      <c r="M81">
        <f>YEAR(SalesData[[#This Row],[Date]])</f>
        <v>2023</v>
      </c>
      <c r="N81">
        <f>WEEKNUM(SalesData[[#This Row],[Date]])</f>
        <v>52</v>
      </c>
      <c r="O81" t="s">
        <v>2265</v>
      </c>
      <c r="P81" t="s">
        <v>2522</v>
      </c>
      <c r="Q81" t="s">
        <v>2526</v>
      </c>
    </row>
    <row r="82" spans="1:17" x14ac:dyDescent="0.35">
      <c r="A82" t="s">
        <v>833</v>
      </c>
      <c r="B82" s="3">
        <v>44958</v>
      </c>
      <c r="C82" t="s">
        <v>2021</v>
      </c>
      <c r="D82" t="s">
        <v>2028</v>
      </c>
      <c r="E82" s="8">
        <v>2056</v>
      </c>
      <c r="F82">
        <v>1</v>
      </c>
      <c r="G82">
        <v>10</v>
      </c>
      <c r="H82" s="8">
        <v>1850.4</v>
      </c>
      <c r="I82">
        <v>1145.8499999999999</v>
      </c>
      <c r="J82">
        <v>704.55</v>
      </c>
      <c r="K82" s="5">
        <f>IF(SalesData[[#This Row],[Total Revenue]]=0,0,SalesData[[#This Row],[Profit]]/SalesData[[#This Row],[Total Revenue]])</f>
        <v>0.38075551232166016</v>
      </c>
      <c r="L82" s="5" t="str">
        <f>TEXT(SalesData[[#This Row],[Date]],"mmm")</f>
        <v>Feb</v>
      </c>
      <c r="M82">
        <f>YEAR(SalesData[[#This Row],[Date]])</f>
        <v>2023</v>
      </c>
      <c r="N82">
        <f>WEEKNUM(SalesData[[#This Row],[Date]])</f>
        <v>5</v>
      </c>
      <c r="O82" t="s">
        <v>2430</v>
      </c>
      <c r="P82" t="s">
        <v>2522</v>
      </c>
      <c r="Q82" t="s">
        <v>2524</v>
      </c>
    </row>
    <row r="83" spans="1:17" x14ac:dyDescent="0.35">
      <c r="A83" t="s">
        <v>1309</v>
      </c>
      <c r="B83" s="3">
        <v>44956</v>
      </c>
      <c r="C83" t="s">
        <v>2021</v>
      </c>
      <c r="D83" t="s">
        <v>2028</v>
      </c>
      <c r="E83" s="8">
        <v>1033</v>
      </c>
      <c r="F83">
        <v>2</v>
      </c>
      <c r="G83">
        <v>10</v>
      </c>
      <c r="H83" s="8">
        <v>1859.4</v>
      </c>
      <c r="I83">
        <v>777.54</v>
      </c>
      <c r="J83">
        <v>304.33</v>
      </c>
      <c r="K83" s="5">
        <f>IF(SalesData[[#This Row],[Total Revenue]]=0,0,SalesData[[#This Row],[Profit]]/SalesData[[#This Row],[Total Revenue]])</f>
        <v>0.16367107669140582</v>
      </c>
      <c r="L83" s="5" t="str">
        <f>TEXT(SalesData[[#This Row],[Date]],"mmm")</f>
        <v>Jan</v>
      </c>
      <c r="M83">
        <f>YEAR(SalesData[[#This Row],[Date]])</f>
        <v>2023</v>
      </c>
      <c r="N83">
        <f>WEEKNUM(SalesData[[#This Row],[Date]])</f>
        <v>5</v>
      </c>
      <c r="O83" t="s">
        <v>2103</v>
      </c>
      <c r="P83" t="s">
        <v>2523</v>
      </c>
      <c r="Q83" t="s">
        <v>2524</v>
      </c>
    </row>
    <row r="84" spans="1:17" x14ac:dyDescent="0.35">
      <c r="A84" t="s">
        <v>151</v>
      </c>
      <c r="B84" s="3">
        <v>45252</v>
      </c>
      <c r="C84" t="s">
        <v>2014</v>
      </c>
      <c r="D84" t="s">
        <v>2024</v>
      </c>
      <c r="E84" s="8">
        <v>982</v>
      </c>
      <c r="F84">
        <v>2</v>
      </c>
      <c r="G84">
        <v>5</v>
      </c>
      <c r="H84" s="8">
        <v>1865.8</v>
      </c>
      <c r="I84">
        <v>529.9</v>
      </c>
      <c r="J84">
        <v>806.01</v>
      </c>
      <c r="K84" s="5">
        <f>IF(SalesData[[#This Row],[Total Revenue]]=0,0,SalesData[[#This Row],[Profit]]/SalesData[[#This Row],[Total Revenue]])</f>
        <v>0.43199163897523851</v>
      </c>
      <c r="L84" s="5" t="str">
        <f>TEXT(SalesData[[#This Row],[Date]],"mmm")</f>
        <v>Nov</v>
      </c>
      <c r="M84">
        <f>YEAR(SalesData[[#This Row],[Date]])</f>
        <v>2023</v>
      </c>
      <c r="N84">
        <f>WEEKNUM(SalesData[[#This Row],[Date]])</f>
        <v>47</v>
      </c>
      <c r="O84" t="s">
        <v>2152</v>
      </c>
      <c r="P84" t="s">
        <v>2523</v>
      </c>
      <c r="Q84" t="s">
        <v>2527</v>
      </c>
    </row>
    <row r="85" spans="1:17" x14ac:dyDescent="0.35">
      <c r="A85" t="s">
        <v>841</v>
      </c>
      <c r="B85" s="3">
        <v>44983</v>
      </c>
      <c r="C85" t="s">
        <v>2013</v>
      </c>
      <c r="D85" t="s">
        <v>2023</v>
      </c>
      <c r="E85" s="8">
        <v>1895</v>
      </c>
      <c r="F85">
        <v>1</v>
      </c>
      <c r="G85">
        <v>0</v>
      </c>
      <c r="H85" s="8">
        <v>1895</v>
      </c>
      <c r="I85">
        <v>1277.03</v>
      </c>
      <c r="J85">
        <v>617.97</v>
      </c>
      <c r="K85" s="5">
        <f>IF(SalesData[[#This Row],[Total Revenue]]=0,0,SalesData[[#This Row],[Profit]]/SalesData[[#This Row],[Total Revenue]])</f>
        <v>0.32610554089709765</v>
      </c>
      <c r="L85" s="5" t="str">
        <f>TEXT(SalesData[[#This Row],[Date]],"mmm")</f>
        <v>Feb</v>
      </c>
      <c r="M85">
        <f>YEAR(SalesData[[#This Row],[Date]])</f>
        <v>2023</v>
      </c>
      <c r="N85">
        <f>WEEKNUM(SalesData[[#This Row],[Date]])</f>
        <v>9</v>
      </c>
      <c r="O85" t="s">
        <v>2095</v>
      </c>
      <c r="P85" t="s">
        <v>2522</v>
      </c>
      <c r="Q85" t="s">
        <v>2527</v>
      </c>
    </row>
    <row r="86" spans="1:17" x14ac:dyDescent="0.35">
      <c r="A86" t="s">
        <v>1947</v>
      </c>
      <c r="B86" s="3">
        <v>45085</v>
      </c>
      <c r="C86" t="s">
        <v>2019</v>
      </c>
      <c r="D86" t="s">
        <v>2027</v>
      </c>
      <c r="E86" s="8">
        <v>1896</v>
      </c>
      <c r="F86">
        <v>1</v>
      </c>
      <c r="G86">
        <v>0</v>
      </c>
      <c r="H86" s="8">
        <v>1896</v>
      </c>
      <c r="I86">
        <v>1128.31</v>
      </c>
      <c r="J86">
        <v>767.69</v>
      </c>
      <c r="K86" s="5">
        <f>IF(SalesData[[#This Row],[Total Revenue]]=0,0,SalesData[[#This Row],[Profit]]/SalesData[[#This Row],[Total Revenue]])</f>
        <v>0.40489978902953588</v>
      </c>
      <c r="L86" s="5" t="str">
        <f>TEXT(SalesData[[#This Row],[Date]],"mmm")</f>
        <v>Jun</v>
      </c>
      <c r="M86">
        <f>YEAR(SalesData[[#This Row],[Date]])</f>
        <v>2023</v>
      </c>
      <c r="N86">
        <f>WEEKNUM(SalesData[[#This Row],[Date]])</f>
        <v>23</v>
      </c>
      <c r="O86" t="s">
        <v>2356</v>
      </c>
      <c r="P86" t="s">
        <v>2523</v>
      </c>
      <c r="Q86" t="s">
        <v>2526</v>
      </c>
    </row>
    <row r="87" spans="1:17" x14ac:dyDescent="0.35">
      <c r="A87" t="s">
        <v>1386</v>
      </c>
      <c r="B87" s="3">
        <v>45102</v>
      </c>
      <c r="C87" t="s">
        <v>2020</v>
      </c>
      <c r="D87" t="s">
        <v>2028</v>
      </c>
      <c r="E87" s="8">
        <v>2257</v>
      </c>
      <c r="F87">
        <v>1</v>
      </c>
      <c r="G87">
        <v>15</v>
      </c>
      <c r="H87" s="8">
        <v>1918.45</v>
      </c>
      <c r="I87">
        <v>1425.58</v>
      </c>
      <c r="J87">
        <v>492.87</v>
      </c>
      <c r="K87" s="5">
        <f>IF(SalesData[[#This Row],[Total Revenue]]=0,0,SalesData[[#This Row],[Profit]]/SalesData[[#This Row],[Total Revenue]])</f>
        <v>0.25691052672730591</v>
      </c>
      <c r="L87" s="5" t="str">
        <f>TEXT(SalesData[[#This Row],[Date]],"mmm")</f>
        <v>Jun</v>
      </c>
      <c r="M87">
        <f>YEAR(SalesData[[#This Row],[Date]])</f>
        <v>2023</v>
      </c>
      <c r="N87">
        <f>WEEKNUM(SalesData[[#This Row],[Date]])</f>
        <v>26</v>
      </c>
      <c r="O87" t="s">
        <v>2257</v>
      </c>
      <c r="P87" t="s">
        <v>2523</v>
      </c>
      <c r="Q87" t="s">
        <v>2527</v>
      </c>
    </row>
    <row r="88" spans="1:17" x14ac:dyDescent="0.35">
      <c r="A88" t="s">
        <v>486</v>
      </c>
      <c r="B88" s="3">
        <v>45086</v>
      </c>
      <c r="C88" t="s">
        <v>2020</v>
      </c>
      <c r="D88" t="s">
        <v>2028</v>
      </c>
      <c r="E88" s="8">
        <v>1074</v>
      </c>
      <c r="F88">
        <v>2</v>
      </c>
      <c r="G88">
        <v>10</v>
      </c>
      <c r="H88" s="8">
        <v>1933.2</v>
      </c>
      <c r="I88">
        <v>595.54999999999995</v>
      </c>
      <c r="J88">
        <v>742.1</v>
      </c>
      <c r="K88" s="5">
        <f>IF(SalesData[[#This Row],[Total Revenue]]=0,0,SalesData[[#This Row],[Profit]]/SalesData[[#This Row],[Total Revenue]])</f>
        <v>0.38387130146906684</v>
      </c>
      <c r="L88" s="5" t="str">
        <f>TEXT(SalesData[[#This Row],[Date]],"mmm")</f>
        <v>Jun</v>
      </c>
      <c r="M88">
        <f>YEAR(SalesData[[#This Row],[Date]])</f>
        <v>2023</v>
      </c>
      <c r="N88">
        <f>WEEKNUM(SalesData[[#This Row],[Date]])</f>
        <v>23</v>
      </c>
      <c r="O88" t="s">
        <v>2064</v>
      </c>
      <c r="P88" t="s">
        <v>2523</v>
      </c>
      <c r="Q88" t="s">
        <v>2525</v>
      </c>
    </row>
    <row r="89" spans="1:17" x14ac:dyDescent="0.35">
      <c r="A89" t="s">
        <v>696</v>
      </c>
      <c r="B89" s="3">
        <v>45135</v>
      </c>
      <c r="C89" t="s">
        <v>2019</v>
      </c>
      <c r="D89" t="s">
        <v>2027</v>
      </c>
      <c r="E89" s="8">
        <v>2283</v>
      </c>
      <c r="F89">
        <v>1</v>
      </c>
      <c r="G89">
        <v>15</v>
      </c>
      <c r="H89" s="8">
        <v>1940.55</v>
      </c>
      <c r="I89">
        <v>1374.16</v>
      </c>
      <c r="J89">
        <v>566.39</v>
      </c>
      <c r="K89" s="5">
        <f>IF(SalesData[[#This Row],[Total Revenue]]=0,0,SalesData[[#This Row],[Profit]]/SalesData[[#This Row],[Total Revenue]])</f>
        <v>0.29187086135373991</v>
      </c>
      <c r="L89" s="5" t="str">
        <f>TEXT(SalesData[[#This Row],[Date]],"mmm")</f>
        <v>Jul</v>
      </c>
      <c r="M89">
        <f>YEAR(SalesData[[#This Row],[Date]])</f>
        <v>2023</v>
      </c>
      <c r="N89">
        <f>WEEKNUM(SalesData[[#This Row],[Date]])</f>
        <v>30</v>
      </c>
      <c r="O89" t="s">
        <v>2399</v>
      </c>
      <c r="P89" t="s">
        <v>2522</v>
      </c>
      <c r="Q89" t="s">
        <v>2526</v>
      </c>
    </row>
    <row r="90" spans="1:17" x14ac:dyDescent="0.35">
      <c r="A90" t="s">
        <v>55</v>
      </c>
      <c r="B90" s="3">
        <v>44946</v>
      </c>
      <c r="C90" t="s">
        <v>2015</v>
      </c>
      <c r="D90" t="s">
        <v>2025</v>
      </c>
      <c r="E90" s="8">
        <v>1026</v>
      </c>
      <c r="F90">
        <v>2</v>
      </c>
      <c r="G90">
        <v>5</v>
      </c>
      <c r="H90" s="8">
        <v>1949.4</v>
      </c>
      <c r="I90">
        <v>517.33000000000004</v>
      </c>
      <c r="J90">
        <v>914.74</v>
      </c>
      <c r="K90" s="5">
        <f>IF(SalesData[[#This Row],[Total Revenue]]=0,0,SalesData[[#This Row],[Profit]]/SalesData[[#This Row],[Total Revenue]])</f>
        <v>0.46924181799528059</v>
      </c>
      <c r="L90" s="5" t="str">
        <f>TEXT(SalesData[[#This Row],[Date]],"mmm")</f>
        <v>Jan</v>
      </c>
      <c r="M90">
        <f>YEAR(SalesData[[#This Row],[Date]])</f>
        <v>2023</v>
      </c>
      <c r="N90">
        <f>WEEKNUM(SalesData[[#This Row],[Date]])</f>
        <v>3</v>
      </c>
      <c r="O90" t="s">
        <v>2066</v>
      </c>
      <c r="P90" t="s">
        <v>2523</v>
      </c>
      <c r="Q90" t="s">
        <v>2525</v>
      </c>
    </row>
    <row r="91" spans="1:17" x14ac:dyDescent="0.35">
      <c r="A91" t="s">
        <v>449</v>
      </c>
      <c r="B91" s="3">
        <v>44981</v>
      </c>
      <c r="C91" t="s">
        <v>2018</v>
      </c>
      <c r="D91" t="s">
        <v>2026</v>
      </c>
      <c r="E91" s="8">
        <v>977</v>
      </c>
      <c r="F91">
        <v>2</v>
      </c>
      <c r="G91">
        <v>0</v>
      </c>
      <c r="H91" s="8">
        <v>1954</v>
      </c>
      <c r="I91">
        <v>548.87</v>
      </c>
      <c r="J91">
        <v>856.25</v>
      </c>
      <c r="K91" s="5">
        <f>IF(SalesData[[#This Row],[Total Revenue]]=0,0,SalesData[[#This Row],[Profit]]/SalesData[[#This Row],[Total Revenue]])</f>
        <v>0.43820368474923233</v>
      </c>
      <c r="L91" s="5" t="str">
        <f>TEXT(SalesData[[#This Row],[Date]],"mmm")</f>
        <v>Feb</v>
      </c>
      <c r="M91">
        <f>YEAR(SalesData[[#This Row],[Date]])</f>
        <v>2023</v>
      </c>
      <c r="N91">
        <f>WEEKNUM(SalesData[[#This Row],[Date]])</f>
        <v>8</v>
      </c>
      <c r="O91" t="s">
        <v>2148</v>
      </c>
      <c r="P91" t="s">
        <v>2522</v>
      </c>
      <c r="Q91" t="s">
        <v>2527</v>
      </c>
    </row>
    <row r="92" spans="1:17" x14ac:dyDescent="0.35">
      <c r="A92" t="s">
        <v>753</v>
      </c>
      <c r="B92" s="3">
        <v>45021</v>
      </c>
      <c r="C92" t="s">
        <v>2020</v>
      </c>
      <c r="D92" t="s">
        <v>2028</v>
      </c>
      <c r="E92" s="8">
        <v>1161</v>
      </c>
      <c r="F92">
        <v>2</v>
      </c>
      <c r="G92">
        <v>15</v>
      </c>
      <c r="H92" s="8">
        <v>1973.7</v>
      </c>
      <c r="I92">
        <v>822.82</v>
      </c>
      <c r="J92">
        <v>328.07</v>
      </c>
      <c r="K92" s="5">
        <f>IF(SalesData[[#This Row],[Total Revenue]]=0,0,SalesData[[#This Row],[Profit]]/SalesData[[#This Row],[Total Revenue]])</f>
        <v>0.1662208035669048</v>
      </c>
      <c r="L92" s="5" t="str">
        <f>TEXT(SalesData[[#This Row],[Date]],"mmm")</f>
        <v>Apr</v>
      </c>
      <c r="M92">
        <f>YEAR(SalesData[[#This Row],[Date]])</f>
        <v>2023</v>
      </c>
      <c r="N92">
        <f>WEEKNUM(SalesData[[#This Row],[Date]])</f>
        <v>14</v>
      </c>
      <c r="O92" t="s">
        <v>2412</v>
      </c>
      <c r="P92" t="s">
        <v>2523</v>
      </c>
      <c r="Q92" t="s">
        <v>2526</v>
      </c>
    </row>
    <row r="93" spans="1:17" x14ac:dyDescent="0.35">
      <c r="A93" t="s">
        <v>168</v>
      </c>
      <c r="B93" s="3">
        <v>44927</v>
      </c>
      <c r="C93" t="s">
        <v>2021</v>
      </c>
      <c r="D93" t="s">
        <v>2028</v>
      </c>
      <c r="E93" s="8">
        <v>2087</v>
      </c>
      <c r="F93">
        <v>1</v>
      </c>
      <c r="G93">
        <v>5</v>
      </c>
      <c r="H93" s="8">
        <v>1982.65</v>
      </c>
      <c r="I93">
        <v>1633.81</v>
      </c>
      <c r="J93">
        <v>348.84</v>
      </c>
      <c r="K93" s="5">
        <f>IF(SalesData[[#This Row],[Total Revenue]]=0,0,SalesData[[#This Row],[Profit]]/SalesData[[#This Row],[Total Revenue]])</f>
        <v>0.17594633445136557</v>
      </c>
      <c r="L93" s="5" t="str">
        <f>TEXT(SalesData[[#This Row],[Date]],"mmm")</f>
        <v>Jan</v>
      </c>
      <c r="M93">
        <f>YEAR(SalesData[[#This Row],[Date]])</f>
        <v>2023</v>
      </c>
      <c r="N93">
        <f>WEEKNUM(SalesData[[#This Row],[Date]])</f>
        <v>1</v>
      </c>
      <c r="O93" t="s">
        <v>2166</v>
      </c>
      <c r="P93" t="s">
        <v>2523</v>
      </c>
      <c r="Q93" t="s">
        <v>2526</v>
      </c>
    </row>
    <row r="94" spans="1:17" x14ac:dyDescent="0.35">
      <c r="A94" t="s">
        <v>119</v>
      </c>
      <c r="B94" s="3">
        <v>45086</v>
      </c>
      <c r="C94" t="s">
        <v>2017</v>
      </c>
      <c r="D94" t="s">
        <v>2026</v>
      </c>
      <c r="E94" s="8">
        <v>2207</v>
      </c>
      <c r="F94">
        <v>1</v>
      </c>
      <c r="G94">
        <v>10</v>
      </c>
      <c r="H94" s="8">
        <v>1986.3</v>
      </c>
      <c r="I94">
        <v>1621.72</v>
      </c>
      <c r="J94">
        <v>364.58</v>
      </c>
      <c r="K94" s="5">
        <f>IF(SalesData[[#This Row],[Total Revenue]]=0,0,SalesData[[#This Row],[Profit]]/SalesData[[#This Row],[Total Revenue]])</f>
        <v>0.18354729899813724</v>
      </c>
      <c r="L94" s="5" t="str">
        <f>TEXT(SalesData[[#This Row],[Date]],"mmm")</f>
        <v>Jun</v>
      </c>
      <c r="M94">
        <f>YEAR(SalesData[[#This Row],[Date]])</f>
        <v>2023</v>
      </c>
      <c r="N94">
        <f>WEEKNUM(SalesData[[#This Row],[Date]])</f>
        <v>23</v>
      </c>
      <c r="O94" t="s">
        <v>2124</v>
      </c>
      <c r="P94" t="s">
        <v>2523</v>
      </c>
      <c r="Q94" t="s">
        <v>2526</v>
      </c>
    </row>
    <row r="95" spans="1:17" x14ac:dyDescent="0.35">
      <c r="A95" t="s">
        <v>1935</v>
      </c>
      <c r="B95" s="3">
        <v>45142</v>
      </c>
      <c r="C95" t="s">
        <v>2021</v>
      </c>
      <c r="D95" t="s">
        <v>2028</v>
      </c>
      <c r="E95" s="8">
        <v>2099</v>
      </c>
      <c r="F95">
        <v>1</v>
      </c>
      <c r="G95">
        <v>5</v>
      </c>
      <c r="H95" s="8">
        <v>1994.05</v>
      </c>
      <c r="I95">
        <v>1659.63</v>
      </c>
      <c r="J95">
        <v>334.42</v>
      </c>
      <c r="K95" s="5">
        <f>IF(SalesData[[#This Row],[Total Revenue]]=0,0,SalesData[[#This Row],[Profit]]/SalesData[[#This Row],[Total Revenue]])</f>
        <v>0.16770893407888468</v>
      </c>
      <c r="L95" s="5" t="str">
        <f>TEXT(SalesData[[#This Row],[Date]],"mmm")</f>
        <v>Aug</v>
      </c>
      <c r="M95">
        <f>YEAR(SalesData[[#This Row],[Date]])</f>
        <v>2023</v>
      </c>
      <c r="N95">
        <f>WEEKNUM(SalesData[[#This Row],[Date]])</f>
        <v>31</v>
      </c>
      <c r="O95" t="s">
        <v>2379</v>
      </c>
      <c r="P95" t="s">
        <v>2522</v>
      </c>
      <c r="Q95" t="s">
        <v>2526</v>
      </c>
    </row>
    <row r="96" spans="1:17" x14ac:dyDescent="0.35">
      <c r="A96" t="s">
        <v>590</v>
      </c>
      <c r="B96" s="3">
        <v>45154</v>
      </c>
      <c r="C96" t="s">
        <v>2015</v>
      </c>
      <c r="D96" t="s">
        <v>2025</v>
      </c>
      <c r="E96" s="8">
        <v>1002</v>
      </c>
      <c r="F96">
        <v>2</v>
      </c>
      <c r="G96">
        <v>0</v>
      </c>
      <c r="H96" s="8">
        <v>2004</v>
      </c>
      <c r="I96">
        <v>745.19</v>
      </c>
      <c r="J96">
        <v>513.61</v>
      </c>
      <c r="K96" s="5">
        <f>IF(SalesData[[#This Row],[Total Revenue]]=0,0,SalesData[[#This Row],[Profit]]/SalesData[[#This Row],[Total Revenue]])</f>
        <v>0.25629241516966067</v>
      </c>
      <c r="L96" s="5" t="str">
        <f>TEXT(SalesData[[#This Row],[Date]],"mmm")</f>
        <v>Aug</v>
      </c>
      <c r="M96">
        <f>YEAR(SalesData[[#This Row],[Date]])</f>
        <v>2023</v>
      </c>
      <c r="N96">
        <f>WEEKNUM(SalesData[[#This Row],[Date]])</f>
        <v>33</v>
      </c>
      <c r="O96" t="s">
        <v>2168</v>
      </c>
      <c r="P96" t="s">
        <v>2523</v>
      </c>
      <c r="Q96" t="s">
        <v>2526</v>
      </c>
    </row>
    <row r="97" spans="1:17" x14ac:dyDescent="0.35">
      <c r="A97" t="s">
        <v>1347</v>
      </c>
      <c r="B97" s="3">
        <v>44978</v>
      </c>
      <c r="C97" t="s">
        <v>2013</v>
      </c>
      <c r="D97" t="s">
        <v>2023</v>
      </c>
      <c r="E97" s="8">
        <v>2110</v>
      </c>
      <c r="F97">
        <v>1</v>
      </c>
      <c r="G97">
        <v>5</v>
      </c>
      <c r="H97" s="8">
        <v>2004.5</v>
      </c>
      <c r="I97">
        <v>1105.24</v>
      </c>
      <c r="J97">
        <v>899.26</v>
      </c>
      <c r="K97" s="5">
        <f>IF(SalesData[[#This Row],[Total Revenue]]=0,0,SalesData[[#This Row],[Profit]]/SalesData[[#This Row],[Total Revenue]])</f>
        <v>0.44862060364180595</v>
      </c>
      <c r="L97" s="5" t="str">
        <f>TEXT(SalesData[[#This Row],[Date]],"mmm")</f>
        <v>Feb</v>
      </c>
      <c r="M97">
        <f>YEAR(SalesData[[#This Row],[Date]])</f>
        <v>2023</v>
      </c>
      <c r="N97">
        <f>WEEKNUM(SalesData[[#This Row],[Date]])</f>
        <v>8</v>
      </c>
      <c r="O97" t="s">
        <v>2162</v>
      </c>
      <c r="P97" t="s">
        <v>2523</v>
      </c>
      <c r="Q97" t="s">
        <v>2525</v>
      </c>
    </row>
    <row r="98" spans="1:17" x14ac:dyDescent="0.35">
      <c r="A98" t="s">
        <v>1180</v>
      </c>
      <c r="B98" s="3">
        <v>44927</v>
      </c>
      <c r="C98" t="s">
        <v>2017</v>
      </c>
      <c r="D98" t="s">
        <v>2026</v>
      </c>
      <c r="E98" s="8">
        <v>1005</v>
      </c>
      <c r="F98">
        <v>2</v>
      </c>
      <c r="G98">
        <v>0</v>
      </c>
      <c r="H98" s="8">
        <v>2010</v>
      </c>
      <c r="I98">
        <v>585.17999999999995</v>
      </c>
      <c r="J98">
        <v>839.64</v>
      </c>
      <c r="K98" s="5">
        <f>IF(SalesData[[#This Row],[Total Revenue]]=0,0,SalesData[[#This Row],[Profit]]/SalesData[[#This Row],[Total Revenue]])</f>
        <v>0.41773134328358208</v>
      </c>
      <c r="L98" s="5" t="str">
        <f>TEXT(SalesData[[#This Row],[Date]],"mmm")</f>
        <v>Jan</v>
      </c>
      <c r="M98">
        <f>YEAR(SalesData[[#This Row],[Date]])</f>
        <v>2023</v>
      </c>
      <c r="N98">
        <f>WEEKNUM(SalesData[[#This Row],[Date]])</f>
        <v>1</v>
      </c>
      <c r="O98" t="s">
        <v>2378</v>
      </c>
      <c r="P98" t="s">
        <v>2522</v>
      </c>
      <c r="Q98" t="s">
        <v>2527</v>
      </c>
    </row>
    <row r="99" spans="1:17" x14ac:dyDescent="0.35">
      <c r="A99" t="s">
        <v>527</v>
      </c>
      <c r="B99" s="3">
        <v>45184</v>
      </c>
      <c r="C99" t="s">
        <v>2013</v>
      </c>
      <c r="D99" t="s">
        <v>2023</v>
      </c>
      <c r="E99" s="8">
        <v>2133</v>
      </c>
      <c r="F99">
        <v>1</v>
      </c>
      <c r="G99">
        <v>5</v>
      </c>
      <c r="H99" s="8">
        <v>2026.35</v>
      </c>
      <c r="I99">
        <v>1242.42</v>
      </c>
      <c r="J99">
        <v>783.93</v>
      </c>
      <c r="K99" s="5">
        <f>IF(SalesData[[#This Row],[Total Revenue]]=0,0,SalesData[[#This Row],[Profit]]/SalesData[[#This Row],[Total Revenue]])</f>
        <v>0.38686801391664816</v>
      </c>
      <c r="L99" s="5" t="str">
        <f>TEXT(SalesData[[#This Row],[Date]],"mmm")</f>
        <v>Sep</v>
      </c>
      <c r="M99">
        <f>YEAR(SalesData[[#This Row],[Date]])</f>
        <v>2023</v>
      </c>
      <c r="N99">
        <f>WEEKNUM(SalesData[[#This Row],[Date]])</f>
        <v>37</v>
      </c>
      <c r="O99" t="s">
        <v>2320</v>
      </c>
      <c r="P99" t="s">
        <v>2523</v>
      </c>
      <c r="Q99" t="s">
        <v>2524</v>
      </c>
    </row>
    <row r="100" spans="1:17" x14ac:dyDescent="0.35">
      <c r="A100" t="s">
        <v>313</v>
      </c>
      <c r="B100" s="3">
        <v>45020</v>
      </c>
      <c r="C100" t="s">
        <v>2019</v>
      </c>
      <c r="D100" t="s">
        <v>2027</v>
      </c>
      <c r="E100" s="8">
        <v>1193</v>
      </c>
      <c r="F100">
        <v>2</v>
      </c>
      <c r="G100">
        <v>15</v>
      </c>
      <c r="H100" s="8">
        <v>2028.1</v>
      </c>
      <c r="I100">
        <v>828.58</v>
      </c>
      <c r="J100">
        <v>370.94</v>
      </c>
      <c r="K100" s="5">
        <f>IF(SalesData[[#This Row],[Total Revenue]]=0,0,SalesData[[#This Row],[Profit]]/SalesData[[#This Row],[Total Revenue]])</f>
        <v>0.18290025146689021</v>
      </c>
      <c r="L100" s="5" t="str">
        <f>TEXT(SalesData[[#This Row],[Date]],"mmm")</f>
        <v>Apr</v>
      </c>
      <c r="M100">
        <f>YEAR(SalesData[[#This Row],[Date]])</f>
        <v>2023</v>
      </c>
      <c r="N100">
        <f>WEEKNUM(SalesData[[#This Row],[Date]])</f>
        <v>14</v>
      </c>
      <c r="O100" t="s">
        <v>2254</v>
      </c>
      <c r="P100" t="s">
        <v>2522</v>
      </c>
      <c r="Q100" t="s">
        <v>2525</v>
      </c>
    </row>
    <row r="101" spans="1:17" x14ac:dyDescent="0.35">
      <c r="A101" t="s">
        <v>541</v>
      </c>
      <c r="B101" s="3">
        <v>44931</v>
      </c>
      <c r="C101" t="s">
        <v>2017</v>
      </c>
      <c r="D101" t="s">
        <v>2026</v>
      </c>
      <c r="E101" s="8">
        <v>1128</v>
      </c>
      <c r="F101">
        <v>2</v>
      </c>
      <c r="G101">
        <v>10</v>
      </c>
      <c r="H101" s="8">
        <v>2030.4</v>
      </c>
      <c r="I101">
        <v>711.83</v>
      </c>
      <c r="J101">
        <v>606.74</v>
      </c>
      <c r="K101" s="5">
        <f>IF(SalesData[[#This Row],[Total Revenue]]=0,0,SalesData[[#This Row],[Profit]]/SalesData[[#This Row],[Total Revenue]])</f>
        <v>0.29882781717888102</v>
      </c>
      <c r="L101" s="5" t="str">
        <f>TEXT(SalesData[[#This Row],[Date]],"mmm")</f>
        <v>Jan</v>
      </c>
      <c r="M101">
        <f>YEAR(SalesData[[#This Row],[Date]])</f>
        <v>2023</v>
      </c>
      <c r="N101">
        <f>WEEKNUM(SalesData[[#This Row],[Date]])</f>
        <v>1</v>
      </c>
      <c r="O101" t="s">
        <v>2285</v>
      </c>
      <c r="P101" t="s">
        <v>2522</v>
      </c>
      <c r="Q101" t="s">
        <v>2524</v>
      </c>
    </row>
    <row r="102" spans="1:17" x14ac:dyDescent="0.35">
      <c r="A102" t="s">
        <v>2012</v>
      </c>
      <c r="B102" s="3">
        <v>45157</v>
      </c>
      <c r="C102" t="s">
        <v>2020</v>
      </c>
      <c r="D102" t="s">
        <v>2028</v>
      </c>
      <c r="E102" s="8">
        <v>2256</v>
      </c>
      <c r="F102">
        <v>1</v>
      </c>
      <c r="G102">
        <v>10</v>
      </c>
      <c r="H102" s="8">
        <v>2030.4</v>
      </c>
      <c r="I102">
        <v>1547.84</v>
      </c>
      <c r="J102">
        <v>482.56</v>
      </c>
      <c r="K102" s="5">
        <f>IF(SalesData[[#This Row],[Total Revenue]]=0,0,SalesData[[#This Row],[Profit]]/SalesData[[#This Row],[Total Revenue]])</f>
        <v>0.23766745468873127</v>
      </c>
      <c r="L102" s="5" t="str">
        <f>TEXT(SalesData[[#This Row],[Date]],"mmm")</f>
        <v>Aug</v>
      </c>
      <c r="M102">
        <f>YEAR(SalesData[[#This Row],[Date]])</f>
        <v>2023</v>
      </c>
      <c r="N102">
        <f>WEEKNUM(SalesData[[#This Row],[Date]])</f>
        <v>33</v>
      </c>
      <c r="O102" t="s">
        <v>2349</v>
      </c>
      <c r="P102" t="s">
        <v>2523</v>
      </c>
      <c r="Q102" t="s">
        <v>2524</v>
      </c>
    </row>
    <row r="103" spans="1:17" x14ac:dyDescent="0.35">
      <c r="A103" t="s">
        <v>1186</v>
      </c>
      <c r="B103" s="3">
        <v>45257</v>
      </c>
      <c r="C103" t="s">
        <v>2019</v>
      </c>
      <c r="D103" t="s">
        <v>2027</v>
      </c>
      <c r="E103" s="8">
        <v>1069</v>
      </c>
      <c r="F103">
        <v>2</v>
      </c>
      <c r="G103">
        <v>5</v>
      </c>
      <c r="H103" s="8">
        <v>2031.1</v>
      </c>
      <c r="I103">
        <v>690.91</v>
      </c>
      <c r="J103">
        <v>649.28</v>
      </c>
      <c r="K103" s="5">
        <f>IF(SalesData[[#This Row],[Total Revenue]]=0,0,SalesData[[#This Row],[Profit]]/SalesData[[#This Row],[Total Revenue]])</f>
        <v>0.3196691447983851</v>
      </c>
      <c r="L103" s="5" t="str">
        <f>TEXT(SalesData[[#This Row],[Date]],"mmm")</f>
        <v>Nov</v>
      </c>
      <c r="M103">
        <f>YEAR(SalesData[[#This Row],[Date]])</f>
        <v>2023</v>
      </c>
      <c r="N103">
        <f>WEEKNUM(SalesData[[#This Row],[Date]])</f>
        <v>48</v>
      </c>
      <c r="O103" t="s">
        <v>2053</v>
      </c>
      <c r="P103" t="s">
        <v>2523</v>
      </c>
      <c r="Q103" t="s">
        <v>2527</v>
      </c>
    </row>
    <row r="104" spans="1:17" x14ac:dyDescent="0.35">
      <c r="A104" t="s">
        <v>1936</v>
      </c>
      <c r="B104" s="3">
        <v>45035</v>
      </c>
      <c r="C104" t="s">
        <v>2018</v>
      </c>
      <c r="D104" t="s">
        <v>2026</v>
      </c>
      <c r="E104" s="8">
        <v>1072</v>
      </c>
      <c r="F104">
        <v>2</v>
      </c>
      <c r="G104">
        <v>5</v>
      </c>
      <c r="H104" s="8">
        <v>2036.8</v>
      </c>
      <c r="I104">
        <v>654.36</v>
      </c>
      <c r="J104">
        <v>728.08</v>
      </c>
      <c r="K104" s="5">
        <f>IF(SalesData[[#This Row],[Total Revenue]]=0,0,SalesData[[#This Row],[Profit]]/SalesData[[#This Row],[Total Revenue]])</f>
        <v>0.35746268656716423</v>
      </c>
      <c r="L104" s="5" t="str">
        <f>TEXT(SalesData[[#This Row],[Date]],"mmm")</f>
        <v>Apr</v>
      </c>
      <c r="M104">
        <f>YEAR(SalesData[[#This Row],[Date]])</f>
        <v>2023</v>
      </c>
      <c r="N104">
        <f>WEEKNUM(SalesData[[#This Row],[Date]])</f>
        <v>16</v>
      </c>
      <c r="O104" t="s">
        <v>2311</v>
      </c>
      <c r="P104" t="s">
        <v>2523</v>
      </c>
      <c r="Q104" t="s">
        <v>2525</v>
      </c>
    </row>
    <row r="105" spans="1:17" x14ac:dyDescent="0.35">
      <c r="A105" t="s">
        <v>522</v>
      </c>
      <c r="B105" s="3">
        <v>45083</v>
      </c>
      <c r="C105" t="s">
        <v>2016</v>
      </c>
      <c r="D105" t="s">
        <v>2025</v>
      </c>
      <c r="E105" s="8">
        <v>2071</v>
      </c>
      <c r="F105">
        <v>1</v>
      </c>
      <c r="G105">
        <v>0</v>
      </c>
      <c r="H105" s="8">
        <v>2071</v>
      </c>
      <c r="I105">
        <v>1143</v>
      </c>
      <c r="J105">
        <v>928</v>
      </c>
      <c r="K105" s="5">
        <f>IF(SalesData[[#This Row],[Total Revenue]]=0,0,SalesData[[#This Row],[Profit]]/SalesData[[#This Row],[Total Revenue]])</f>
        <v>0.44809270883631097</v>
      </c>
      <c r="L105" s="5" t="str">
        <f>TEXT(SalesData[[#This Row],[Date]],"mmm")</f>
        <v>Jun</v>
      </c>
      <c r="M105">
        <f>YEAR(SalesData[[#This Row],[Date]])</f>
        <v>2023</v>
      </c>
      <c r="N105">
        <f>WEEKNUM(SalesData[[#This Row],[Date]])</f>
        <v>23</v>
      </c>
      <c r="O105" t="s">
        <v>2344</v>
      </c>
      <c r="P105" t="s">
        <v>2523</v>
      </c>
      <c r="Q105" t="s">
        <v>2527</v>
      </c>
    </row>
    <row r="106" spans="1:17" x14ac:dyDescent="0.35">
      <c r="A106" t="s">
        <v>1383</v>
      </c>
      <c r="B106" s="3">
        <v>45194</v>
      </c>
      <c r="C106" t="s">
        <v>2018</v>
      </c>
      <c r="D106" t="s">
        <v>2026</v>
      </c>
      <c r="E106" s="8">
        <v>2085</v>
      </c>
      <c r="F106">
        <v>1</v>
      </c>
      <c r="G106">
        <v>0</v>
      </c>
      <c r="H106" s="8">
        <v>2085</v>
      </c>
      <c r="I106">
        <v>1045.25</v>
      </c>
      <c r="J106">
        <v>1039.75</v>
      </c>
      <c r="K106" s="5">
        <f>IF(SalesData[[#This Row],[Total Revenue]]=0,0,SalesData[[#This Row],[Profit]]/SalesData[[#This Row],[Total Revenue]])</f>
        <v>0.4986810551558753</v>
      </c>
      <c r="L106" s="5" t="str">
        <f>TEXT(SalesData[[#This Row],[Date]],"mmm")</f>
        <v>Sep</v>
      </c>
      <c r="M106">
        <f>YEAR(SalesData[[#This Row],[Date]])</f>
        <v>2023</v>
      </c>
      <c r="N106">
        <f>WEEKNUM(SalesData[[#This Row],[Date]])</f>
        <v>39</v>
      </c>
      <c r="O106" t="s">
        <v>2289</v>
      </c>
      <c r="P106" t="s">
        <v>2522</v>
      </c>
      <c r="Q106" t="s">
        <v>2524</v>
      </c>
    </row>
    <row r="107" spans="1:17" x14ac:dyDescent="0.35">
      <c r="A107" t="s">
        <v>326</v>
      </c>
      <c r="B107" s="3">
        <v>45081</v>
      </c>
      <c r="C107" t="s">
        <v>2020</v>
      </c>
      <c r="D107" t="s">
        <v>2028</v>
      </c>
      <c r="E107" s="8">
        <v>1111</v>
      </c>
      <c r="F107">
        <v>2</v>
      </c>
      <c r="G107">
        <v>5</v>
      </c>
      <c r="H107" s="8">
        <v>2110.9</v>
      </c>
      <c r="I107">
        <v>840.19</v>
      </c>
      <c r="J107">
        <v>430.52</v>
      </c>
      <c r="K107" s="5">
        <f>IF(SalesData[[#This Row],[Total Revenue]]=0,0,SalesData[[#This Row],[Profit]]/SalesData[[#This Row],[Total Revenue]])</f>
        <v>0.20395092140793025</v>
      </c>
      <c r="L107" s="5" t="str">
        <f>TEXT(SalesData[[#This Row],[Date]],"mmm")</f>
        <v>Jun</v>
      </c>
      <c r="M107">
        <f>YEAR(SalesData[[#This Row],[Date]])</f>
        <v>2023</v>
      </c>
      <c r="N107">
        <f>WEEKNUM(SalesData[[#This Row],[Date]])</f>
        <v>23</v>
      </c>
      <c r="O107" t="s">
        <v>2261</v>
      </c>
      <c r="P107" t="s">
        <v>2522</v>
      </c>
      <c r="Q107" t="s">
        <v>2525</v>
      </c>
    </row>
    <row r="108" spans="1:17" x14ac:dyDescent="0.35">
      <c r="A108" t="s">
        <v>166</v>
      </c>
      <c r="B108" s="3">
        <v>45066</v>
      </c>
      <c r="C108" t="s">
        <v>2015</v>
      </c>
      <c r="D108" t="s">
        <v>2025</v>
      </c>
      <c r="E108" s="8">
        <v>1247</v>
      </c>
      <c r="F108">
        <v>2</v>
      </c>
      <c r="G108">
        <v>15</v>
      </c>
      <c r="H108" s="8">
        <v>2119.9</v>
      </c>
      <c r="I108">
        <v>688.51</v>
      </c>
      <c r="J108">
        <v>742.89</v>
      </c>
      <c r="K108" s="5">
        <f>IF(SalesData[[#This Row],[Total Revenue]]=0,0,SalesData[[#This Row],[Profit]]/SalesData[[#This Row],[Total Revenue]])</f>
        <v>0.35043634133685547</v>
      </c>
      <c r="L108" s="5" t="str">
        <f>TEXT(SalesData[[#This Row],[Date]],"mmm")</f>
        <v>May</v>
      </c>
      <c r="M108">
        <f>YEAR(SalesData[[#This Row],[Date]])</f>
        <v>2023</v>
      </c>
      <c r="N108">
        <f>WEEKNUM(SalesData[[#This Row],[Date]])</f>
        <v>20</v>
      </c>
      <c r="O108" t="s">
        <v>2164</v>
      </c>
      <c r="P108" t="s">
        <v>2522</v>
      </c>
      <c r="Q108" t="s">
        <v>2526</v>
      </c>
    </row>
    <row r="109" spans="1:17" x14ac:dyDescent="0.35">
      <c r="A109" t="s">
        <v>796</v>
      </c>
      <c r="B109" s="3">
        <v>45232</v>
      </c>
      <c r="C109" t="s">
        <v>2015</v>
      </c>
      <c r="D109" t="s">
        <v>2025</v>
      </c>
      <c r="E109" s="8">
        <v>2360</v>
      </c>
      <c r="F109">
        <v>1</v>
      </c>
      <c r="G109">
        <v>10</v>
      </c>
      <c r="H109" s="8">
        <v>2124</v>
      </c>
      <c r="I109">
        <v>1500.96</v>
      </c>
      <c r="J109">
        <v>623.04</v>
      </c>
      <c r="K109" s="5">
        <f>IF(SalesData[[#This Row],[Total Revenue]]=0,0,SalesData[[#This Row],[Profit]]/SalesData[[#This Row],[Total Revenue]])</f>
        <v>0.29333333333333333</v>
      </c>
      <c r="L109" s="5" t="str">
        <f>TEXT(SalesData[[#This Row],[Date]],"mmm")</f>
        <v>Nov</v>
      </c>
      <c r="M109">
        <f>YEAR(SalesData[[#This Row],[Date]])</f>
        <v>2023</v>
      </c>
      <c r="N109">
        <f>WEEKNUM(SalesData[[#This Row],[Date]])</f>
        <v>44</v>
      </c>
      <c r="O109" t="s">
        <v>2044</v>
      </c>
      <c r="P109" t="s">
        <v>2522</v>
      </c>
      <c r="Q109" t="s">
        <v>2524</v>
      </c>
    </row>
    <row r="110" spans="1:17" x14ac:dyDescent="0.35">
      <c r="A110" t="s">
        <v>747</v>
      </c>
      <c r="B110" s="3">
        <v>45263</v>
      </c>
      <c r="C110" t="s">
        <v>2019</v>
      </c>
      <c r="D110" t="s">
        <v>2027</v>
      </c>
      <c r="E110" s="8">
        <v>2499</v>
      </c>
      <c r="F110">
        <v>1</v>
      </c>
      <c r="G110">
        <v>15</v>
      </c>
      <c r="H110" s="8">
        <v>2124.15</v>
      </c>
      <c r="I110">
        <v>1272.47</v>
      </c>
      <c r="J110">
        <v>851.68</v>
      </c>
      <c r="K110" s="5">
        <f>IF(SalesData[[#This Row],[Total Revenue]]=0,0,SalesData[[#This Row],[Profit]]/SalesData[[#This Row],[Total Revenue]])</f>
        <v>0.40095096862274315</v>
      </c>
      <c r="L110" s="5" t="str">
        <f>TEXT(SalesData[[#This Row],[Date]],"mmm")</f>
        <v>Dec</v>
      </c>
      <c r="M110">
        <f>YEAR(SalesData[[#This Row],[Date]])</f>
        <v>2023</v>
      </c>
      <c r="N110">
        <f>WEEKNUM(SalesData[[#This Row],[Date]])</f>
        <v>49</v>
      </c>
      <c r="O110" t="s">
        <v>2410</v>
      </c>
      <c r="P110" t="s">
        <v>2522</v>
      </c>
      <c r="Q110" t="s">
        <v>2527</v>
      </c>
    </row>
    <row r="111" spans="1:17" x14ac:dyDescent="0.35">
      <c r="A111" t="s">
        <v>289</v>
      </c>
      <c r="B111" s="3">
        <v>45010</v>
      </c>
      <c r="C111" t="s">
        <v>2016</v>
      </c>
      <c r="D111" t="s">
        <v>2025</v>
      </c>
      <c r="E111" s="8">
        <v>1185</v>
      </c>
      <c r="F111">
        <v>2</v>
      </c>
      <c r="G111">
        <v>10</v>
      </c>
      <c r="H111" s="8">
        <v>2133</v>
      </c>
      <c r="I111">
        <v>664.58</v>
      </c>
      <c r="J111">
        <v>803.85</v>
      </c>
      <c r="K111" s="5">
        <f>IF(SalesData[[#This Row],[Total Revenue]]=0,0,SalesData[[#This Row],[Profit]]/SalesData[[#This Row],[Total Revenue]])</f>
        <v>0.37686357243319268</v>
      </c>
      <c r="L111" s="5" t="str">
        <f>TEXT(SalesData[[#This Row],[Date]],"mmm")</f>
        <v>Mar</v>
      </c>
      <c r="M111">
        <f>YEAR(SalesData[[#This Row],[Date]])</f>
        <v>2023</v>
      </c>
      <c r="N111">
        <f>WEEKNUM(SalesData[[#This Row],[Date]])</f>
        <v>12</v>
      </c>
      <c r="O111" t="s">
        <v>2239</v>
      </c>
      <c r="P111" t="s">
        <v>2522</v>
      </c>
      <c r="Q111" t="s">
        <v>2525</v>
      </c>
    </row>
    <row r="112" spans="1:17" x14ac:dyDescent="0.35">
      <c r="A112" t="s">
        <v>754</v>
      </c>
      <c r="B112" s="3">
        <v>45024</v>
      </c>
      <c r="C112" t="s">
        <v>2022</v>
      </c>
      <c r="D112" t="s">
        <v>2024</v>
      </c>
      <c r="E112" s="8">
        <v>2255</v>
      </c>
      <c r="F112">
        <v>1</v>
      </c>
      <c r="G112">
        <v>5</v>
      </c>
      <c r="H112" s="8">
        <v>2142.25</v>
      </c>
      <c r="I112">
        <v>1483.55</v>
      </c>
      <c r="J112">
        <v>658.7</v>
      </c>
      <c r="K112" s="5">
        <f>IF(SalesData[[#This Row],[Total Revenue]]=0,0,SalesData[[#This Row],[Profit]]/SalesData[[#This Row],[Total Revenue]])</f>
        <v>0.30748045279495861</v>
      </c>
      <c r="L112" s="5" t="str">
        <f>TEXT(SalesData[[#This Row],[Date]],"mmm")</f>
        <v>Apr</v>
      </c>
      <c r="M112">
        <f>YEAR(SalesData[[#This Row],[Date]])</f>
        <v>2023</v>
      </c>
      <c r="N112">
        <f>WEEKNUM(SalesData[[#This Row],[Date]])</f>
        <v>14</v>
      </c>
      <c r="O112" t="s">
        <v>2245</v>
      </c>
      <c r="P112" t="s">
        <v>2522</v>
      </c>
      <c r="Q112" t="s">
        <v>2525</v>
      </c>
    </row>
    <row r="113" spans="1:17" x14ac:dyDescent="0.35">
      <c r="A113" t="s">
        <v>1899</v>
      </c>
      <c r="B113" s="3">
        <v>44983</v>
      </c>
      <c r="C113" t="s">
        <v>2020</v>
      </c>
      <c r="D113" t="s">
        <v>2028</v>
      </c>
      <c r="E113" s="8">
        <v>2548</v>
      </c>
      <c r="F113">
        <v>1</v>
      </c>
      <c r="G113">
        <v>15</v>
      </c>
      <c r="H113" s="8">
        <v>2165.8000000000002</v>
      </c>
      <c r="I113">
        <v>1707.12</v>
      </c>
      <c r="J113">
        <v>458.68</v>
      </c>
      <c r="K113" s="5">
        <f>IF(SalesData[[#This Row],[Total Revenue]]=0,0,SalesData[[#This Row],[Profit]]/SalesData[[#This Row],[Total Revenue]])</f>
        <v>0.21178317480838488</v>
      </c>
      <c r="L113" s="5" t="str">
        <f>TEXT(SalesData[[#This Row],[Date]],"mmm")</f>
        <v>Feb</v>
      </c>
      <c r="M113">
        <f>YEAR(SalesData[[#This Row],[Date]])</f>
        <v>2023</v>
      </c>
      <c r="N113">
        <f>WEEKNUM(SalesData[[#This Row],[Date]])</f>
        <v>9</v>
      </c>
      <c r="O113" t="s">
        <v>2430</v>
      </c>
      <c r="P113" t="s">
        <v>2522</v>
      </c>
      <c r="Q113" t="s">
        <v>2524</v>
      </c>
    </row>
    <row r="114" spans="1:17" x14ac:dyDescent="0.35">
      <c r="A114" t="s">
        <v>1847</v>
      </c>
      <c r="B114" s="3">
        <v>44931</v>
      </c>
      <c r="C114" t="s">
        <v>2019</v>
      </c>
      <c r="D114" t="s">
        <v>2027</v>
      </c>
      <c r="E114" s="8">
        <v>1216</v>
      </c>
      <c r="F114">
        <v>2</v>
      </c>
      <c r="G114">
        <v>10</v>
      </c>
      <c r="H114" s="8">
        <v>2188.8000000000002</v>
      </c>
      <c r="I114">
        <v>677.14</v>
      </c>
      <c r="J114">
        <v>834.52</v>
      </c>
      <c r="K114" s="5">
        <f>IF(SalesData[[#This Row],[Total Revenue]]=0,0,SalesData[[#This Row],[Profit]]/SalesData[[#This Row],[Total Revenue]])</f>
        <v>0.3812682748538011</v>
      </c>
      <c r="L114" s="5" t="str">
        <f>TEXT(SalesData[[#This Row],[Date]],"mmm")</f>
        <v>Jan</v>
      </c>
      <c r="M114">
        <f>YEAR(SalesData[[#This Row],[Date]])</f>
        <v>2023</v>
      </c>
      <c r="N114">
        <f>WEEKNUM(SalesData[[#This Row],[Date]])</f>
        <v>1</v>
      </c>
      <c r="O114" t="s">
        <v>2516</v>
      </c>
      <c r="P114" t="s">
        <v>2522</v>
      </c>
      <c r="Q114" t="s">
        <v>2526</v>
      </c>
    </row>
    <row r="115" spans="1:17" x14ac:dyDescent="0.35">
      <c r="A115" t="s">
        <v>782</v>
      </c>
      <c r="B115" s="3">
        <v>45187</v>
      </c>
      <c r="C115" t="s">
        <v>2015</v>
      </c>
      <c r="D115" t="s">
        <v>2025</v>
      </c>
      <c r="E115" s="8">
        <v>2206</v>
      </c>
      <c r="F115">
        <v>1</v>
      </c>
      <c r="G115">
        <v>0</v>
      </c>
      <c r="H115" s="8">
        <v>2206</v>
      </c>
      <c r="I115">
        <v>1323.88</v>
      </c>
      <c r="J115">
        <v>882.12</v>
      </c>
      <c r="K115" s="5">
        <f>IF(SalesData[[#This Row],[Total Revenue]]=0,0,SalesData[[#This Row],[Profit]]/SalesData[[#This Row],[Total Revenue]])</f>
        <v>0.39987307343608341</v>
      </c>
      <c r="L115" s="5" t="str">
        <f>TEXT(SalesData[[#This Row],[Date]],"mmm")</f>
        <v>Sep</v>
      </c>
      <c r="M115">
        <f>YEAR(SalesData[[#This Row],[Date]])</f>
        <v>2023</v>
      </c>
      <c r="N115">
        <f>WEEKNUM(SalesData[[#This Row],[Date]])</f>
        <v>38</v>
      </c>
      <c r="O115" t="s">
        <v>2419</v>
      </c>
      <c r="P115" t="s">
        <v>2523</v>
      </c>
      <c r="Q115" t="s">
        <v>2527</v>
      </c>
    </row>
    <row r="116" spans="1:17" x14ac:dyDescent="0.35">
      <c r="A116" t="s">
        <v>164</v>
      </c>
      <c r="B116" s="3">
        <v>45062</v>
      </c>
      <c r="C116" t="s">
        <v>2017</v>
      </c>
      <c r="D116" t="s">
        <v>2026</v>
      </c>
      <c r="E116" s="8">
        <v>2209</v>
      </c>
      <c r="F116">
        <v>1</v>
      </c>
      <c r="G116">
        <v>0</v>
      </c>
      <c r="H116" s="8">
        <v>2209</v>
      </c>
      <c r="I116">
        <v>1118.1300000000001</v>
      </c>
      <c r="J116">
        <v>1090.8699999999999</v>
      </c>
      <c r="K116" s="5">
        <f>IF(SalesData[[#This Row],[Total Revenue]]=0,0,SalesData[[#This Row],[Profit]]/SalesData[[#This Row],[Total Revenue]])</f>
        <v>0.49382978723404253</v>
      </c>
      <c r="L116" s="5" t="str">
        <f>TEXT(SalesData[[#This Row],[Date]],"mmm")</f>
        <v>May</v>
      </c>
      <c r="M116">
        <f>YEAR(SalesData[[#This Row],[Date]])</f>
        <v>2023</v>
      </c>
      <c r="N116">
        <f>WEEKNUM(SalesData[[#This Row],[Date]])</f>
        <v>20</v>
      </c>
      <c r="O116" t="s">
        <v>2162</v>
      </c>
      <c r="P116" t="s">
        <v>2522</v>
      </c>
      <c r="Q116" t="s">
        <v>2526</v>
      </c>
    </row>
    <row r="117" spans="1:17" x14ac:dyDescent="0.35">
      <c r="A117" t="s">
        <v>1028</v>
      </c>
      <c r="B117" s="3">
        <v>45197</v>
      </c>
      <c r="C117" t="s">
        <v>2016</v>
      </c>
      <c r="D117" t="s">
        <v>2025</v>
      </c>
      <c r="E117" s="8">
        <v>2621</v>
      </c>
      <c r="F117">
        <v>1</v>
      </c>
      <c r="G117">
        <v>15</v>
      </c>
      <c r="H117" s="8">
        <v>2227.85</v>
      </c>
      <c r="I117">
        <v>1764.46</v>
      </c>
      <c r="J117">
        <v>463.39</v>
      </c>
      <c r="K117" s="5">
        <f>IF(SalesData[[#This Row],[Total Revenue]]=0,0,SalesData[[#This Row],[Profit]]/SalesData[[#This Row],[Total Revenue]])</f>
        <v>0.20799874318288933</v>
      </c>
      <c r="L117" s="5" t="str">
        <f>TEXT(SalesData[[#This Row],[Date]],"mmm")</f>
        <v>Sep</v>
      </c>
      <c r="M117">
        <f>YEAR(SalesData[[#This Row],[Date]])</f>
        <v>2023</v>
      </c>
      <c r="N117">
        <f>WEEKNUM(SalesData[[#This Row],[Date]])</f>
        <v>39</v>
      </c>
      <c r="O117" t="s">
        <v>2177</v>
      </c>
      <c r="P117" t="s">
        <v>2522</v>
      </c>
      <c r="Q117" t="s">
        <v>2526</v>
      </c>
    </row>
    <row r="118" spans="1:17" x14ac:dyDescent="0.35">
      <c r="A118" t="s">
        <v>328</v>
      </c>
      <c r="B118" s="3">
        <v>45163</v>
      </c>
      <c r="C118" t="s">
        <v>2018</v>
      </c>
      <c r="D118" t="s">
        <v>2026</v>
      </c>
      <c r="E118" s="8">
        <v>2631</v>
      </c>
      <c r="F118">
        <v>1</v>
      </c>
      <c r="G118">
        <v>15</v>
      </c>
      <c r="H118" s="8">
        <v>2236.35</v>
      </c>
      <c r="I118">
        <v>1783.98</v>
      </c>
      <c r="J118">
        <v>452.37</v>
      </c>
      <c r="K118" s="5">
        <f>IF(SalesData[[#This Row],[Total Revenue]]=0,0,SalesData[[#This Row],[Profit]]/SalesData[[#This Row],[Total Revenue]])</f>
        <v>0.20228050171037629</v>
      </c>
      <c r="L118" s="5" t="str">
        <f>TEXT(SalesData[[#This Row],[Date]],"mmm")</f>
        <v>Aug</v>
      </c>
      <c r="M118">
        <f>YEAR(SalesData[[#This Row],[Date]])</f>
        <v>2023</v>
      </c>
      <c r="N118">
        <f>WEEKNUM(SalesData[[#This Row],[Date]])</f>
        <v>34</v>
      </c>
      <c r="O118" t="s">
        <v>2263</v>
      </c>
      <c r="P118" t="s">
        <v>2523</v>
      </c>
      <c r="Q118" t="s">
        <v>2527</v>
      </c>
    </row>
    <row r="119" spans="1:17" x14ac:dyDescent="0.35">
      <c r="A119" t="s">
        <v>1348</v>
      </c>
      <c r="B119" s="3">
        <v>45072</v>
      </c>
      <c r="C119" t="s">
        <v>2018</v>
      </c>
      <c r="D119" t="s">
        <v>2026</v>
      </c>
      <c r="E119" s="8">
        <v>2489</v>
      </c>
      <c r="F119">
        <v>1</v>
      </c>
      <c r="G119">
        <v>10</v>
      </c>
      <c r="H119" s="8">
        <v>2240.1</v>
      </c>
      <c r="I119">
        <v>1555.55</v>
      </c>
      <c r="J119">
        <v>684.55</v>
      </c>
      <c r="K119" s="5">
        <f>IF(SalesData[[#This Row],[Total Revenue]]=0,0,SalesData[[#This Row],[Profit]]/SalesData[[#This Row],[Total Revenue]])</f>
        <v>0.30558903620374089</v>
      </c>
      <c r="L119" s="5" t="str">
        <f>TEXT(SalesData[[#This Row],[Date]],"mmm")</f>
        <v>May</v>
      </c>
      <c r="M119">
        <f>YEAR(SalesData[[#This Row],[Date]])</f>
        <v>2023</v>
      </c>
      <c r="N119">
        <f>WEEKNUM(SalesData[[#This Row],[Date]])</f>
        <v>21</v>
      </c>
      <c r="O119" t="s">
        <v>2363</v>
      </c>
      <c r="P119" t="s">
        <v>2522</v>
      </c>
      <c r="Q119" t="s">
        <v>2526</v>
      </c>
    </row>
    <row r="120" spans="1:17" x14ac:dyDescent="0.35">
      <c r="A120" t="s">
        <v>1959</v>
      </c>
      <c r="B120" s="3">
        <v>44933</v>
      </c>
      <c r="C120" t="s">
        <v>2021</v>
      </c>
      <c r="D120" t="s">
        <v>2028</v>
      </c>
      <c r="E120" s="8">
        <v>2489</v>
      </c>
      <c r="F120">
        <v>1</v>
      </c>
      <c r="G120">
        <v>10</v>
      </c>
      <c r="H120" s="8">
        <v>2240.1</v>
      </c>
      <c r="I120">
        <v>1757.18</v>
      </c>
      <c r="J120">
        <v>482.92</v>
      </c>
      <c r="K120" s="5">
        <f>IF(SalesData[[#This Row],[Total Revenue]]=0,0,SalesData[[#This Row],[Profit]]/SalesData[[#This Row],[Total Revenue]])</f>
        <v>0.21557966162224904</v>
      </c>
      <c r="L120" s="5" t="str">
        <f>TEXT(SalesData[[#This Row],[Date]],"mmm")</f>
        <v>Jan</v>
      </c>
      <c r="M120">
        <f>YEAR(SalesData[[#This Row],[Date]])</f>
        <v>2023</v>
      </c>
      <c r="N120">
        <f>WEEKNUM(SalesData[[#This Row],[Date]])</f>
        <v>1</v>
      </c>
      <c r="O120" t="s">
        <v>2139</v>
      </c>
      <c r="P120" t="s">
        <v>2522</v>
      </c>
      <c r="Q120" t="s">
        <v>2527</v>
      </c>
    </row>
    <row r="121" spans="1:17" x14ac:dyDescent="0.35">
      <c r="A121" t="s">
        <v>73</v>
      </c>
      <c r="B121" s="3">
        <v>45006</v>
      </c>
      <c r="C121" t="s">
        <v>2017</v>
      </c>
      <c r="D121" t="s">
        <v>2026</v>
      </c>
      <c r="E121" s="8">
        <v>1127</v>
      </c>
      <c r="F121">
        <v>2</v>
      </c>
      <c r="G121">
        <v>0</v>
      </c>
      <c r="H121" s="8">
        <v>2254</v>
      </c>
      <c r="I121">
        <v>894.66</v>
      </c>
      <c r="J121">
        <v>464.69</v>
      </c>
      <c r="K121" s="5">
        <f>IF(SalesData[[#This Row],[Total Revenue]]=0,0,SalesData[[#This Row],[Profit]]/SalesData[[#This Row],[Total Revenue]])</f>
        <v>0.20616237799467613</v>
      </c>
      <c r="L121" s="5" t="str">
        <f>TEXT(SalesData[[#This Row],[Date]],"mmm")</f>
        <v>Mar</v>
      </c>
      <c r="M121">
        <f>YEAR(SalesData[[#This Row],[Date]])</f>
        <v>2023</v>
      </c>
      <c r="N121">
        <f>WEEKNUM(SalesData[[#This Row],[Date]])</f>
        <v>12</v>
      </c>
      <c r="O121" t="s">
        <v>2082</v>
      </c>
      <c r="P121" t="s">
        <v>2523</v>
      </c>
      <c r="Q121" t="s">
        <v>2525</v>
      </c>
    </row>
    <row r="122" spans="1:17" x14ac:dyDescent="0.35">
      <c r="A122" t="s">
        <v>252</v>
      </c>
      <c r="B122" s="3">
        <v>45140</v>
      </c>
      <c r="C122" t="s">
        <v>2019</v>
      </c>
      <c r="D122" t="s">
        <v>2027</v>
      </c>
      <c r="E122" s="8">
        <v>1189</v>
      </c>
      <c r="F122">
        <v>2</v>
      </c>
      <c r="G122">
        <v>5</v>
      </c>
      <c r="H122" s="8">
        <v>2259.1</v>
      </c>
      <c r="I122">
        <v>793.06</v>
      </c>
      <c r="J122">
        <v>672.98</v>
      </c>
      <c r="K122" s="5">
        <f>IF(SalesData[[#This Row],[Total Revenue]]=0,0,SalesData[[#This Row],[Profit]]/SalesData[[#This Row],[Total Revenue]])</f>
        <v>0.29789739276703114</v>
      </c>
      <c r="L122" s="5" t="str">
        <f>TEXT(SalesData[[#This Row],[Date]],"mmm")</f>
        <v>Aug</v>
      </c>
      <c r="M122">
        <f>YEAR(SalesData[[#This Row],[Date]])</f>
        <v>2023</v>
      </c>
      <c r="N122">
        <f>WEEKNUM(SalesData[[#This Row],[Date]])</f>
        <v>31</v>
      </c>
      <c r="O122" t="s">
        <v>2219</v>
      </c>
      <c r="P122" t="s">
        <v>2523</v>
      </c>
      <c r="Q122" t="s">
        <v>2526</v>
      </c>
    </row>
    <row r="123" spans="1:17" x14ac:dyDescent="0.35">
      <c r="A123" t="s">
        <v>1282</v>
      </c>
      <c r="B123" s="3">
        <v>45286</v>
      </c>
      <c r="C123" t="s">
        <v>2018</v>
      </c>
      <c r="D123" t="s">
        <v>2026</v>
      </c>
      <c r="E123" s="8">
        <v>1337</v>
      </c>
      <c r="F123">
        <v>2</v>
      </c>
      <c r="G123">
        <v>15</v>
      </c>
      <c r="H123" s="8">
        <v>2272.9</v>
      </c>
      <c r="I123">
        <v>867.64</v>
      </c>
      <c r="J123">
        <v>537.62</v>
      </c>
      <c r="K123" s="5">
        <f>IF(SalesData[[#This Row],[Total Revenue]]=0,0,SalesData[[#This Row],[Profit]]/SalesData[[#This Row],[Total Revenue]])</f>
        <v>0.23653482335342513</v>
      </c>
      <c r="L123" s="5" t="str">
        <f>TEXT(SalesData[[#This Row],[Date]],"mmm")</f>
        <v>Dec</v>
      </c>
      <c r="M123">
        <f>YEAR(SalesData[[#This Row],[Date]])</f>
        <v>2023</v>
      </c>
      <c r="N123">
        <f>WEEKNUM(SalesData[[#This Row],[Date]])</f>
        <v>52</v>
      </c>
      <c r="O123" t="s">
        <v>2271</v>
      </c>
      <c r="P123" t="s">
        <v>2522</v>
      </c>
      <c r="Q123" t="s">
        <v>2524</v>
      </c>
    </row>
    <row r="124" spans="1:17" x14ac:dyDescent="0.35">
      <c r="A124" t="s">
        <v>980</v>
      </c>
      <c r="B124" s="3">
        <v>44989</v>
      </c>
      <c r="C124" t="s">
        <v>2020</v>
      </c>
      <c r="D124" t="s">
        <v>2028</v>
      </c>
      <c r="E124" s="8">
        <v>2529</v>
      </c>
      <c r="F124">
        <v>1</v>
      </c>
      <c r="G124">
        <v>10</v>
      </c>
      <c r="H124" s="8">
        <v>2276.1</v>
      </c>
      <c r="I124">
        <v>1512.78</v>
      </c>
      <c r="J124">
        <v>763.32</v>
      </c>
      <c r="K124" s="5">
        <f>IF(SalesData[[#This Row],[Total Revenue]]=0,0,SalesData[[#This Row],[Profit]]/SalesData[[#This Row],[Total Revenue]])</f>
        <v>0.33536312112824573</v>
      </c>
      <c r="L124" s="5" t="str">
        <f>TEXT(SalesData[[#This Row],[Date]],"mmm")</f>
        <v>Mar</v>
      </c>
      <c r="M124">
        <f>YEAR(SalesData[[#This Row],[Date]])</f>
        <v>2023</v>
      </c>
      <c r="N124">
        <f>WEEKNUM(SalesData[[#This Row],[Date]])</f>
        <v>9</v>
      </c>
      <c r="O124" t="s">
        <v>2178</v>
      </c>
      <c r="P124" t="s">
        <v>2522</v>
      </c>
      <c r="Q124" t="s">
        <v>2527</v>
      </c>
    </row>
    <row r="125" spans="1:17" x14ac:dyDescent="0.35">
      <c r="A125" t="s">
        <v>389</v>
      </c>
      <c r="B125" s="3">
        <v>44986</v>
      </c>
      <c r="C125" t="s">
        <v>2021</v>
      </c>
      <c r="D125" t="s">
        <v>2028</v>
      </c>
      <c r="E125" s="8">
        <v>2423</v>
      </c>
      <c r="F125">
        <v>1</v>
      </c>
      <c r="G125">
        <v>5</v>
      </c>
      <c r="H125" s="8">
        <v>2301.85</v>
      </c>
      <c r="I125">
        <v>1551.37</v>
      </c>
      <c r="J125">
        <v>750.48</v>
      </c>
      <c r="K125" s="5">
        <f>IF(SalesData[[#This Row],[Total Revenue]]=0,0,SalesData[[#This Row],[Profit]]/SalesData[[#This Row],[Total Revenue]])</f>
        <v>0.32603340791102808</v>
      </c>
      <c r="L125" s="5" t="str">
        <f>TEXT(SalesData[[#This Row],[Date]],"mmm")</f>
        <v>Mar</v>
      </c>
      <c r="M125">
        <f>YEAR(SalesData[[#This Row],[Date]])</f>
        <v>2023</v>
      </c>
      <c r="N125">
        <f>WEEKNUM(SalesData[[#This Row],[Date]])</f>
        <v>9</v>
      </c>
      <c r="O125" t="s">
        <v>2293</v>
      </c>
      <c r="P125" t="s">
        <v>2522</v>
      </c>
      <c r="Q125" t="s">
        <v>2525</v>
      </c>
    </row>
    <row r="126" spans="1:17" x14ac:dyDescent="0.35">
      <c r="A126" t="s">
        <v>343</v>
      </c>
      <c r="B126" s="3">
        <v>45114</v>
      </c>
      <c r="C126" t="s">
        <v>2021</v>
      </c>
      <c r="D126" t="s">
        <v>2028</v>
      </c>
      <c r="E126" s="8">
        <v>1358</v>
      </c>
      <c r="F126">
        <v>2</v>
      </c>
      <c r="G126">
        <v>15</v>
      </c>
      <c r="H126" s="8">
        <v>2308.6</v>
      </c>
      <c r="I126">
        <v>740.81</v>
      </c>
      <c r="J126">
        <v>826.97</v>
      </c>
      <c r="K126" s="5">
        <f>IF(SalesData[[#This Row],[Total Revenue]]=0,0,SalesData[[#This Row],[Profit]]/SalesData[[#This Row],[Total Revenue]])</f>
        <v>0.35821276964394005</v>
      </c>
      <c r="L126" s="5" t="str">
        <f>TEXT(SalesData[[#This Row],[Date]],"mmm")</f>
        <v>Jul</v>
      </c>
      <c r="M126">
        <f>YEAR(SalesData[[#This Row],[Date]])</f>
        <v>2023</v>
      </c>
      <c r="N126">
        <f>WEEKNUM(SalesData[[#This Row],[Date]])</f>
        <v>27</v>
      </c>
      <c r="O126" t="s">
        <v>2270</v>
      </c>
      <c r="P126" t="s">
        <v>2522</v>
      </c>
      <c r="Q126" t="s">
        <v>2524</v>
      </c>
    </row>
    <row r="127" spans="1:17" x14ac:dyDescent="0.35">
      <c r="A127" t="s">
        <v>925</v>
      </c>
      <c r="B127" s="3">
        <v>44966</v>
      </c>
      <c r="C127" t="s">
        <v>2020</v>
      </c>
      <c r="D127" t="s">
        <v>2028</v>
      </c>
      <c r="E127" s="8">
        <v>2716</v>
      </c>
      <c r="F127">
        <v>1</v>
      </c>
      <c r="G127">
        <v>15</v>
      </c>
      <c r="H127" s="8">
        <v>2308.6</v>
      </c>
      <c r="I127">
        <v>2115.9299999999998</v>
      </c>
      <c r="J127">
        <v>192.67</v>
      </c>
      <c r="K127" s="5">
        <f>IF(SalesData[[#This Row],[Total Revenue]]=0,0,SalesData[[#This Row],[Profit]]/SalesData[[#This Row],[Total Revenue]])</f>
        <v>8.3457506714025811E-2</v>
      </c>
      <c r="L127" s="5" t="str">
        <f>TEXT(SalesData[[#This Row],[Date]],"mmm")</f>
        <v>Feb</v>
      </c>
      <c r="M127">
        <f>YEAR(SalesData[[#This Row],[Date]])</f>
        <v>2023</v>
      </c>
      <c r="N127">
        <f>WEEKNUM(SalesData[[#This Row],[Date]])</f>
        <v>6</v>
      </c>
      <c r="O127" t="s">
        <v>2334</v>
      </c>
      <c r="P127" t="s">
        <v>2522</v>
      </c>
      <c r="Q127" t="s">
        <v>2525</v>
      </c>
    </row>
    <row r="128" spans="1:17" x14ac:dyDescent="0.35">
      <c r="A128" t="s">
        <v>1801</v>
      </c>
      <c r="B128" s="3">
        <v>45161</v>
      </c>
      <c r="C128" t="s">
        <v>2015</v>
      </c>
      <c r="D128" t="s">
        <v>2025</v>
      </c>
      <c r="E128" s="8">
        <v>858</v>
      </c>
      <c r="F128">
        <v>3</v>
      </c>
      <c r="G128">
        <v>10</v>
      </c>
      <c r="H128" s="8">
        <v>2316.6</v>
      </c>
      <c r="I128">
        <v>647.83000000000004</v>
      </c>
      <c r="J128">
        <v>373.1</v>
      </c>
      <c r="K128" s="5">
        <f>IF(SalesData[[#This Row],[Total Revenue]]=0,0,SalesData[[#This Row],[Profit]]/SalesData[[#This Row],[Total Revenue]])</f>
        <v>0.16105499438832774</v>
      </c>
      <c r="L128" s="5" t="str">
        <f>TEXT(SalesData[[#This Row],[Date]],"mmm")</f>
        <v>Aug</v>
      </c>
      <c r="M128">
        <f>YEAR(SalesData[[#This Row],[Date]])</f>
        <v>2023</v>
      </c>
      <c r="N128">
        <f>WEEKNUM(SalesData[[#This Row],[Date]])</f>
        <v>34</v>
      </c>
      <c r="O128" t="s">
        <v>2126</v>
      </c>
      <c r="P128" t="s">
        <v>2523</v>
      </c>
      <c r="Q128" t="s">
        <v>2526</v>
      </c>
    </row>
    <row r="129" spans="1:17" x14ac:dyDescent="0.35">
      <c r="A129" t="s">
        <v>1434</v>
      </c>
      <c r="B129" s="3">
        <v>45063</v>
      </c>
      <c r="C129" t="s">
        <v>2019</v>
      </c>
      <c r="D129" t="s">
        <v>2027</v>
      </c>
      <c r="E129" s="8">
        <v>2595</v>
      </c>
      <c r="F129">
        <v>1</v>
      </c>
      <c r="G129">
        <v>10</v>
      </c>
      <c r="H129" s="8">
        <v>2335.5</v>
      </c>
      <c r="I129">
        <v>1965.82</v>
      </c>
      <c r="J129">
        <v>369.68</v>
      </c>
      <c r="K129" s="5">
        <f>IF(SalesData[[#This Row],[Total Revenue]]=0,0,SalesData[[#This Row],[Profit]]/SalesData[[#This Row],[Total Revenue]])</f>
        <v>0.15828730464568616</v>
      </c>
      <c r="L129" s="5" t="str">
        <f>TEXT(SalesData[[#This Row],[Date]],"mmm")</f>
        <v>May</v>
      </c>
      <c r="M129">
        <f>YEAR(SalesData[[#This Row],[Date]])</f>
        <v>2023</v>
      </c>
      <c r="N129">
        <f>WEEKNUM(SalesData[[#This Row],[Date]])</f>
        <v>20</v>
      </c>
      <c r="O129" t="s">
        <v>2267</v>
      </c>
      <c r="P129" t="s">
        <v>2523</v>
      </c>
      <c r="Q129" t="s">
        <v>2527</v>
      </c>
    </row>
    <row r="130" spans="1:17" x14ac:dyDescent="0.35">
      <c r="A130" t="s">
        <v>2003</v>
      </c>
      <c r="B130" s="3">
        <v>45228</v>
      </c>
      <c r="C130" t="s">
        <v>2019</v>
      </c>
      <c r="D130" t="s">
        <v>2027</v>
      </c>
      <c r="E130" s="8">
        <v>2748</v>
      </c>
      <c r="F130">
        <v>1</v>
      </c>
      <c r="G130">
        <v>15</v>
      </c>
      <c r="H130" s="8">
        <v>2335.8000000000002</v>
      </c>
      <c r="I130">
        <v>1564.9</v>
      </c>
      <c r="J130">
        <v>770.9</v>
      </c>
      <c r="K130" s="5">
        <f>IF(SalesData[[#This Row],[Total Revenue]]=0,0,SalesData[[#This Row],[Profit]]/SalesData[[#This Row],[Total Revenue]])</f>
        <v>0.33003681822073805</v>
      </c>
      <c r="L130" s="5" t="str">
        <f>TEXT(SalesData[[#This Row],[Date]],"mmm")</f>
        <v>Oct</v>
      </c>
      <c r="M130">
        <f>YEAR(SalesData[[#This Row],[Date]])</f>
        <v>2023</v>
      </c>
      <c r="N130">
        <f>WEEKNUM(SalesData[[#This Row],[Date]])</f>
        <v>44</v>
      </c>
      <c r="O130" t="s">
        <v>2388</v>
      </c>
      <c r="P130" t="s">
        <v>2522</v>
      </c>
      <c r="Q130" t="s">
        <v>2526</v>
      </c>
    </row>
    <row r="131" spans="1:17" x14ac:dyDescent="0.35">
      <c r="A131" t="s">
        <v>1269</v>
      </c>
      <c r="B131" s="3">
        <v>45019</v>
      </c>
      <c r="C131" t="s">
        <v>2019</v>
      </c>
      <c r="D131" t="s">
        <v>2027</v>
      </c>
      <c r="E131" s="8">
        <v>918</v>
      </c>
      <c r="F131">
        <v>3</v>
      </c>
      <c r="G131">
        <v>15</v>
      </c>
      <c r="H131" s="8">
        <v>2340.9</v>
      </c>
      <c r="I131">
        <v>583.77</v>
      </c>
      <c r="J131">
        <v>589.58000000000004</v>
      </c>
      <c r="K131" s="5">
        <f>IF(SalesData[[#This Row],[Total Revenue]]=0,0,SalesData[[#This Row],[Profit]]/SalesData[[#This Row],[Total Revenue]])</f>
        <v>0.25186039557435175</v>
      </c>
      <c r="L131" s="5" t="str">
        <f>TEXT(SalesData[[#This Row],[Date]],"mmm")</f>
        <v>Apr</v>
      </c>
      <c r="M131">
        <f>YEAR(SalesData[[#This Row],[Date]])</f>
        <v>2023</v>
      </c>
      <c r="N131">
        <f>WEEKNUM(SalesData[[#This Row],[Date]])</f>
        <v>14</v>
      </c>
      <c r="O131" t="s">
        <v>2439</v>
      </c>
      <c r="P131" t="s">
        <v>2523</v>
      </c>
      <c r="Q131" t="s">
        <v>2525</v>
      </c>
    </row>
    <row r="132" spans="1:17" x14ac:dyDescent="0.35">
      <c r="A132" t="s">
        <v>1523</v>
      </c>
      <c r="B132" s="3">
        <v>45039</v>
      </c>
      <c r="C132" t="s">
        <v>2016</v>
      </c>
      <c r="D132" t="s">
        <v>2025</v>
      </c>
      <c r="E132" s="8">
        <v>2467</v>
      </c>
      <c r="F132">
        <v>1</v>
      </c>
      <c r="G132">
        <v>5</v>
      </c>
      <c r="H132" s="8">
        <v>2343.65</v>
      </c>
      <c r="I132">
        <v>1501</v>
      </c>
      <c r="J132">
        <v>842.65</v>
      </c>
      <c r="K132" s="5">
        <f>IF(SalesData[[#This Row],[Total Revenue]]=0,0,SalesData[[#This Row],[Profit]]/SalesData[[#This Row],[Total Revenue]])</f>
        <v>0.35954600729631131</v>
      </c>
      <c r="L132" s="5" t="str">
        <f>TEXT(SalesData[[#This Row],[Date]],"mmm")</f>
        <v>Apr</v>
      </c>
      <c r="M132">
        <f>YEAR(SalesData[[#This Row],[Date]])</f>
        <v>2023</v>
      </c>
      <c r="N132">
        <f>WEEKNUM(SalesData[[#This Row],[Date]])</f>
        <v>17</v>
      </c>
      <c r="O132" t="s">
        <v>2245</v>
      </c>
      <c r="P132" t="s">
        <v>2522</v>
      </c>
      <c r="Q132" t="s">
        <v>2525</v>
      </c>
    </row>
    <row r="133" spans="1:17" x14ac:dyDescent="0.35">
      <c r="A133" t="s">
        <v>589</v>
      </c>
      <c r="B133" s="3">
        <v>44958</v>
      </c>
      <c r="C133" t="s">
        <v>2019</v>
      </c>
      <c r="D133" t="s">
        <v>2027</v>
      </c>
      <c r="E133" s="8">
        <v>2346</v>
      </c>
      <c r="F133">
        <v>1</v>
      </c>
      <c r="G133">
        <v>0</v>
      </c>
      <c r="H133" s="8">
        <v>2346</v>
      </c>
      <c r="I133">
        <v>1350.45</v>
      </c>
      <c r="J133">
        <v>995.55</v>
      </c>
      <c r="K133" s="5">
        <f>IF(SalesData[[#This Row],[Total Revenue]]=0,0,SalesData[[#This Row],[Profit]]/SalesData[[#This Row],[Total Revenue]])</f>
        <v>0.42436061381074169</v>
      </c>
      <c r="L133" s="5" t="str">
        <f>TEXT(SalesData[[#This Row],[Date]],"mmm")</f>
        <v>Feb</v>
      </c>
      <c r="M133">
        <f>YEAR(SalesData[[#This Row],[Date]])</f>
        <v>2023</v>
      </c>
      <c r="N133">
        <f>WEEKNUM(SalesData[[#This Row],[Date]])</f>
        <v>5</v>
      </c>
      <c r="O133" t="s">
        <v>2144</v>
      </c>
      <c r="P133" t="s">
        <v>2522</v>
      </c>
      <c r="Q133" t="s">
        <v>2525</v>
      </c>
    </row>
    <row r="134" spans="1:17" x14ac:dyDescent="0.35">
      <c r="A134" t="s">
        <v>1521</v>
      </c>
      <c r="B134" s="3">
        <v>45019</v>
      </c>
      <c r="C134" t="s">
        <v>2021</v>
      </c>
      <c r="D134" t="s">
        <v>2028</v>
      </c>
      <c r="E134" s="8">
        <v>2782</v>
      </c>
      <c r="F134">
        <v>1</v>
      </c>
      <c r="G134">
        <v>15</v>
      </c>
      <c r="H134" s="8">
        <v>2364.6999999999998</v>
      </c>
      <c r="I134">
        <v>1561.23</v>
      </c>
      <c r="J134">
        <v>803.47</v>
      </c>
      <c r="K134" s="5">
        <f>IF(SalesData[[#This Row],[Total Revenue]]=0,0,SalesData[[#This Row],[Profit]]/SalesData[[#This Row],[Total Revenue]])</f>
        <v>0.33977671586247732</v>
      </c>
      <c r="L134" s="5" t="str">
        <f>TEXT(SalesData[[#This Row],[Date]],"mmm")</f>
        <v>Apr</v>
      </c>
      <c r="M134">
        <f>YEAR(SalesData[[#This Row],[Date]])</f>
        <v>2023</v>
      </c>
      <c r="N134">
        <f>WEEKNUM(SalesData[[#This Row],[Date]])</f>
        <v>14</v>
      </c>
      <c r="O134" t="s">
        <v>2479</v>
      </c>
      <c r="P134" t="s">
        <v>2522</v>
      </c>
      <c r="Q134" t="s">
        <v>2525</v>
      </c>
    </row>
    <row r="135" spans="1:17" x14ac:dyDescent="0.35">
      <c r="A135" t="s">
        <v>1074</v>
      </c>
      <c r="B135" s="3">
        <v>45186</v>
      </c>
      <c r="C135" t="s">
        <v>2019</v>
      </c>
      <c r="D135" t="s">
        <v>2027</v>
      </c>
      <c r="E135" s="8">
        <v>2817</v>
      </c>
      <c r="F135">
        <v>1</v>
      </c>
      <c r="G135">
        <v>15</v>
      </c>
      <c r="H135" s="8">
        <v>2394.4499999999998</v>
      </c>
      <c r="I135">
        <v>2146.6799999999998</v>
      </c>
      <c r="J135">
        <v>247.77</v>
      </c>
      <c r="K135" s="5">
        <f>IF(SalesData[[#This Row],[Total Revenue]]=0,0,SalesData[[#This Row],[Profit]]/SalesData[[#This Row],[Total Revenue]])</f>
        <v>0.1034767900770532</v>
      </c>
      <c r="L135" s="5" t="str">
        <f>TEXT(SalesData[[#This Row],[Date]],"mmm")</f>
        <v>Sep</v>
      </c>
      <c r="M135">
        <f>YEAR(SalesData[[#This Row],[Date]])</f>
        <v>2023</v>
      </c>
      <c r="N135">
        <f>WEEKNUM(SalesData[[#This Row],[Date]])</f>
        <v>38</v>
      </c>
      <c r="O135" t="s">
        <v>2120</v>
      </c>
      <c r="P135" t="s">
        <v>2523</v>
      </c>
      <c r="Q135" t="s">
        <v>2524</v>
      </c>
    </row>
    <row r="136" spans="1:17" x14ac:dyDescent="0.35">
      <c r="A136" t="s">
        <v>490</v>
      </c>
      <c r="B136" s="3">
        <v>44958</v>
      </c>
      <c r="C136" t="s">
        <v>2014</v>
      </c>
      <c r="D136" t="s">
        <v>2024</v>
      </c>
      <c r="E136" s="8">
        <v>1332</v>
      </c>
      <c r="F136">
        <v>2</v>
      </c>
      <c r="G136">
        <v>10</v>
      </c>
      <c r="H136" s="8">
        <v>2397.6</v>
      </c>
      <c r="I136">
        <v>1029.92</v>
      </c>
      <c r="J136">
        <v>337.75</v>
      </c>
      <c r="K136" s="5">
        <f>IF(SalesData[[#This Row],[Total Revenue]]=0,0,SalesData[[#This Row],[Profit]]/SalesData[[#This Row],[Total Revenue]])</f>
        <v>0.14087003670337003</v>
      </c>
      <c r="L136" s="5" t="str">
        <f>TEXT(SalesData[[#This Row],[Date]],"mmm")</f>
        <v>Feb</v>
      </c>
      <c r="M136">
        <f>YEAR(SalesData[[#This Row],[Date]])</f>
        <v>2023</v>
      </c>
      <c r="N136">
        <f>WEEKNUM(SalesData[[#This Row],[Date]])</f>
        <v>5</v>
      </c>
      <c r="O136" t="s">
        <v>2032</v>
      </c>
      <c r="P136" t="s">
        <v>2522</v>
      </c>
      <c r="Q136" t="s">
        <v>2525</v>
      </c>
    </row>
    <row r="137" spans="1:17" x14ac:dyDescent="0.35">
      <c r="A137" t="s">
        <v>342</v>
      </c>
      <c r="B137" s="3">
        <v>45285</v>
      </c>
      <c r="C137" t="s">
        <v>2015</v>
      </c>
      <c r="D137" t="s">
        <v>2025</v>
      </c>
      <c r="E137" s="8">
        <v>2664</v>
      </c>
      <c r="F137">
        <v>1</v>
      </c>
      <c r="G137">
        <v>10</v>
      </c>
      <c r="H137" s="8">
        <v>2397.6</v>
      </c>
      <c r="I137">
        <v>1737.36</v>
      </c>
      <c r="J137">
        <v>660.24</v>
      </c>
      <c r="K137" s="5">
        <f>IF(SalesData[[#This Row],[Total Revenue]]=0,0,SalesData[[#This Row],[Profit]]/SalesData[[#This Row],[Total Revenue]])</f>
        <v>0.27537537537537538</v>
      </c>
      <c r="L137" s="5" t="str">
        <f>TEXT(SalesData[[#This Row],[Date]],"mmm")</f>
        <v>Dec</v>
      </c>
      <c r="M137">
        <f>YEAR(SalesData[[#This Row],[Date]])</f>
        <v>2023</v>
      </c>
      <c r="N137">
        <f>WEEKNUM(SalesData[[#This Row],[Date]])</f>
        <v>52</v>
      </c>
      <c r="O137" t="s">
        <v>2269</v>
      </c>
      <c r="P137" t="s">
        <v>2522</v>
      </c>
      <c r="Q137" t="s">
        <v>2525</v>
      </c>
    </row>
    <row r="138" spans="1:17" x14ac:dyDescent="0.35">
      <c r="A138" t="s">
        <v>1816</v>
      </c>
      <c r="B138" s="3">
        <v>45159</v>
      </c>
      <c r="C138" t="s">
        <v>2018</v>
      </c>
      <c r="D138" t="s">
        <v>2026</v>
      </c>
      <c r="E138" s="8">
        <v>2533</v>
      </c>
      <c r="F138">
        <v>1</v>
      </c>
      <c r="G138">
        <v>5</v>
      </c>
      <c r="H138" s="8">
        <v>2406.35</v>
      </c>
      <c r="I138">
        <v>1387.19</v>
      </c>
      <c r="J138">
        <v>1019.16</v>
      </c>
      <c r="K138" s="5">
        <f>IF(SalesData[[#This Row],[Total Revenue]]=0,0,SalesData[[#This Row],[Profit]]/SalesData[[#This Row],[Total Revenue]])</f>
        <v>0.42352941176470588</v>
      </c>
      <c r="L138" s="5" t="str">
        <f>TEXT(SalesData[[#This Row],[Date]],"mmm")</f>
        <v>Aug</v>
      </c>
      <c r="M138">
        <f>YEAR(SalesData[[#This Row],[Date]])</f>
        <v>2023</v>
      </c>
      <c r="N138">
        <f>WEEKNUM(SalesData[[#This Row],[Date]])</f>
        <v>34</v>
      </c>
      <c r="O138" t="s">
        <v>2509</v>
      </c>
      <c r="P138" t="s">
        <v>2523</v>
      </c>
      <c r="Q138" t="s">
        <v>2525</v>
      </c>
    </row>
    <row r="139" spans="1:17" x14ac:dyDescent="0.35">
      <c r="A139" t="s">
        <v>995</v>
      </c>
      <c r="B139" s="3">
        <v>44938</v>
      </c>
      <c r="C139" t="s">
        <v>2022</v>
      </c>
      <c r="D139" t="s">
        <v>2024</v>
      </c>
      <c r="E139" s="8">
        <v>1427</v>
      </c>
      <c r="F139">
        <v>2</v>
      </c>
      <c r="G139">
        <v>15</v>
      </c>
      <c r="H139" s="8">
        <v>2425.9</v>
      </c>
      <c r="I139">
        <v>819.93</v>
      </c>
      <c r="J139">
        <v>786.05</v>
      </c>
      <c r="K139" s="5">
        <f>IF(SalesData[[#This Row],[Total Revenue]]=0,0,SalesData[[#This Row],[Profit]]/SalesData[[#This Row],[Total Revenue]])</f>
        <v>0.32402407353971718</v>
      </c>
      <c r="L139" s="5" t="str">
        <f>TEXT(SalesData[[#This Row],[Date]],"mmm")</f>
        <v>Jan</v>
      </c>
      <c r="M139">
        <f>YEAR(SalesData[[#This Row],[Date]])</f>
        <v>2023</v>
      </c>
      <c r="N139">
        <f>WEEKNUM(SalesData[[#This Row],[Date]])</f>
        <v>2</v>
      </c>
      <c r="O139" t="s">
        <v>2228</v>
      </c>
      <c r="P139" t="s">
        <v>2522</v>
      </c>
      <c r="Q139" t="s">
        <v>2524</v>
      </c>
    </row>
    <row r="140" spans="1:17" x14ac:dyDescent="0.35">
      <c r="A140" t="s">
        <v>1035</v>
      </c>
      <c r="B140" s="3">
        <v>44935</v>
      </c>
      <c r="C140" t="s">
        <v>2019</v>
      </c>
      <c r="D140" t="s">
        <v>2027</v>
      </c>
      <c r="E140" s="8">
        <v>2559</v>
      </c>
      <c r="F140">
        <v>1</v>
      </c>
      <c r="G140">
        <v>5</v>
      </c>
      <c r="H140" s="8">
        <v>2431.0500000000002</v>
      </c>
      <c r="I140">
        <v>1933.44</v>
      </c>
      <c r="J140">
        <v>497.61</v>
      </c>
      <c r="K140" s="5">
        <f>IF(SalesData[[#This Row],[Total Revenue]]=0,0,SalesData[[#This Row],[Profit]]/SalesData[[#This Row],[Total Revenue]])</f>
        <v>0.20468933177022272</v>
      </c>
      <c r="L140" s="5" t="str">
        <f>TEXT(SalesData[[#This Row],[Date]],"mmm")</f>
        <v>Jan</v>
      </c>
      <c r="M140">
        <f>YEAR(SalesData[[#This Row],[Date]])</f>
        <v>2023</v>
      </c>
      <c r="N140">
        <f>WEEKNUM(SalesData[[#This Row],[Date]])</f>
        <v>2</v>
      </c>
      <c r="O140" t="s">
        <v>2339</v>
      </c>
      <c r="P140" t="s">
        <v>2523</v>
      </c>
      <c r="Q140" t="s">
        <v>2527</v>
      </c>
    </row>
    <row r="141" spans="1:17" x14ac:dyDescent="0.35">
      <c r="A141" t="s">
        <v>345</v>
      </c>
      <c r="B141" s="3">
        <v>45122</v>
      </c>
      <c r="C141" t="s">
        <v>2016</v>
      </c>
      <c r="D141" t="s">
        <v>2025</v>
      </c>
      <c r="E141" s="8">
        <v>2869</v>
      </c>
      <c r="F141">
        <v>1</v>
      </c>
      <c r="G141">
        <v>15</v>
      </c>
      <c r="H141" s="8">
        <v>2438.65</v>
      </c>
      <c r="I141">
        <v>1685.12</v>
      </c>
      <c r="J141">
        <v>753.53</v>
      </c>
      <c r="K141" s="5">
        <f>IF(SalesData[[#This Row],[Total Revenue]]=0,0,SalesData[[#This Row],[Profit]]/SalesData[[#This Row],[Total Revenue]])</f>
        <v>0.30899473069116107</v>
      </c>
      <c r="L141" s="5" t="str">
        <f>TEXT(SalesData[[#This Row],[Date]],"mmm")</f>
        <v>Jul</v>
      </c>
      <c r="M141">
        <f>YEAR(SalesData[[#This Row],[Date]])</f>
        <v>2023</v>
      </c>
      <c r="N141">
        <f>WEEKNUM(SalesData[[#This Row],[Date]])</f>
        <v>28</v>
      </c>
      <c r="O141" t="s">
        <v>2214</v>
      </c>
      <c r="P141" t="s">
        <v>2522</v>
      </c>
      <c r="Q141" t="s">
        <v>2524</v>
      </c>
    </row>
    <row r="142" spans="1:17" x14ac:dyDescent="0.35">
      <c r="A142" t="s">
        <v>494</v>
      </c>
      <c r="B142" s="3">
        <v>44960</v>
      </c>
      <c r="C142" t="s">
        <v>2015</v>
      </c>
      <c r="D142" t="s">
        <v>2025</v>
      </c>
      <c r="E142" s="8">
        <v>2714</v>
      </c>
      <c r="F142">
        <v>1</v>
      </c>
      <c r="G142">
        <v>10</v>
      </c>
      <c r="H142" s="8">
        <v>2442.6</v>
      </c>
      <c r="I142">
        <v>1595.21</v>
      </c>
      <c r="J142">
        <v>847.39</v>
      </c>
      <c r="K142" s="5">
        <f>IF(SalesData[[#This Row],[Total Revenue]]=0,0,SalesData[[#This Row],[Profit]]/SalesData[[#This Row],[Total Revenue]])</f>
        <v>0.34692131335462212</v>
      </c>
      <c r="L142" s="5" t="str">
        <f>TEXT(SalesData[[#This Row],[Date]],"mmm")</f>
        <v>Feb</v>
      </c>
      <c r="M142">
        <f>YEAR(SalesData[[#This Row],[Date]])</f>
        <v>2023</v>
      </c>
      <c r="N142">
        <f>WEEKNUM(SalesData[[#This Row],[Date]])</f>
        <v>5</v>
      </c>
      <c r="O142" t="s">
        <v>2335</v>
      </c>
      <c r="P142" t="s">
        <v>2523</v>
      </c>
      <c r="Q142" t="s">
        <v>2524</v>
      </c>
    </row>
    <row r="143" spans="1:17" x14ac:dyDescent="0.35">
      <c r="A143" t="s">
        <v>748</v>
      </c>
      <c r="B143" s="3">
        <v>45133</v>
      </c>
      <c r="C143" t="s">
        <v>2015</v>
      </c>
      <c r="D143" t="s">
        <v>2025</v>
      </c>
      <c r="E143" s="8">
        <v>1291</v>
      </c>
      <c r="F143">
        <v>2</v>
      </c>
      <c r="G143">
        <v>5</v>
      </c>
      <c r="H143" s="8">
        <v>2452.9</v>
      </c>
      <c r="I143">
        <v>945.32</v>
      </c>
      <c r="J143">
        <v>562.26</v>
      </c>
      <c r="K143" s="5">
        <f>IF(SalesData[[#This Row],[Total Revenue]]=0,0,SalesData[[#This Row],[Profit]]/SalesData[[#This Row],[Total Revenue]])</f>
        <v>0.2292225528965714</v>
      </c>
      <c r="L143" s="5" t="str">
        <f>TEXT(SalesData[[#This Row],[Date]],"mmm")</f>
        <v>Jul</v>
      </c>
      <c r="M143">
        <f>YEAR(SalesData[[#This Row],[Date]])</f>
        <v>2023</v>
      </c>
      <c r="N143">
        <f>WEEKNUM(SalesData[[#This Row],[Date]])</f>
        <v>30</v>
      </c>
      <c r="O143" t="s">
        <v>2094</v>
      </c>
      <c r="P143" t="s">
        <v>2523</v>
      </c>
      <c r="Q143" t="s">
        <v>2526</v>
      </c>
    </row>
    <row r="144" spans="1:17" x14ac:dyDescent="0.35">
      <c r="A144" t="s">
        <v>1724</v>
      </c>
      <c r="B144" s="3">
        <v>45255</v>
      </c>
      <c r="C144" t="s">
        <v>2015</v>
      </c>
      <c r="D144" t="s">
        <v>2025</v>
      </c>
      <c r="E144" s="8">
        <v>2737</v>
      </c>
      <c r="F144">
        <v>1</v>
      </c>
      <c r="G144">
        <v>10</v>
      </c>
      <c r="H144" s="8">
        <v>2463.3000000000002</v>
      </c>
      <c r="I144">
        <v>1388.32</v>
      </c>
      <c r="J144">
        <v>1074.98</v>
      </c>
      <c r="K144" s="5">
        <f>IF(SalesData[[#This Row],[Total Revenue]]=0,0,SalesData[[#This Row],[Profit]]/SalesData[[#This Row],[Total Revenue]])</f>
        <v>0.43639832744692075</v>
      </c>
      <c r="L144" s="5" t="str">
        <f>TEXT(SalesData[[#This Row],[Date]],"mmm")</f>
        <v>Nov</v>
      </c>
      <c r="M144">
        <f>YEAR(SalesData[[#This Row],[Date]])</f>
        <v>2023</v>
      </c>
      <c r="N144">
        <f>WEEKNUM(SalesData[[#This Row],[Date]])</f>
        <v>47</v>
      </c>
      <c r="O144" t="s">
        <v>2388</v>
      </c>
      <c r="P144" t="s">
        <v>2522</v>
      </c>
      <c r="Q144" t="s">
        <v>2524</v>
      </c>
    </row>
    <row r="145" spans="1:17" x14ac:dyDescent="0.35">
      <c r="A145" t="s">
        <v>348</v>
      </c>
      <c r="B145" s="3">
        <v>44979</v>
      </c>
      <c r="C145" t="s">
        <v>2013</v>
      </c>
      <c r="D145" t="s">
        <v>2023</v>
      </c>
      <c r="E145" s="8">
        <v>974</v>
      </c>
      <c r="F145">
        <v>3</v>
      </c>
      <c r="G145">
        <v>15</v>
      </c>
      <c r="H145" s="8">
        <v>2483.6999999999998</v>
      </c>
      <c r="I145">
        <v>520.97</v>
      </c>
      <c r="J145">
        <v>920.8</v>
      </c>
      <c r="K145" s="5">
        <f>IF(SalesData[[#This Row],[Total Revenue]]=0,0,SalesData[[#This Row],[Profit]]/SalesData[[#This Row],[Total Revenue]])</f>
        <v>0.37073720658694692</v>
      </c>
      <c r="L145" s="5" t="str">
        <f>TEXT(SalesData[[#This Row],[Date]],"mmm")</f>
        <v>Feb</v>
      </c>
      <c r="M145">
        <f>YEAR(SalesData[[#This Row],[Date]])</f>
        <v>2023</v>
      </c>
      <c r="N145">
        <f>WEEKNUM(SalesData[[#This Row],[Date]])</f>
        <v>8</v>
      </c>
      <c r="O145" t="s">
        <v>2033</v>
      </c>
      <c r="P145" t="s">
        <v>2522</v>
      </c>
      <c r="Q145" t="s">
        <v>2526</v>
      </c>
    </row>
    <row r="146" spans="1:17" x14ac:dyDescent="0.35">
      <c r="A146" t="s">
        <v>364</v>
      </c>
      <c r="B146" s="3">
        <v>45145</v>
      </c>
      <c r="C146" t="s">
        <v>2021</v>
      </c>
      <c r="D146" t="s">
        <v>2028</v>
      </c>
      <c r="E146" s="8">
        <v>2923</v>
      </c>
      <c r="F146">
        <v>1</v>
      </c>
      <c r="G146">
        <v>15</v>
      </c>
      <c r="H146" s="8">
        <v>2484.5500000000002</v>
      </c>
      <c r="I146">
        <v>1611.88</v>
      </c>
      <c r="J146">
        <v>872.67</v>
      </c>
      <c r="K146" s="5">
        <f>IF(SalesData[[#This Row],[Total Revenue]]=0,0,SalesData[[#This Row],[Profit]]/SalesData[[#This Row],[Total Revenue]])</f>
        <v>0.35123865488720285</v>
      </c>
      <c r="L146" s="5" t="str">
        <f>TEXT(SalesData[[#This Row],[Date]],"mmm")</f>
        <v>Aug</v>
      </c>
      <c r="M146">
        <f>YEAR(SalesData[[#This Row],[Date]])</f>
        <v>2023</v>
      </c>
      <c r="N146">
        <f>WEEKNUM(SalesData[[#This Row],[Date]])</f>
        <v>32</v>
      </c>
      <c r="O146" t="s">
        <v>2212</v>
      </c>
      <c r="P146" t="s">
        <v>2522</v>
      </c>
      <c r="Q146" t="s">
        <v>2527</v>
      </c>
    </row>
    <row r="147" spans="1:17" x14ac:dyDescent="0.35">
      <c r="A147" t="s">
        <v>309</v>
      </c>
      <c r="B147" s="3">
        <v>45082</v>
      </c>
      <c r="C147" t="s">
        <v>2018</v>
      </c>
      <c r="D147" t="s">
        <v>2026</v>
      </c>
      <c r="E147" s="8">
        <v>1313</v>
      </c>
      <c r="F147">
        <v>2</v>
      </c>
      <c r="G147">
        <v>5</v>
      </c>
      <c r="H147" s="8">
        <v>2494.6999999999998</v>
      </c>
      <c r="I147">
        <v>833.82</v>
      </c>
      <c r="J147">
        <v>827.07</v>
      </c>
      <c r="K147" s="5">
        <f>IF(SalesData[[#This Row],[Total Revenue]]=0,0,SalesData[[#This Row],[Profit]]/SalesData[[#This Row],[Total Revenue]])</f>
        <v>0.3315308453922316</v>
      </c>
      <c r="L147" s="5" t="str">
        <f>TEXT(SalesData[[#This Row],[Date]],"mmm")</f>
        <v>Jun</v>
      </c>
      <c r="M147">
        <f>YEAR(SalesData[[#This Row],[Date]])</f>
        <v>2023</v>
      </c>
      <c r="N147">
        <f>WEEKNUM(SalesData[[#This Row],[Date]])</f>
        <v>23</v>
      </c>
      <c r="O147" t="s">
        <v>2251</v>
      </c>
      <c r="P147" t="s">
        <v>2522</v>
      </c>
      <c r="Q147" t="s">
        <v>2524</v>
      </c>
    </row>
    <row r="148" spans="1:17" x14ac:dyDescent="0.35">
      <c r="A148" t="s">
        <v>1066</v>
      </c>
      <c r="B148" s="3">
        <v>44930</v>
      </c>
      <c r="C148" t="s">
        <v>2014</v>
      </c>
      <c r="D148" t="s">
        <v>2024</v>
      </c>
      <c r="E148" s="8">
        <v>924</v>
      </c>
      <c r="F148">
        <v>3</v>
      </c>
      <c r="G148">
        <v>10</v>
      </c>
      <c r="H148" s="8">
        <v>2494.8000000000002</v>
      </c>
      <c r="I148">
        <v>718.81</v>
      </c>
      <c r="J148">
        <v>338.36</v>
      </c>
      <c r="K148" s="5">
        <f>IF(SalesData[[#This Row],[Total Revenue]]=0,0,SalesData[[#This Row],[Profit]]/SalesData[[#This Row],[Total Revenue]])</f>
        <v>0.13562610229276895</v>
      </c>
      <c r="L148" s="5" t="str">
        <f>TEXT(SalesData[[#This Row],[Date]],"mmm")</f>
        <v>Jan</v>
      </c>
      <c r="M148">
        <f>YEAR(SalesData[[#This Row],[Date]])</f>
        <v>2023</v>
      </c>
      <c r="N148">
        <f>WEEKNUM(SalesData[[#This Row],[Date]])</f>
        <v>1</v>
      </c>
      <c r="O148" t="s">
        <v>2230</v>
      </c>
      <c r="P148" t="s">
        <v>2522</v>
      </c>
      <c r="Q148" t="s">
        <v>2524</v>
      </c>
    </row>
    <row r="149" spans="1:17" x14ac:dyDescent="0.35">
      <c r="A149" t="s">
        <v>1164</v>
      </c>
      <c r="B149" s="3">
        <v>45156</v>
      </c>
      <c r="C149" t="s">
        <v>2018</v>
      </c>
      <c r="D149" t="s">
        <v>2026</v>
      </c>
      <c r="E149" s="8">
        <v>2640</v>
      </c>
      <c r="F149">
        <v>1</v>
      </c>
      <c r="G149">
        <v>5</v>
      </c>
      <c r="H149" s="8">
        <v>2508</v>
      </c>
      <c r="I149">
        <v>1781.64</v>
      </c>
      <c r="J149">
        <v>726.36</v>
      </c>
      <c r="K149" s="5">
        <f>IF(SalesData[[#This Row],[Total Revenue]]=0,0,SalesData[[#This Row],[Profit]]/SalesData[[#This Row],[Total Revenue]])</f>
        <v>0.28961722488038277</v>
      </c>
      <c r="L149" s="5" t="str">
        <f>TEXT(SalesData[[#This Row],[Date]],"mmm")</f>
        <v>Aug</v>
      </c>
      <c r="M149">
        <f>YEAR(SalesData[[#This Row],[Date]])</f>
        <v>2023</v>
      </c>
      <c r="N149">
        <f>WEEKNUM(SalesData[[#This Row],[Date]])</f>
        <v>33</v>
      </c>
      <c r="O149" t="s">
        <v>2052</v>
      </c>
      <c r="P149" t="s">
        <v>2523</v>
      </c>
      <c r="Q149" t="s">
        <v>2524</v>
      </c>
    </row>
    <row r="150" spans="1:17" x14ac:dyDescent="0.35">
      <c r="A150" t="s">
        <v>1048</v>
      </c>
      <c r="B150" s="3">
        <v>45031</v>
      </c>
      <c r="C150" t="s">
        <v>2014</v>
      </c>
      <c r="D150" t="s">
        <v>2024</v>
      </c>
      <c r="E150" s="8">
        <v>2799</v>
      </c>
      <c r="F150">
        <v>1</v>
      </c>
      <c r="G150">
        <v>10</v>
      </c>
      <c r="H150" s="8">
        <v>2519.1</v>
      </c>
      <c r="I150">
        <v>1836.61</v>
      </c>
      <c r="J150">
        <v>682.49</v>
      </c>
      <c r="K150" s="5">
        <f>IF(SalesData[[#This Row],[Total Revenue]]=0,0,SalesData[[#This Row],[Profit]]/SalesData[[#This Row],[Total Revenue]])</f>
        <v>0.27092612440951136</v>
      </c>
      <c r="L150" s="5" t="str">
        <f>TEXT(SalesData[[#This Row],[Date]],"mmm")</f>
        <v>Apr</v>
      </c>
      <c r="M150">
        <f>YEAR(SalesData[[#This Row],[Date]])</f>
        <v>2023</v>
      </c>
      <c r="N150">
        <f>WEEKNUM(SalesData[[#This Row],[Date]])</f>
        <v>15</v>
      </c>
      <c r="O150" t="s">
        <v>2109</v>
      </c>
      <c r="P150" t="s">
        <v>2523</v>
      </c>
      <c r="Q150" t="s">
        <v>2524</v>
      </c>
    </row>
    <row r="151" spans="1:17" x14ac:dyDescent="0.35">
      <c r="A151" t="s">
        <v>493</v>
      </c>
      <c r="B151" s="3">
        <v>45228</v>
      </c>
      <c r="C151" t="s">
        <v>2021</v>
      </c>
      <c r="D151" t="s">
        <v>2028</v>
      </c>
      <c r="E151" s="8">
        <v>1486</v>
      </c>
      <c r="F151">
        <v>2</v>
      </c>
      <c r="G151">
        <v>15</v>
      </c>
      <c r="H151" s="8">
        <v>2526.1999999999998</v>
      </c>
      <c r="I151">
        <v>762.97</v>
      </c>
      <c r="J151">
        <v>1000.26</v>
      </c>
      <c r="K151" s="5">
        <f>IF(SalesData[[#This Row],[Total Revenue]]=0,0,SalesData[[#This Row],[Profit]]/SalesData[[#This Row],[Total Revenue]])</f>
        <v>0.39595439790990422</v>
      </c>
      <c r="L151" s="5" t="str">
        <f>TEXT(SalesData[[#This Row],[Date]],"mmm")</f>
        <v>Oct</v>
      </c>
      <c r="M151">
        <f>YEAR(SalesData[[#This Row],[Date]])</f>
        <v>2023</v>
      </c>
      <c r="N151">
        <f>WEEKNUM(SalesData[[#This Row],[Date]])</f>
        <v>44</v>
      </c>
      <c r="O151" t="s">
        <v>2334</v>
      </c>
      <c r="P151" t="s">
        <v>2522</v>
      </c>
      <c r="Q151" t="s">
        <v>2526</v>
      </c>
    </row>
    <row r="152" spans="1:17" x14ac:dyDescent="0.35">
      <c r="A152" t="s">
        <v>820</v>
      </c>
      <c r="B152" s="3">
        <v>45200</v>
      </c>
      <c r="C152" t="s">
        <v>2017</v>
      </c>
      <c r="D152" t="s">
        <v>2026</v>
      </c>
      <c r="E152" s="8">
        <v>1488</v>
      </c>
      <c r="F152">
        <v>2</v>
      </c>
      <c r="G152">
        <v>15</v>
      </c>
      <c r="H152" s="8">
        <v>2529.6</v>
      </c>
      <c r="I152">
        <v>845.89</v>
      </c>
      <c r="J152">
        <v>837.82</v>
      </c>
      <c r="K152" s="5">
        <f>IF(SalesData[[#This Row],[Total Revenue]]=0,0,SalesData[[#This Row],[Profit]]/SalesData[[#This Row],[Total Revenue]])</f>
        <v>0.33120651486401015</v>
      </c>
      <c r="L152" s="5" t="str">
        <f>TEXT(SalesData[[#This Row],[Date]],"mmm")</f>
        <v>Oct</v>
      </c>
      <c r="M152">
        <f>YEAR(SalesData[[#This Row],[Date]])</f>
        <v>2023</v>
      </c>
      <c r="N152">
        <f>WEEKNUM(SalesData[[#This Row],[Date]])</f>
        <v>40</v>
      </c>
      <c r="O152" t="s">
        <v>2252</v>
      </c>
      <c r="P152" t="s">
        <v>2522</v>
      </c>
      <c r="Q152" t="s">
        <v>2524</v>
      </c>
    </row>
    <row r="153" spans="1:17" x14ac:dyDescent="0.35">
      <c r="A153" t="s">
        <v>1355</v>
      </c>
      <c r="B153" s="3">
        <v>45068</v>
      </c>
      <c r="C153" t="s">
        <v>2013</v>
      </c>
      <c r="D153" t="s">
        <v>2023</v>
      </c>
      <c r="E153" s="8">
        <v>1268</v>
      </c>
      <c r="F153">
        <v>2</v>
      </c>
      <c r="G153">
        <v>0</v>
      </c>
      <c r="H153" s="8">
        <v>2536</v>
      </c>
      <c r="I153">
        <v>644.47</v>
      </c>
      <c r="J153">
        <v>1247.06</v>
      </c>
      <c r="K153" s="5">
        <f>IF(SalesData[[#This Row],[Total Revenue]]=0,0,SalesData[[#This Row],[Profit]]/SalesData[[#This Row],[Total Revenue]])</f>
        <v>0.49174290220820188</v>
      </c>
      <c r="L153" s="5" t="str">
        <f>TEXT(SalesData[[#This Row],[Date]],"mmm")</f>
        <v>May</v>
      </c>
      <c r="M153">
        <f>YEAR(SalesData[[#This Row],[Date]])</f>
        <v>2023</v>
      </c>
      <c r="N153">
        <f>WEEKNUM(SalesData[[#This Row],[Date]])</f>
        <v>21</v>
      </c>
      <c r="O153" t="s">
        <v>2173</v>
      </c>
      <c r="P153" t="s">
        <v>2523</v>
      </c>
      <c r="Q153" t="s">
        <v>2524</v>
      </c>
    </row>
    <row r="154" spans="1:17" x14ac:dyDescent="0.35">
      <c r="A154" t="s">
        <v>745</v>
      </c>
      <c r="B154" s="3">
        <v>45008</v>
      </c>
      <c r="C154" t="s">
        <v>2020</v>
      </c>
      <c r="D154" t="s">
        <v>2028</v>
      </c>
      <c r="E154" s="8">
        <v>2988</v>
      </c>
      <c r="F154">
        <v>1</v>
      </c>
      <c r="G154">
        <v>15</v>
      </c>
      <c r="H154" s="8">
        <v>2539.8000000000002</v>
      </c>
      <c r="I154">
        <v>1837.43</v>
      </c>
      <c r="J154">
        <v>702.37</v>
      </c>
      <c r="K154" s="5">
        <f>IF(SalesData[[#This Row],[Total Revenue]]=0,0,SalesData[[#This Row],[Profit]]/SalesData[[#This Row],[Total Revenue]])</f>
        <v>0.27654539727537597</v>
      </c>
      <c r="L154" s="5" t="str">
        <f>TEXT(SalesData[[#This Row],[Date]],"mmm")</f>
        <v>Mar</v>
      </c>
      <c r="M154">
        <f>YEAR(SalesData[[#This Row],[Date]])</f>
        <v>2023</v>
      </c>
      <c r="N154">
        <f>WEEKNUM(SalesData[[#This Row],[Date]])</f>
        <v>12</v>
      </c>
      <c r="O154" t="s">
        <v>2409</v>
      </c>
      <c r="P154" t="s">
        <v>2523</v>
      </c>
      <c r="Q154" t="s">
        <v>2527</v>
      </c>
    </row>
    <row r="155" spans="1:17" x14ac:dyDescent="0.35">
      <c r="A155" t="s">
        <v>1836</v>
      </c>
      <c r="B155" s="3">
        <v>45011</v>
      </c>
      <c r="C155" t="s">
        <v>2021</v>
      </c>
      <c r="D155" t="s">
        <v>2028</v>
      </c>
      <c r="E155" s="8">
        <v>941</v>
      </c>
      <c r="F155">
        <v>3</v>
      </c>
      <c r="G155">
        <v>10</v>
      </c>
      <c r="H155" s="8">
        <v>2540.6999999999998</v>
      </c>
      <c r="I155">
        <v>513.66999999999996</v>
      </c>
      <c r="J155">
        <v>999.69</v>
      </c>
      <c r="K155" s="5">
        <f>IF(SalesData[[#This Row],[Total Revenue]]=0,0,SalesData[[#This Row],[Profit]]/SalesData[[#This Row],[Total Revenue]])</f>
        <v>0.39347030345967654</v>
      </c>
      <c r="L155" s="5" t="str">
        <f>TEXT(SalesData[[#This Row],[Date]],"mmm")</f>
        <v>Mar</v>
      </c>
      <c r="M155">
        <f>YEAR(SalesData[[#This Row],[Date]])</f>
        <v>2023</v>
      </c>
      <c r="N155">
        <f>WEEKNUM(SalesData[[#This Row],[Date]])</f>
        <v>13</v>
      </c>
      <c r="O155" t="s">
        <v>2304</v>
      </c>
      <c r="P155" t="s">
        <v>2523</v>
      </c>
      <c r="Q155" t="s">
        <v>2526</v>
      </c>
    </row>
    <row r="156" spans="1:17" x14ac:dyDescent="0.35">
      <c r="A156" t="s">
        <v>1367</v>
      </c>
      <c r="B156" s="3">
        <v>44952</v>
      </c>
      <c r="C156" t="s">
        <v>2020</v>
      </c>
      <c r="D156" t="s">
        <v>2028</v>
      </c>
      <c r="E156" s="8">
        <v>1416</v>
      </c>
      <c r="F156">
        <v>2</v>
      </c>
      <c r="G156">
        <v>10</v>
      </c>
      <c r="H156" s="8">
        <v>2548.8000000000002</v>
      </c>
      <c r="I156">
        <v>853.41</v>
      </c>
      <c r="J156">
        <v>841.97</v>
      </c>
      <c r="K156" s="5">
        <f>IF(SalesData[[#This Row],[Total Revenue]]=0,0,SalesData[[#This Row],[Profit]]/SalesData[[#This Row],[Total Revenue]])</f>
        <v>0.3303397677338355</v>
      </c>
      <c r="L156" s="5" t="str">
        <f>TEXT(SalesData[[#This Row],[Date]],"mmm")</f>
        <v>Jan</v>
      </c>
      <c r="M156">
        <f>YEAR(SalesData[[#This Row],[Date]])</f>
        <v>2023</v>
      </c>
      <c r="N156">
        <f>WEEKNUM(SalesData[[#This Row],[Date]])</f>
        <v>4</v>
      </c>
      <c r="O156" t="s">
        <v>2258</v>
      </c>
      <c r="P156" t="s">
        <v>2522</v>
      </c>
      <c r="Q156" t="s">
        <v>2524</v>
      </c>
    </row>
    <row r="157" spans="1:17" x14ac:dyDescent="0.35">
      <c r="A157" t="s">
        <v>110</v>
      </c>
      <c r="B157" s="3">
        <v>45028</v>
      </c>
      <c r="C157" t="s">
        <v>2021</v>
      </c>
      <c r="D157" t="s">
        <v>2028</v>
      </c>
      <c r="E157" s="8">
        <v>3030</v>
      </c>
      <c r="F157">
        <v>1</v>
      </c>
      <c r="G157">
        <v>15</v>
      </c>
      <c r="H157" s="8">
        <v>2575.5</v>
      </c>
      <c r="I157">
        <v>2077.86</v>
      </c>
      <c r="J157">
        <v>497.64</v>
      </c>
      <c r="K157" s="5">
        <f>IF(SalesData[[#This Row],[Total Revenue]]=0,0,SalesData[[#This Row],[Profit]]/SalesData[[#This Row],[Total Revenue]])</f>
        <v>0.19322073383808969</v>
      </c>
      <c r="L157" s="5" t="str">
        <f>TEXT(SalesData[[#This Row],[Date]],"mmm")</f>
        <v>Apr</v>
      </c>
      <c r="M157">
        <f>YEAR(SalesData[[#This Row],[Date]])</f>
        <v>2023</v>
      </c>
      <c r="N157">
        <f>WEEKNUM(SalesData[[#This Row],[Date]])</f>
        <v>15</v>
      </c>
      <c r="O157" t="s">
        <v>2115</v>
      </c>
      <c r="P157" t="s">
        <v>2523</v>
      </c>
      <c r="Q157" t="s">
        <v>2524</v>
      </c>
    </row>
    <row r="158" spans="1:17" x14ac:dyDescent="0.35">
      <c r="A158" t="s">
        <v>1944</v>
      </c>
      <c r="B158" s="3">
        <v>45105</v>
      </c>
      <c r="C158" t="s">
        <v>2017</v>
      </c>
      <c r="D158" t="s">
        <v>2026</v>
      </c>
      <c r="E158" s="8">
        <v>1438</v>
      </c>
      <c r="F158">
        <v>2</v>
      </c>
      <c r="G158">
        <v>10</v>
      </c>
      <c r="H158" s="8">
        <v>2588.4</v>
      </c>
      <c r="I158">
        <v>906.31</v>
      </c>
      <c r="J158">
        <v>775.77</v>
      </c>
      <c r="K158" s="5">
        <f>IF(SalesData[[#This Row],[Total Revenue]]=0,0,SalesData[[#This Row],[Profit]]/SalesData[[#This Row],[Total Revenue]])</f>
        <v>0.29971024571163651</v>
      </c>
      <c r="L158" s="5" t="str">
        <f>TEXT(SalesData[[#This Row],[Date]],"mmm")</f>
        <v>Jun</v>
      </c>
      <c r="M158">
        <f>YEAR(SalesData[[#This Row],[Date]])</f>
        <v>2023</v>
      </c>
      <c r="N158">
        <f>WEEKNUM(SalesData[[#This Row],[Date]])</f>
        <v>26</v>
      </c>
      <c r="O158" t="s">
        <v>2483</v>
      </c>
      <c r="P158" t="s">
        <v>2523</v>
      </c>
      <c r="Q158" t="s">
        <v>2525</v>
      </c>
    </row>
    <row r="159" spans="1:17" x14ac:dyDescent="0.35">
      <c r="A159" t="s">
        <v>1393</v>
      </c>
      <c r="B159" s="3">
        <v>44970</v>
      </c>
      <c r="C159" t="s">
        <v>2021</v>
      </c>
      <c r="D159" t="s">
        <v>2028</v>
      </c>
      <c r="E159" s="8">
        <v>3082</v>
      </c>
      <c r="F159">
        <v>1</v>
      </c>
      <c r="G159">
        <v>15</v>
      </c>
      <c r="H159" s="8">
        <v>2619.6999999999998</v>
      </c>
      <c r="I159">
        <v>1625.31</v>
      </c>
      <c r="J159">
        <v>994.39</v>
      </c>
      <c r="K159" s="5">
        <f>IF(SalesData[[#This Row],[Total Revenue]]=0,0,SalesData[[#This Row],[Profit]]/SalesData[[#This Row],[Total Revenue]])</f>
        <v>0.37958163148452118</v>
      </c>
      <c r="L159" s="5" t="str">
        <f>TEXT(SalesData[[#This Row],[Date]],"mmm")</f>
        <v>Feb</v>
      </c>
      <c r="M159">
        <f>YEAR(SalesData[[#This Row],[Date]])</f>
        <v>2023</v>
      </c>
      <c r="N159">
        <f>WEEKNUM(SalesData[[#This Row],[Date]])</f>
        <v>7</v>
      </c>
      <c r="O159" t="s">
        <v>2317</v>
      </c>
      <c r="P159" t="s">
        <v>2522</v>
      </c>
      <c r="Q159" t="s">
        <v>2526</v>
      </c>
    </row>
    <row r="160" spans="1:17" x14ac:dyDescent="0.35">
      <c r="A160" t="s">
        <v>1216</v>
      </c>
      <c r="B160" s="3">
        <v>45162</v>
      </c>
      <c r="C160" t="s">
        <v>2014</v>
      </c>
      <c r="D160" t="s">
        <v>2024</v>
      </c>
      <c r="E160" s="8">
        <v>1550</v>
      </c>
      <c r="F160">
        <v>2</v>
      </c>
      <c r="G160">
        <v>15</v>
      </c>
      <c r="H160" s="8">
        <v>2635</v>
      </c>
      <c r="I160">
        <v>860.05</v>
      </c>
      <c r="J160">
        <v>914.89</v>
      </c>
      <c r="K160" s="5">
        <f>IF(SalesData[[#This Row],[Total Revenue]]=0,0,SalesData[[#This Row],[Profit]]/SalesData[[#This Row],[Total Revenue]])</f>
        <v>0.34720683111954459</v>
      </c>
      <c r="L160" s="5" t="str">
        <f>TEXT(SalesData[[#This Row],[Date]],"mmm")</f>
        <v>Aug</v>
      </c>
      <c r="M160">
        <f>YEAR(SalesData[[#This Row],[Date]])</f>
        <v>2023</v>
      </c>
      <c r="N160">
        <f>WEEKNUM(SalesData[[#This Row],[Date]])</f>
        <v>34</v>
      </c>
      <c r="O160" t="s">
        <v>2431</v>
      </c>
      <c r="P160" t="s">
        <v>2523</v>
      </c>
      <c r="Q160" t="s">
        <v>2527</v>
      </c>
    </row>
    <row r="161" spans="1:17" x14ac:dyDescent="0.35">
      <c r="A161" t="s">
        <v>1715</v>
      </c>
      <c r="B161" s="3">
        <v>45084</v>
      </c>
      <c r="C161" t="s">
        <v>2018</v>
      </c>
      <c r="D161" t="s">
        <v>2026</v>
      </c>
      <c r="E161" s="8">
        <v>2928</v>
      </c>
      <c r="F161">
        <v>1</v>
      </c>
      <c r="G161">
        <v>10</v>
      </c>
      <c r="H161" s="8">
        <v>2635.2</v>
      </c>
      <c r="I161">
        <v>2290.56</v>
      </c>
      <c r="J161">
        <v>344.64</v>
      </c>
      <c r="K161" s="5">
        <f>IF(SalesData[[#This Row],[Total Revenue]]=0,0,SalesData[[#This Row],[Profit]]/SalesData[[#This Row],[Total Revenue]])</f>
        <v>0.13078324225865209</v>
      </c>
      <c r="L161" s="5" t="str">
        <f>TEXT(SalesData[[#This Row],[Date]],"mmm")</f>
        <v>Jun</v>
      </c>
      <c r="M161">
        <f>YEAR(SalesData[[#This Row],[Date]])</f>
        <v>2023</v>
      </c>
      <c r="N161">
        <f>WEEKNUM(SalesData[[#This Row],[Date]])</f>
        <v>23</v>
      </c>
      <c r="O161" t="s">
        <v>2321</v>
      </c>
      <c r="P161" t="s">
        <v>2522</v>
      </c>
      <c r="Q161" t="s">
        <v>2527</v>
      </c>
    </row>
    <row r="162" spans="1:17" x14ac:dyDescent="0.35">
      <c r="A162" t="s">
        <v>724</v>
      </c>
      <c r="B162" s="3">
        <v>45235</v>
      </c>
      <c r="C162" t="s">
        <v>2013</v>
      </c>
      <c r="D162" t="s">
        <v>2023</v>
      </c>
      <c r="E162" s="8">
        <v>2640</v>
      </c>
      <c r="F162">
        <v>1</v>
      </c>
      <c r="G162">
        <v>0</v>
      </c>
      <c r="H162" s="8">
        <v>2640</v>
      </c>
      <c r="I162">
        <v>1807.11</v>
      </c>
      <c r="J162">
        <v>832.89</v>
      </c>
      <c r="K162" s="5">
        <f>IF(SalesData[[#This Row],[Total Revenue]]=0,0,SalesData[[#This Row],[Profit]]/SalesData[[#This Row],[Total Revenue]])</f>
        <v>0.31548863636363633</v>
      </c>
      <c r="L162" s="5" t="str">
        <f>TEXT(SalesData[[#This Row],[Date]],"mmm")</f>
        <v>Nov</v>
      </c>
      <c r="M162">
        <f>YEAR(SalesData[[#This Row],[Date]])</f>
        <v>2023</v>
      </c>
      <c r="N162">
        <f>WEEKNUM(SalesData[[#This Row],[Date]])</f>
        <v>45</v>
      </c>
      <c r="O162" t="s">
        <v>2366</v>
      </c>
      <c r="P162" t="s">
        <v>2523</v>
      </c>
      <c r="Q162" t="s">
        <v>2524</v>
      </c>
    </row>
    <row r="163" spans="1:17" x14ac:dyDescent="0.35">
      <c r="A163" t="s">
        <v>1281</v>
      </c>
      <c r="B163" s="3">
        <v>44975</v>
      </c>
      <c r="C163" t="s">
        <v>2017</v>
      </c>
      <c r="D163" t="s">
        <v>2026</v>
      </c>
      <c r="E163" s="8">
        <v>1476</v>
      </c>
      <c r="F163">
        <v>2</v>
      </c>
      <c r="G163">
        <v>10</v>
      </c>
      <c r="H163" s="8">
        <v>2656.8</v>
      </c>
      <c r="I163">
        <v>1118.58</v>
      </c>
      <c r="J163">
        <v>419.64</v>
      </c>
      <c r="K163" s="5">
        <f>IF(SalesData[[#This Row],[Total Revenue]]=0,0,SalesData[[#This Row],[Profit]]/SalesData[[#This Row],[Total Revenue]])</f>
        <v>0.15794941282746158</v>
      </c>
      <c r="L163" s="5" t="str">
        <f>TEXT(SalesData[[#This Row],[Date]],"mmm")</f>
        <v>Feb</v>
      </c>
      <c r="M163">
        <f>YEAR(SalesData[[#This Row],[Date]])</f>
        <v>2023</v>
      </c>
      <c r="N163">
        <f>WEEKNUM(SalesData[[#This Row],[Date]])</f>
        <v>7</v>
      </c>
      <c r="O163" t="s">
        <v>2178</v>
      </c>
      <c r="P163" t="s">
        <v>2523</v>
      </c>
      <c r="Q163" t="s">
        <v>2526</v>
      </c>
    </row>
    <row r="164" spans="1:17" x14ac:dyDescent="0.35">
      <c r="A164" t="s">
        <v>457</v>
      </c>
      <c r="B164" s="3">
        <v>45234</v>
      </c>
      <c r="C164" t="s">
        <v>2022</v>
      </c>
      <c r="D164" t="s">
        <v>2024</v>
      </c>
      <c r="E164" s="8">
        <v>3130</v>
      </c>
      <c r="F164">
        <v>1</v>
      </c>
      <c r="G164">
        <v>15</v>
      </c>
      <c r="H164" s="8">
        <v>2660.5</v>
      </c>
      <c r="I164">
        <v>2167.1</v>
      </c>
      <c r="J164">
        <v>493.4</v>
      </c>
      <c r="K164" s="5">
        <f>IF(SalesData[[#This Row],[Total Revenue]]=0,0,SalesData[[#This Row],[Profit]]/SalesData[[#This Row],[Total Revenue]])</f>
        <v>0.1854538620560045</v>
      </c>
      <c r="L164" s="5" t="str">
        <f>TEXT(SalesData[[#This Row],[Date]],"mmm")</f>
        <v>Nov</v>
      </c>
      <c r="M164">
        <f>YEAR(SalesData[[#This Row],[Date]])</f>
        <v>2023</v>
      </c>
      <c r="N164">
        <f>WEEKNUM(SalesData[[#This Row],[Date]])</f>
        <v>44</v>
      </c>
      <c r="O164" t="s">
        <v>2319</v>
      </c>
      <c r="P164" t="s">
        <v>2522</v>
      </c>
      <c r="Q164" t="s">
        <v>2527</v>
      </c>
    </row>
    <row r="165" spans="1:17" x14ac:dyDescent="0.35">
      <c r="A165" t="s">
        <v>1231</v>
      </c>
      <c r="B165" s="3">
        <v>45050</v>
      </c>
      <c r="C165" t="s">
        <v>2020</v>
      </c>
      <c r="D165" t="s">
        <v>2028</v>
      </c>
      <c r="E165" s="8">
        <v>1479</v>
      </c>
      <c r="F165">
        <v>2</v>
      </c>
      <c r="G165">
        <v>10</v>
      </c>
      <c r="H165" s="8">
        <v>2662.2</v>
      </c>
      <c r="I165">
        <v>1089.51</v>
      </c>
      <c r="J165">
        <v>483.18</v>
      </c>
      <c r="K165" s="5">
        <f>IF(SalesData[[#This Row],[Total Revenue]]=0,0,SalesData[[#This Row],[Profit]]/SalesData[[#This Row],[Total Revenue]])</f>
        <v>0.18149650664863648</v>
      </c>
      <c r="L165" s="5" t="str">
        <f>TEXT(SalesData[[#This Row],[Date]],"mmm")</f>
        <v>May</v>
      </c>
      <c r="M165">
        <f>YEAR(SalesData[[#This Row],[Date]])</f>
        <v>2023</v>
      </c>
      <c r="N165">
        <f>WEEKNUM(SalesData[[#This Row],[Date]])</f>
        <v>18</v>
      </c>
      <c r="O165" t="s">
        <v>2387</v>
      </c>
      <c r="P165" t="s">
        <v>2523</v>
      </c>
      <c r="Q165" t="s">
        <v>2527</v>
      </c>
    </row>
    <row r="166" spans="1:17" x14ac:dyDescent="0.35">
      <c r="A166" t="s">
        <v>1522</v>
      </c>
      <c r="B166" s="3">
        <v>45004</v>
      </c>
      <c r="C166" t="s">
        <v>2017</v>
      </c>
      <c r="D166" t="s">
        <v>2026</v>
      </c>
      <c r="E166" s="8">
        <v>1054</v>
      </c>
      <c r="F166">
        <v>3</v>
      </c>
      <c r="G166">
        <v>15</v>
      </c>
      <c r="H166" s="8">
        <v>2687.7</v>
      </c>
      <c r="I166">
        <v>760.32</v>
      </c>
      <c r="J166">
        <v>406.75</v>
      </c>
      <c r="K166" s="5">
        <f>IF(SalesData[[#This Row],[Total Revenue]]=0,0,SalesData[[#This Row],[Profit]]/SalesData[[#This Row],[Total Revenue]])</f>
        <v>0.15133757487814861</v>
      </c>
      <c r="L166" s="5" t="str">
        <f>TEXT(SalesData[[#This Row],[Date]],"mmm")</f>
        <v>Mar</v>
      </c>
      <c r="M166">
        <f>YEAR(SalesData[[#This Row],[Date]])</f>
        <v>2023</v>
      </c>
      <c r="N166">
        <f>WEEKNUM(SalesData[[#This Row],[Date]])</f>
        <v>12</v>
      </c>
      <c r="O166" t="s">
        <v>2137</v>
      </c>
      <c r="P166" t="s">
        <v>2523</v>
      </c>
      <c r="Q166" t="s">
        <v>2527</v>
      </c>
    </row>
    <row r="167" spans="1:17" x14ac:dyDescent="0.35">
      <c r="A167" t="s">
        <v>1685</v>
      </c>
      <c r="B167" s="3">
        <v>45239</v>
      </c>
      <c r="C167" t="s">
        <v>2015</v>
      </c>
      <c r="D167" t="s">
        <v>2025</v>
      </c>
      <c r="E167" s="8">
        <v>2831</v>
      </c>
      <c r="F167">
        <v>1</v>
      </c>
      <c r="G167">
        <v>5</v>
      </c>
      <c r="H167" s="8">
        <v>2689.45</v>
      </c>
      <c r="I167">
        <v>1508.55</v>
      </c>
      <c r="J167">
        <v>1180.9000000000001</v>
      </c>
      <c r="K167" s="5">
        <f>IF(SalesData[[#This Row],[Total Revenue]]=0,0,SalesData[[#This Row],[Profit]]/SalesData[[#This Row],[Total Revenue]])</f>
        <v>0.43908605848779497</v>
      </c>
      <c r="L167" s="5" t="str">
        <f>TEXT(SalesData[[#This Row],[Date]],"mmm")</f>
        <v>Nov</v>
      </c>
      <c r="M167">
        <f>YEAR(SalesData[[#This Row],[Date]])</f>
        <v>2023</v>
      </c>
      <c r="N167">
        <f>WEEKNUM(SalesData[[#This Row],[Date]])</f>
        <v>45</v>
      </c>
      <c r="O167" t="s">
        <v>2351</v>
      </c>
      <c r="P167" t="s">
        <v>2523</v>
      </c>
      <c r="Q167" t="s">
        <v>2527</v>
      </c>
    </row>
    <row r="168" spans="1:17" x14ac:dyDescent="0.35">
      <c r="A168" t="s">
        <v>1069</v>
      </c>
      <c r="B168" s="3">
        <v>45255</v>
      </c>
      <c r="C168" t="s">
        <v>2022</v>
      </c>
      <c r="D168" t="s">
        <v>2024</v>
      </c>
      <c r="E168" s="8">
        <v>2690</v>
      </c>
      <c r="F168">
        <v>1</v>
      </c>
      <c r="G168">
        <v>0</v>
      </c>
      <c r="H168" s="8">
        <v>2690</v>
      </c>
      <c r="I168">
        <v>1836.89</v>
      </c>
      <c r="J168">
        <v>853.11</v>
      </c>
      <c r="K168" s="5">
        <f>IF(SalesData[[#This Row],[Total Revenue]]=0,0,SalesData[[#This Row],[Profit]]/SalesData[[#This Row],[Total Revenue]])</f>
        <v>0.31714126394052045</v>
      </c>
      <c r="L168" s="5" t="str">
        <f>TEXT(SalesData[[#This Row],[Date]],"mmm")</f>
        <v>Nov</v>
      </c>
      <c r="M168">
        <f>YEAR(SalesData[[#This Row],[Date]])</f>
        <v>2023</v>
      </c>
      <c r="N168">
        <f>WEEKNUM(SalesData[[#This Row],[Date]])</f>
        <v>47</v>
      </c>
      <c r="O168" t="s">
        <v>2466</v>
      </c>
      <c r="P168" t="s">
        <v>2522</v>
      </c>
      <c r="Q168" t="s">
        <v>2525</v>
      </c>
    </row>
    <row r="169" spans="1:17" x14ac:dyDescent="0.35">
      <c r="A169" t="s">
        <v>592</v>
      </c>
      <c r="B169" s="3">
        <v>45078</v>
      </c>
      <c r="C169" t="s">
        <v>2022</v>
      </c>
      <c r="D169" t="s">
        <v>2024</v>
      </c>
      <c r="E169" s="8">
        <v>3168</v>
      </c>
      <c r="F169">
        <v>1</v>
      </c>
      <c r="G169">
        <v>15</v>
      </c>
      <c r="H169" s="8">
        <v>2692.8</v>
      </c>
      <c r="I169">
        <v>2127.38</v>
      </c>
      <c r="J169">
        <v>565.41999999999996</v>
      </c>
      <c r="K169" s="5">
        <f>IF(SalesData[[#This Row],[Total Revenue]]=0,0,SalesData[[#This Row],[Profit]]/SalesData[[#This Row],[Total Revenue]])</f>
        <v>0.20997474747474745</v>
      </c>
      <c r="L169" s="5" t="str">
        <f>TEXT(SalesData[[#This Row],[Date]],"mmm")</f>
        <v>Jun</v>
      </c>
      <c r="M169">
        <f>YEAR(SalesData[[#This Row],[Date]])</f>
        <v>2023</v>
      </c>
      <c r="N169">
        <f>WEEKNUM(SalesData[[#This Row],[Date]])</f>
        <v>22</v>
      </c>
      <c r="O169" t="s">
        <v>2366</v>
      </c>
      <c r="P169" t="s">
        <v>2523</v>
      </c>
      <c r="Q169" t="s">
        <v>2525</v>
      </c>
    </row>
    <row r="170" spans="1:17" x14ac:dyDescent="0.35">
      <c r="A170" t="s">
        <v>546</v>
      </c>
      <c r="B170" s="3">
        <v>44992</v>
      </c>
      <c r="C170" t="s">
        <v>2020</v>
      </c>
      <c r="D170" t="s">
        <v>2028</v>
      </c>
      <c r="E170" s="8">
        <v>2702</v>
      </c>
      <c r="F170">
        <v>1</v>
      </c>
      <c r="G170">
        <v>0</v>
      </c>
      <c r="H170" s="8">
        <v>2702</v>
      </c>
      <c r="I170">
        <v>1822.84</v>
      </c>
      <c r="J170">
        <v>879.16</v>
      </c>
      <c r="K170" s="5">
        <f>IF(SalesData[[#This Row],[Total Revenue]]=0,0,SalesData[[#This Row],[Profit]]/SalesData[[#This Row],[Total Revenue]])</f>
        <v>0.32537379718726867</v>
      </c>
      <c r="L170" s="5" t="str">
        <f>TEXT(SalesData[[#This Row],[Date]],"mmm")</f>
        <v>Mar</v>
      </c>
      <c r="M170">
        <f>YEAR(SalesData[[#This Row],[Date]])</f>
        <v>2023</v>
      </c>
      <c r="N170">
        <f>WEEKNUM(SalesData[[#This Row],[Date]])</f>
        <v>10</v>
      </c>
      <c r="O170" t="s">
        <v>2190</v>
      </c>
      <c r="P170" t="s">
        <v>2523</v>
      </c>
      <c r="Q170" t="s">
        <v>2527</v>
      </c>
    </row>
    <row r="171" spans="1:17" x14ac:dyDescent="0.35">
      <c r="A171" t="s">
        <v>273</v>
      </c>
      <c r="B171" s="3">
        <v>45229</v>
      </c>
      <c r="C171" t="s">
        <v>2016</v>
      </c>
      <c r="D171" t="s">
        <v>2025</v>
      </c>
      <c r="E171" s="8">
        <v>3004</v>
      </c>
      <c r="F171">
        <v>1</v>
      </c>
      <c r="G171">
        <v>10</v>
      </c>
      <c r="H171" s="8">
        <v>2703.6</v>
      </c>
      <c r="I171">
        <v>2243.69</v>
      </c>
      <c r="J171">
        <v>459.91</v>
      </c>
      <c r="K171" s="5">
        <f>IF(SalesData[[#This Row],[Total Revenue]]=0,0,SalesData[[#This Row],[Profit]]/SalesData[[#This Row],[Total Revenue]])</f>
        <v>0.17011022340582929</v>
      </c>
      <c r="L171" s="5" t="str">
        <f>TEXT(SalesData[[#This Row],[Date]],"mmm")</f>
        <v>Oct</v>
      </c>
      <c r="M171">
        <f>YEAR(SalesData[[#This Row],[Date]])</f>
        <v>2023</v>
      </c>
      <c r="N171">
        <f>WEEKNUM(SalesData[[#This Row],[Date]])</f>
        <v>44</v>
      </c>
      <c r="O171" t="s">
        <v>2044</v>
      </c>
      <c r="P171" t="s">
        <v>2522</v>
      </c>
      <c r="Q171" t="s">
        <v>2525</v>
      </c>
    </row>
    <row r="172" spans="1:17" x14ac:dyDescent="0.35">
      <c r="A172" t="s">
        <v>1909</v>
      </c>
      <c r="B172" s="3">
        <v>44982</v>
      </c>
      <c r="C172" t="s">
        <v>2022</v>
      </c>
      <c r="D172" t="s">
        <v>2024</v>
      </c>
      <c r="E172" s="8">
        <v>2713</v>
      </c>
      <c r="F172">
        <v>1</v>
      </c>
      <c r="G172">
        <v>0</v>
      </c>
      <c r="H172" s="8">
        <v>2713</v>
      </c>
      <c r="I172">
        <v>1833.59</v>
      </c>
      <c r="J172">
        <v>879.41</v>
      </c>
      <c r="K172" s="5">
        <f>IF(SalesData[[#This Row],[Total Revenue]]=0,0,SalesData[[#This Row],[Profit]]/SalesData[[#This Row],[Total Revenue]])</f>
        <v>0.3241467010689274</v>
      </c>
      <c r="L172" s="5" t="str">
        <f>TEXT(SalesData[[#This Row],[Date]],"mmm")</f>
        <v>Feb</v>
      </c>
      <c r="M172">
        <f>YEAR(SalesData[[#This Row],[Date]])</f>
        <v>2023</v>
      </c>
      <c r="N172">
        <f>WEEKNUM(SalesData[[#This Row],[Date]])</f>
        <v>8</v>
      </c>
      <c r="O172" t="s">
        <v>2049</v>
      </c>
      <c r="P172" t="s">
        <v>2522</v>
      </c>
      <c r="Q172" t="s">
        <v>2526</v>
      </c>
    </row>
    <row r="173" spans="1:17" x14ac:dyDescent="0.35">
      <c r="A173" t="s">
        <v>1288</v>
      </c>
      <c r="B173" s="3">
        <v>44940</v>
      </c>
      <c r="C173" t="s">
        <v>2015</v>
      </c>
      <c r="D173" t="s">
        <v>2025</v>
      </c>
      <c r="E173" s="8">
        <v>2715</v>
      </c>
      <c r="F173">
        <v>1</v>
      </c>
      <c r="G173">
        <v>0</v>
      </c>
      <c r="H173" s="8">
        <v>2715</v>
      </c>
      <c r="I173">
        <v>1765.6</v>
      </c>
      <c r="J173">
        <v>949.4</v>
      </c>
      <c r="K173" s="5">
        <f>IF(SalesData[[#This Row],[Total Revenue]]=0,0,SalesData[[#This Row],[Profit]]/SalesData[[#This Row],[Total Revenue]])</f>
        <v>0.34968692449355432</v>
      </c>
      <c r="L173" s="5" t="str">
        <f>TEXT(SalesData[[#This Row],[Date]],"mmm")</f>
        <v>Jan</v>
      </c>
      <c r="M173">
        <f>YEAR(SalesData[[#This Row],[Date]])</f>
        <v>2023</v>
      </c>
      <c r="N173">
        <f>WEEKNUM(SalesData[[#This Row],[Date]])</f>
        <v>2</v>
      </c>
      <c r="O173" t="s">
        <v>2109</v>
      </c>
      <c r="P173" t="s">
        <v>2523</v>
      </c>
      <c r="Q173" t="s">
        <v>2525</v>
      </c>
    </row>
    <row r="174" spans="1:17" x14ac:dyDescent="0.35">
      <c r="A174" t="s">
        <v>1811</v>
      </c>
      <c r="B174" s="3">
        <v>45022</v>
      </c>
      <c r="C174" t="s">
        <v>2017</v>
      </c>
      <c r="D174" t="s">
        <v>2026</v>
      </c>
      <c r="E174" s="8">
        <v>2738</v>
      </c>
      <c r="F174">
        <v>1</v>
      </c>
      <c r="G174">
        <v>0</v>
      </c>
      <c r="H174" s="8">
        <v>2738</v>
      </c>
      <c r="I174">
        <v>2135.73</v>
      </c>
      <c r="J174">
        <v>602.27</v>
      </c>
      <c r="K174" s="5">
        <f>IF(SalesData[[#This Row],[Total Revenue]]=0,0,SalesData[[#This Row],[Profit]]/SalesData[[#This Row],[Total Revenue]])</f>
        <v>0.21996712929145362</v>
      </c>
      <c r="L174" s="5" t="str">
        <f>TEXT(SalesData[[#This Row],[Date]],"mmm")</f>
        <v>Apr</v>
      </c>
      <c r="M174">
        <f>YEAR(SalesData[[#This Row],[Date]])</f>
        <v>2023</v>
      </c>
      <c r="N174">
        <f>WEEKNUM(SalesData[[#This Row],[Date]])</f>
        <v>14</v>
      </c>
      <c r="O174" t="s">
        <v>2118</v>
      </c>
      <c r="P174" t="s">
        <v>2523</v>
      </c>
      <c r="Q174" t="s">
        <v>2525</v>
      </c>
    </row>
    <row r="175" spans="1:17" x14ac:dyDescent="0.35">
      <c r="A175" t="s">
        <v>765</v>
      </c>
      <c r="B175" s="3">
        <v>45250</v>
      </c>
      <c r="C175" t="s">
        <v>2015</v>
      </c>
      <c r="D175" t="s">
        <v>2025</v>
      </c>
      <c r="E175" s="8">
        <v>1370</v>
      </c>
      <c r="F175">
        <v>2</v>
      </c>
      <c r="G175">
        <v>0</v>
      </c>
      <c r="H175" s="8">
        <v>2740</v>
      </c>
      <c r="I175">
        <v>878.34</v>
      </c>
      <c r="J175">
        <v>983.32</v>
      </c>
      <c r="K175" s="5">
        <f>IF(SalesData[[#This Row],[Total Revenue]]=0,0,SalesData[[#This Row],[Profit]]/SalesData[[#This Row],[Total Revenue]])</f>
        <v>0.35887591240875916</v>
      </c>
      <c r="L175" s="5" t="str">
        <f>TEXT(SalesData[[#This Row],[Date]],"mmm")</f>
        <v>Nov</v>
      </c>
      <c r="M175">
        <f>YEAR(SalesData[[#This Row],[Date]])</f>
        <v>2023</v>
      </c>
      <c r="N175">
        <f>WEEKNUM(SalesData[[#This Row],[Date]])</f>
        <v>47</v>
      </c>
      <c r="O175" t="s">
        <v>2417</v>
      </c>
      <c r="P175" t="s">
        <v>2522</v>
      </c>
      <c r="Q175" t="s">
        <v>2525</v>
      </c>
    </row>
    <row r="176" spans="1:17" x14ac:dyDescent="0.35">
      <c r="A176" t="s">
        <v>419</v>
      </c>
      <c r="B176" s="3">
        <v>45258</v>
      </c>
      <c r="C176" t="s">
        <v>2019</v>
      </c>
      <c r="D176" t="s">
        <v>2027</v>
      </c>
      <c r="E176" s="8">
        <v>1086</v>
      </c>
      <c r="F176">
        <v>3</v>
      </c>
      <c r="G176">
        <v>15</v>
      </c>
      <c r="H176" s="8">
        <v>2769.3</v>
      </c>
      <c r="I176">
        <v>758.9</v>
      </c>
      <c r="J176">
        <v>492.59</v>
      </c>
      <c r="K176" s="5">
        <f>IF(SalesData[[#This Row],[Total Revenue]]=0,0,SalesData[[#This Row],[Profit]]/SalesData[[#This Row],[Total Revenue]])</f>
        <v>0.1778752753403387</v>
      </c>
      <c r="L176" s="5" t="str">
        <f>TEXT(SalesData[[#This Row],[Date]],"mmm")</f>
        <v>Nov</v>
      </c>
      <c r="M176">
        <f>YEAR(SalesData[[#This Row],[Date]])</f>
        <v>2023</v>
      </c>
      <c r="N176">
        <f>WEEKNUM(SalesData[[#This Row],[Date]])</f>
        <v>48</v>
      </c>
      <c r="O176" t="s">
        <v>2198</v>
      </c>
      <c r="P176" t="s">
        <v>2523</v>
      </c>
      <c r="Q176" t="s">
        <v>2526</v>
      </c>
    </row>
    <row r="177" spans="1:17" x14ac:dyDescent="0.35">
      <c r="A177" t="s">
        <v>988</v>
      </c>
      <c r="B177" s="3">
        <v>44984</v>
      </c>
      <c r="C177" t="s">
        <v>2020</v>
      </c>
      <c r="D177" t="s">
        <v>2028</v>
      </c>
      <c r="E177" s="8">
        <v>925</v>
      </c>
      <c r="F177">
        <v>3</v>
      </c>
      <c r="G177">
        <v>0</v>
      </c>
      <c r="H177" s="8">
        <v>2775</v>
      </c>
      <c r="I177">
        <v>619.41999999999996</v>
      </c>
      <c r="J177">
        <v>916.73</v>
      </c>
      <c r="K177" s="5">
        <f>IF(SalesData[[#This Row],[Total Revenue]]=0,0,SalesData[[#This Row],[Profit]]/SalesData[[#This Row],[Total Revenue]])</f>
        <v>0.33035315315315317</v>
      </c>
      <c r="L177" s="5" t="str">
        <f>TEXT(SalesData[[#This Row],[Date]],"mmm")</f>
        <v>Feb</v>
      </c>
      <c r="M177">
        <f>YEAR(SalesData[[#This Row],[Date]])</f>
        <v>2023</v>
      </c>
      <c r="N177">
        <f>WEEKNUM(SalesData[[#This Row],[Date]])</f>
        <v>9</v>
      </c>
      <c r="O177" t="s">
        <v>2404</v>
      </c>
      <c r="P177" t="s">
        <v>2522</v>
      </c>
      <c r="Q177" t="s">
        <v>2527</v>
      </c>
    </row>
    <row r="178" spans="1:17" x14ac:dyDescent="0.35">
      <c r="A178" t="s">
        <v>16</v>
      </c>
      <c r="B178" s="3">
        <v>45022</v>
      </c>
      <c r="C178" t="s">
        <v>2016</v>
      </c>
      <c r="D178" t="s">
        <v>2025</v>
      </c>
      <c r="E178" s="8">
        <v>3090</v>
      </c>
      <c r="F178">
        <v>1</v>
      </c>
      <c r="G178">
        <v>10</v>
      </c>
      <c r="H178" s="8">
        <v>2781</v>
      </c>
      <c r="I178">
        <v>1673.21</v>
      </c>
      <c r="J178">
        <v>1107.79</v>
      </c>
      <c r="K178" s="5">
        <f>IF(SalesData[[#This Row],[Total Revenue]]=0,0,SalesData[[#This Row],[Profit]]/SalesData[[#This Row],[Total Revenue]])</f>
        <v>0.3983423229054297</v>
      </c>
      <c r="L178" s="5" t="str">
        <f>TEXT(SalesData[[#This Row],[Date]],"mmm")</f>
        <v>Apr</v>
      </c>
      <c r="M178">
        <f>YEAR(SalesData[[#This Row],[Date]])</f>
        <v>2023</v>
      </c>
      <c r="N178">
        <f>WEEKNUM(SalesData[[#This Row],[Date]])</f>
        <v>14</v>
      </c>
      <c r="O178" t="s">
        <v>2032</v>
      </c>
      <c r="P178" t="s">
        <v>2522</v>
      </c>
      <c r="Q178" t="s">
        <v>2525</v>
      </c>
    </row>
    <row r="179" spans="1:17" x14ac:dyDescent="0.35">
      <c r="A179" t="s">
        <v>1740</v>
      </c>
      <c r="B179" s="3">
        <v>45031</v>
      </c>
      <c r="C179" t="s">
        <v>2021</v>
      </c>
      <c r="D179" t="s">
        <v>2028</v>
      </c>
      <c r="E179" s="8">
        <v>3302</v>
      </c>
      <c r="F179">
        <v>1</v>
      </c>
      <c r="G179">
        <v>15</v>
      </c>
      <c r="H179" s="8">
        <v>2806.7</v>
      </c>
      <c r="I179">
        <v>2442.0700000000002</v>
      </c>
      <c r="J179">
        <v>364.63</v>
      </c>
      <c r="K179" s="5">
        <f>IF(SalesData[[#This Row],[Total Revenue]]=0,0,SalesData[[#This Row],[Profit]]/SalesData[[#This Row],[Total Revenue]])</f>
        <v>0.12991413403641289</v>
      </c>
      <c r="L179" s="5" t="str">
        <f>TEXT(SalesData[[#This Row],[Date]],"mmm")</f>
        <v>Apr</v>
      </c>
      <c r="M179">
        <f>YEAR(SalesData[[#This Row],[Date]])</f>
        <v>2023</v>
      </c>
      <c r="N179">
        <f>WEEKNUM(SalesData[[#This Row],[Date]])</f>
        <v>15</v>
      </c>
      <c r="O179" t="s">
        <v>2510</v>
      </c>
      <c r="P179" t="s">
        <v>2522</v>
      </c>
      <c r="Q179" t="s">
        <v>2524</v>
      </c>
    </row>
    <row r="180" spans="1:17" x14ac:dyDescent="0.35">
      <c r="A180" t="s">
        <v>1819</v>
      </c>
      <c r="B180" s="3">
        <v>45084</v>
      </c>
      <c r="C180" t="s">
        <v>2020</v>
      </c>
      <c r="D180" t="s">
        <v>2028</v>
      </c>
      <c r="E180" s="8">
        <v>2971</v>
      </c>
      <c r="F180">
        <v>1</v>
      </c>
      <c r="G180">
        <v>5</v>
      </c>
      <c r="H180" s="8">
        <v>2822.45</v>
      </c>
      <c r="I180">
        <v>2355.35</v>
      </c>
      <c r="J180">
        <v>467.1</v>
      </c>
      <c r="K180" s="5">
        <f>IF(SalesData[[#This Row],[Total Revenue]]=0,0,SalesData[[#This Row],[Profit]]/SalesData[[#This Row],[Total Revenue]])</f>
        <v>0.16549451717479496</v>
      </c>
      <c r="L180" s="5" t="str">
        <f>TEXT(SalesData[[#This Row],[Date]],"mmm")</f>
        <v>Jun</v>
      </c>
      <c r="M180">
        <f>YEAR(SalesData[[#This Row],[Date]])</f>
        <v>2023</v>
      </c>
      <c r="N180">
        <f>WEEKNUM(SalesData[[#This Row],[Date]])</f>
        <v>23</v>
      </c>
      <c r="O180" t="s">
        <v>2176</v>
      </c>
      <c r="P180" t="s">
        <v>2523</v>
      </c>
      <c r="Q180" t="s">
        <v>2526</v>
      </c>
    </row>
    <row r="181" spans="1:17" x14ac:dyDescent="0.35">
      <c r="A181" t="s">
        <v>42</v>
      </c>
      <c r="B181" s="3">
        <v>45245</v>
      </c>
      <c r="C181" t="s">
        <v>2014</v>
      </c>
      <c r="D181" t="s">
        <v>2024</v>
      </c>
      <c r="E181" s="8">
        <v>941</v>
      </c>
      <c r="F181">
        <v>3</v>
      </c>
      <c r="G181">
        <v>0</v>
      </c>
      <c r="H181" s="8">
        <v>2823</v>
      </c>
      <c r="I181">
        <v>657.61</v>
      </c>
      <c r="J181">
        <v>850.18</v>
      </c>
      <c r="K181" s="5">
        <f>IF(SalesData[[#This Row],[Total Revenue]]=0,0,SalesData[[#This Row],[Profit]]/SalesData[[#This Row],[Total Revenue]])</f>
        <v>0.30116188452001413</v>
      </c>
      <c r="L181" s="5" t="str">
        <f>TEXT(SalesData[[#This Row],[Date]],"mmm")</f>
        <v>Nov</v>
      </c>
      <c r="M181">
        <f>YEAR(SalesData[[#This Row],[Date]])</f>
        <v>2023</v>
      </c>
      <c r="N181">
        <f>WEEKNUM(SalesData[[#This Row],[Date]])</f>
        <v>46</v>
      </c>
      <c r="O181" t="s">
        <v>2057</v>
      </c>
      <c r="P181" t="s">
        <v>2523</v>
      </c>
      <c r="Q181" t="s">
        <v>2527</v>
      </c>
    </row>
    <row r="182" spans="1:17" x14ac:dyDescent="0.35">
      <c r="A182" t="s">
        <v>1982</v>
      </c>
      <c r="B182" s="3">
        <v>45290</v>
      </c>
      <c r="C182" t="s">
        <v>2015</v>
      </c>
      <c r="D182" t="s">
        <v>2025</v>
      </c>
      <c r="E182" s="8">
        <v>2972</v>
      </c>
      <c r="F182">
        <v>1</v>
      </c>
      <c r="G182">
        <v>5</v>
      </c>
      <c r="H182" s="8">
        <v>2823.4</v>
      </c>
      <c r="I182">
        <v>1882.64</v>
      </c>
      <c r="J182">
        <v>940.76</v>
      </c>
      <c r="K182" s="5">
        <f>IF(SalesData[[#This Row],[Total Revenue]]=0,0,SalesData[[#This Row],[Profit]]/SalesData[[#This Row],[Total Revenue]])</f>
        <v>0.33320110505064815</v>
      </c>
      <c r="L182" s="5" t="str">
        <f>TEXT(SalesData[[#This Row],[Date]],"mmm")</f>
        <v>Dec</v>
      </c>
      <c r="M182">
        <f>YEAR(SalesData[[#This Row],[Date]])</f>
        <v>2023</v>
      </c>
      <c r="N182">
        <f>WEEKNUM(SalesData[[#This Row],[Date]])</f>
        <v>52</v>
      </c>
      <c r="O182" t="s">
        <v>2125</v>
      </c>
      <c r="P182" t="s">
        <v>2522</v>
      </c>
      <c r="Q182" t="s">
        <v>2525</v>
      </c>
    </row>
    <row r="183" spans="1:17" x14ac:dyDescent="0.35">
      <c r="A183" t="s">
        <v>1654</v>
      </c>
      <c r="B183" s="3">
        <v>45107</v>
      </c>
      <c r="C183" t="s">
        <v>2019</v>
      </c>
      <c r="D183" t="s">
        <v>2027</v>
      </c>
      <c r="E183" s="8">
        <v>1492</v>
      </c>
      <c r="F183">
        <v>2</v>
      </c>
      <c r="G183">
        <v>5</v>
      </c>
      <c r="H183" s="8">
        <v>2834.8</v>
      </c>
      <c r="I183">
        <v>749.04</v>
      </c>
      <c r="J183">
        <v>1336.73</v>
      </c>
      <c r="K183" s="5">
        <f>IF(SalesData[[#This Row],[Total Revenue]]=0,0,SalesData[[#This Row],[Profit]]/SalesData[[#This Row],[Total Revenue]])</f>
        <v>0.47154296599407364</v>
      </c>
      <c r="L183" s="5" t="str">
        <f>TEXT(SalesData[[#This Row],[Date]],"mmm")</f>
        <v>Jun</v>
      </c>
      <c r="M183">
        <f>YEAR(SalesData[[#This Row],[Date]])</f>
        <v>2023</v>
      </c>
      <c r="N183">
        <f>WEEKNUM(SalesData[[#This Row],[Date]])</f>
        <v>26</v>
      </c>
      <c r="O183" t="s">
        <v>2333</v>
      </c>
      <c r="P183" t="s">
        <v>2522</v>
      </c>
      <c r="Q183" t="s">
        <v>2525</v>
      </c>
    </row>
    <row r="184" spans="1:17" x14ac:dyDescent="0.35">
      <c r="A184" t="s">
        <v>158</v>
      </c>
      <c r="B184" s="3">
        <v>45001</v>
      </c>
      <c r="C184" t="s">
        <v>2022</v>
      </c>
      <c r="D184" t="s">
        <v>2024</v>
      </c>
      <c r="E184" s="8">
        <v>3362</v>
      </c>
      <c r="F184">
        <v>1</v>
      </c>
      <c r="G184">
        <v>15</v>
      </c>
      <c r="H184" s="8">
        <v>2857.7</v>
      </c>
      <c r="I184">
        <v>2422.35</v>
      </c>
      <c r="J184">
        <v>435.35</v>
      </c>
      <c r="K184" s="5">
        <f>IF(SalesData[[#This Row],[Total Revenue]]=0,0,SalesData[[#This Row],[Profit]]/SalesData[[#This Row],[Total Revenue]])</f>
        <v>0.15234279315533472</v>
      </c>
      <c r="L184" s="5" t="str">
        <f>TEXT(SalesData[[#This Row],[Date]],"mmm")</f>
        <v>Mar</v>
      </c>
      <c r="M184">
        <f>YEAR(SalesData[[#This Row],[Date]])</f>
        <v>2023</v>
      </c>
      <c r="N184">
        <f>WEEKNUM(SalesData[[#This Row],[Date]])</f>
        <v>11</v>
      </c>
      <c r="O184" t="s">
        <v>2157</v>
      </c>
      <c r="P184" t="s">
        <v>2523</v>
      </c>
      <c r="Q184" t="s">
        <v>2526</v>
      </c>
    </row>
    <row r="185" spans="1:17" x14ac:dyDescent="0.35">
      <c r="A185" t="s">
        <v>1286</v>
      </c>
      <c r="B185" s="3">
        <v>44944</v>
      </c>
      <c r="C185" t="s">
        <v>2014</v>
      </c>
      <c r="D185" t="s">
        <v>2024</v>
      </c>
      <c r="E185" s="8">
        <v>3059</v>
      </c>
      <c r="F185">
        <v>1</v>
      </c>
      <c r="G185">
        <v>5</v>
      </c>
      <c r="H185" s="8">
        <v>2906.05</v>
      </c>
      <c r="I185">
        <v>1941.15</v>
      </c>
      <c r="J185">
        <v>964.9</v>
      </c>
      <c r="K185" s="5">
        <f>IF(SalesData[[#This Row],[Total Revenue]]=0,0,SalesData[[#This Row],[Profit]]/SalesData[[#This Row],[Total Revenue]])</f>
        <v>0.33203145162677861</v>
      </c>
      <c r="L185" s="5" t="str">
        <f>TEXT(SalesData[[#This Row],[Date]],"mmm")</f>
        <v>Jan</v>
      </c>
      <c r="M185">
        <f>YEAR(SalesData[[#This Row],[Date]])</f>
        <v>2023</v>
      </c>
      <c r="N185">
        <f>WEEKNUM(SalesData[[#This Row],[Date]])</f>
        <v>3</v>
      </c>
      <c r="O185" t="s">
        <v>2346</v>
      </c>
      <c r="P185" t="s">
        <v>2523</v>
      </c>
      <c r="Q185" t="s">
        <v>2527</v>
      </c>
    </row>
    <row r="186" spans="1:17" x14ac:dyDescent="0.35">
      <c r="A186" t="s">
        <v>1761</v>
      </c>
      <c r="B186" s="3">
        <v>45037</v>
      </c>
      <c r="C186" t="s">
        <v>2016</v>
      </c>
      <c r="D186" t="s">
        <v>2025</v>
      </c>
      <c r="E186" s="8">
        <v>3453</v>
      </c>
      <c r="F186">
        <v>1</v>
      </c>
      <c r="G186">
        <v>15</v>
      </c>
      <c r="H186" s="8">
        <v>2935.05</v>
      </c>
      <c r="I186">
        <v>2030.72</v>
      </c>
      <c r="J186">
        <v>904.33</v>
      </c>
      <c r="K186" s="5">
        <f>IF(SalesData[[#This Row],[Total Revenue]]=0,0,SalesData[[#This Row],[Profit]]/SalesData[[#This Row],[Total Revenue]])</f>
        <v>0.30811400146505169</v>
      </c>
      <c r="L186" s="5" t="str">
        <f>TEXT(SalesData[[#This Row],[Date]],"mmm")</f>
        <v>Apr</v>
      </c>
      <c r="M186">
        <f>YEAR(SalesData[[#This Row],[Date]])</f>
        <v>2023</v>
      </c>
      <c r="N186">
        <f>WEEKNUM(SalesData[[#This Row],[Date]])</f>
        <v>16</v>
      </c>
      <c r="O186" t="s">
        <v>2300</v>
      </c>
      <c r="P186" t="s">
        <v>2522</v>
      </c>
      <c r="Q186" t="s">
        <v>2524</v>
      </c>
    </row>
    <row r="187" spans="1:17" x14ac:dyDescent="0.35">
      <c r="A187" t="s">
        <v>331</v>
      </c>
      <c r="B187" s="3">
        <v>45040</v>
      </c>
      <c r="C187" t="s">
        <v>2017</v>
      </c>
      <c r="D187" t="s">
        <v>2026</v>
      </c>
      <c r="E187" s="8">
        <v>866</v>
      </c>
      <c r="F187">
        <v>4</v>
      </c>
      <c r="G187">
        <v>15</v>
      </c>
      <c r="H187" s="8">
        <v>2944.4</v>
      </c>
      <c r="I187">
        <v>619.16</v>
      </c>
      <c r="J187">
        <v>467.75</v>
      </c>
      <c r="K187" s="5">
        <f>IF(SalesData[[#This Row],[Total Revenue]]=0,0,SalesData[[#This Row],[Profit]]/SalesData[[#This Row],[Total Revenue]])</f>
        <v>0.158860888466241</v>
      </c>
      <c r="L187" s="5" t="str">
        <f>TEXT(SalesData[[#This Row],[Date]],"mmm")</f>
        <v>Apr</v>
      </c>
      <c r="M187">
        <f>YEAR(SalesData[[#This Row],[Date]])</f>
        <v>2023</v>
      </c>
      <c r="N187">
        <f>WEEKNUM(SalesData[[#This Row],[Date]])</f>
        <v>17</v>
      </c>
      <c r="O187" t="s">
        <v>2197</v>
      </c>
      <c r="P187" t="s">
        <v>2523</v>
      </c>
      <c r="Q187" t="s">
        <v>2527</v>
      </c>
    </row>
    <row r="188" spans="1:17" x14ac:dyDescent="0.35">
      <c r="A188" t="s">
        <v>226</v>
      </c>
      <c r="B188" s="3">
        <v>45076</v>
      </c>
      <c r="C188" t="s">
        <v>2015</v>
      </c>
      <c r="D188" t="s">
        <v>2025</v>
      </c>
      <c r="E188" s="8">
        <v>3118</v>
      </c>
      <c r="F188">
        <v>1</v>
      </c>
      <c r="G188">
        <v>5</v>
      </c>
      <c r="H188" s="8">
        <v>2962.1</v>
      </c>
      <c r="I188">
        <v>2231.77</v>
      </c>
      <c r="J188">
        <v>730.33</v>
      </c>
      <c r="K188" s="5">
        <f>IF(SalesData[[#This Row],[Total Revenue]]=0,0,SalesData[[#This Row],[Profit]]/SalesData[[#This Row],[Total Revenue]])</f>
        <v>0.24655818507140206</v>
      </c>
      <c r="L188" s="5" t="str">
        <f>TEXT(SalesData[[#This Row],[Date]],"mmm")</f>
        <v>May</v>
      </c>
      <c r="M188">
        <f>YEAR(SalesData[[#This Row],[Date]])</f>
        <v>2023</v>
      </c>
      <c r="N188">
        <f>WEEKNUM(SalesData[[#This Row],[Date]])</f>
        <v>22</v>
      </c>
      <c r="O188" t="s">
        <v>2201</v>
      </c>
      <c r="P188" t="s">
        <v>2523</v>
      </c>
      <c r="Q188" t="s">
        <v>2527</v>
      </c>
    </row>
    <row r="189" spans="1:17" x14ac:dyDescent="0.35">
      <c r="A189" t="s">
        <v>149</v>
      </c>
      <c r="B189" s="3">
        <v>44928</v>
      </c>
      <c r="C189" t="s">
        <v>2022</v>
      </c>
      <c r="D189" t="s">
        <v>2024</v>
      </c>
      <c r="E189" s="8">
        <v>2964</v>
      </c>
      <c r="F189">
        <v>1</v>
      </c>
      <c r="G189">
        <v>0</v>
      </c>
      <c r="H189" s="8">
        <v>2964</v>
      </c>
      <c r="I189">
        <v>1787.32</v>
      </c>
      <c r="J189">
        <v>1176.68</v>
      </c>
      <c r="K189" s="5">
        <f>IF(SalesData[[#This Row],[Total Revenue]]=0,0,SalesData[[#This Row],[Profit]]/SalesData[[#This Row],[Total Revenue]])</f>
        <v>0.39699055330634281</v>
      </c>
      <c r="L189" s="5" t="str">
        <f>TEXT(SalesData[[#This Row],[Date]],"mmm")</f>
        <v>Jan</v>
      </c>
      <c r="M189">
        <f>YEAR(SalesData[[#This Row],[Date]])</f>
        <v>2023</v>
      </c>
      <c r="N189">
        <f>WEEKNUM(SalesData[[#This Row],[Date]])</f>
        <v>1</v>
      </c>
      <c r="O189" t="s">
        <v>2150</v>
      </c>
      <c r="P189" t="s">
        <v>2523</v>
      </c>
      <c r="Q189" t="s">
        <v>2525</v>
      </c>
    </row>
    <row r="190" spans="1:17" x14ac:dyDescent="0.35">
      <c r="A190" t="s">
        <v>428</v>
      </c>
      <c r="B190" s="3">
        <v>45288</v>
      </c>
      <c r="C190" t="s">
        <v>2020</v>
      </c>
      <c r="D190" t="s">
        <v>2028</v>
      </c>
      <c r="E190" s="8">
        <v>1747</v>
      </c>
      <c r="F190">
        <v>2</v>
      </c>
      <c r="G190">
        <v>15</v>
      </c>
      <c r="H190" s="8">
        <v>2969.9</v>
      </c>
      <c r="I190">
        <v>1386.78</v>
      </c>
      <c r="J190">
        <v>196.34</v>
      </c>
      <c r="K190" s="5">
        <f>IF(SalesData[[#This Row],[Total Revenue]]=0,0,SalesData[[#This Row],[Profit]]/SalesData[[#This Row],[Total Revenue]])</f>
        <v>6.6109970032661031E-2</v>
      </c>
      <c r="L190" s="5" t="str">
        <f>TEXT(SalesData[[#This Row],[Date]],"mmm")</f>
        <v>Dec</v>
      </c>
      <c r="M190">
        <f>YEAR(SalesData[[#This Row],[Date]])</f>
        <v>2023</v>
      </c>
      <c r="N190">
        <f>WEEKNUM(SalesData[[#This Row],[Date]])</f>
        <v>52</v>
      </c>
      <c r="O190" t="s">
        <v>2121</v>
      </c>
      <c r="P190" t="s">
        <v>2523</v>
      </c>
      <c r="Q190" t="s">
        <v>2526</v>
      </c>
    </row>
    <row r="191" spans="1:17" x14ac:dyDescent="0.35">
      <c r="A191" t="s">
        <v>1083</v>
      </c>
      <c r="B191" s="3">
        <v>45153</v>
      </c>
      <c r="C191" t="s">
        <v>2013</v>
      </c>
      <c r="D191" t="s">
        <v>2023</v>
      </c>
      <c r="E191" s="8">
        <v>828</v>
      </c>
      <c r="F191">
        <v>4</v>
      </c>
      <c r="G191">
        <v>10</v>
      </c>
      <c r="H191" s="8">
        <v>2980.8</v>
      </c>
      <c r="I191">
        <v>514.04999999999995</v>
      </c>
      <c r="J191">
        <v>924.61</v>
      </c>
      <c r="K191" s="5">
        <f>IF(SalesData[[#This Row],[Total Revenue]]=0,0,SalesData[[#This Row],[Profit]]/SalesData[[#This Row],[Total Revenue]])</f>
        <v>0.3101885399892646</v>
      </c>
      <c r="L191" s="5" t="str">
        <f>TEXT(SalesData[[#This Row],[Date]],"mmm")</f>
        <v>Aug</v>
      </c>
      <c r="M191">
        <f>YEAR(SalesData[[#This Row],[Date]])</f>
        <v>2023</v>
      </c>
      <c r="N191">
        <f>WEEKNUM(SalesData[[#This Row],[Date]])</f>
        <v>33</v>
      </c>
      <c r="O191" t="s">
        <v>2467</v>
      </c>
      <c r="P191" t="s">
        <v>2523</v>
      </c>
      <c r="Q191" t="s">
        <v>2526</v>
      </c>
    </row>
    <row r="192" spans="1:17" x14ac:dyDescent="0.35">
      <c r="A192" t="s">
        <v>1441</v>
      </c>
      <c r="B192" s="3">
        <v>45112</v>
      </c>
      <c r="C192" t="s">
        <v>2013</v>
      </c>
      <c r="D192" t="s">
        <v>2023</v>
      </c>
      <c r="E192" s="8">
        <v>1570</v>
      </c>
      <c r="F192">
        <v>2</v>
      </c>
      <c r="G192">
        <v>5</v>
      </c>
      <c r="H192" s="8">
        <v>2983</v>
      </c>
      <c r="I192">
        <v>926.45</v>
      </c>
      <c r="J192">
        <v>1130.0899999999999</v>
      </c>
      <c r="K192" s="5">
        <f>IF(SalesData[[#This Row],[Total Revenue]]=0,0,SalesData[[#This Row],[Profit]]/SalesData[[#This Row],[Total Revenue]])</f>
        <v>0.37884344619510557</v>
      </c>
      <c r="L192" s="5" t="str">
        <f>TEXT(SalesData[[#This Row],[Date]],"mmm")</f>
        <v>Jul</v>
      </c>
      <c r="M192">
        <f>YEAR(SalesData[[#This Row],[Date]])</f>
        <v>2023</v>
      </c>
      <c r="N192">
        <f>WEEKNUM(SalesData[[#This Row],[Date]])</f>
        <v>27</v>
      </c>
      <c r="O192" t="s">
        <v>2503</v>
      </c>
      <c r="P192" t="s">
        <v>2523</v>
      </c>
      <c r="Q192" t="s">
        <v>2524</v>
      </c>
    </row>
    <row r="193" spans="1:17" x14ac:dyDescent="0.35">
      <c r="A193" t="s">
        <v>227</v>
      </c>
      <c r="B193" s="3">
        <v>45082</v>
      </c>
      <c r="C193" t="s">
        <v>2016</v>
      </c>
      <c r="D193" t="s">
        <v>2025</v>
      </c>
      <c r="E193" s="8">
        <v>3513</v>
      </c>
      <c r="F193">
        <v>1</v>
      </c>
      <c r="G193">
        <v>15</v>
      </c>
      <c r="H193" s="8">
        <v>2986.05</v>
      </c>
      <c r="I193">
        <v>2639.46</v>
      </c>
      <c r="J193">
        <v>346.59</v>
      </c>
      <c r="K193" s="5">
        <f>IF(SalesData[[#This Row],[Total Revenue]]=0,0,SalesData[[#This Row],[Profit]]/SalesData[[#This Row],[Total Revenue]])</f>
        <v>0.11606972421761189</v>
      </c>
      <c r="L193" s="5" t="str">
        <f>TEXT(SalesData[[#This Row],[Date]],"mmm")</f>
        <v>Jun</v>
      </c>
      <c r="M193">
        <f>YEAR(SalesData[[#This Row],[Date]])</f>
        <v>2023</v>
      </c>
      <c r="N193">
        <f>WEEKNUM(SalesData[[#This Row],[Date]])</f>
        <v>23</v>
      </c>
      <c r="O193" t="s">
        <v>2046</v>
      </c>
      <c r="P193" t="s">
        <v>2522</v>
      </c>
      <c r="Q193" t="s">
        <v>2527</v>
      </c>
    </row>
    <row r="194" spans="1:17" x14ac:dyDescent="0.35">
      <c r="A194" t="s">
        <v>952</v>
      </c>
      <c r="B194" s="3">
        <v>45129</v>
      </c>
      <c r="C194" t="s">
        <v>2018</v>
      </c>
      <c r="D194" t="s">
        <v>2026</v>
      </c>
      <c r="E194" s="8">
        <v>3145</v>
      </c>
      <c r="F194">
        <v>1</v>
      </c>
      <c r="G194">
        <v>5</v>
      </c>
      <c r="H194" s="8">
        <v>2987.75</v>
      </c>
      <c r="I194">
        <v>2410.0100000000002</v>
      </c>
      <c r="J194">
        <v>577.74</v>
      </c>
      <c r="K194" s="5">
        <f>IF(SalesData[[#This Row],[Total Revenue]]=0,0,SalesData[[#This Row],[Profit]]/SalesData[[#This Row],[Total Revenue]])</f>
        <v>0.19336959250271943</v>
      </c>
      <c r="L194" s="5" t="str">
        <f>TEXT(SalesData[[#This Row],[Date]],"mmm")</f>
        <v>Jul</v>
      </c>
      <c r="M194">
        <f>YEAR(SalesData[[#This Row],[Date]])</f>
        <v>2023</v>
      </c>
      <c r="N194">
        <f>WEEKNUM(SalesData[[#This Row],[Date]])</f>
        <v>29</v>
      </c>
      <c r="O194" t="s">
        <v>2321</v>
      </c>
      <c r="P194" t="s">
        <v>2523</v>
      </c>
      <c r="Q194" t="s">
        <v>2524</v>
      </c>
    </row>
    <row r="195" spans="1:17" x14ac:dyDescent="0.35">
      <c r="A195" t="s">
        <v>1050</v>
      </c>
      <c r="B195" s="3">
        <v>45169</v>
      </c>
      <c r="C195" t="s">
        <v>2019</v>
      </c>
      <c r="D195" t="s">
        <v>2027</v>
      </c>
      <c r="E195" s="8">
        <v>3184</v>
      </c>
      <c r="F195">
        <v>1</v>
      </c>
      <c r="G195">
        <v>5</v>
      </c>
      <c r="H195" s="8">
        <v>3024.8</v>
      </c>
      <c r="I195">
        <v>2391.6799999999998</v>
      </c>
      <c r="J195">
        <v>633.12</v>
      </c>
      <c r="K195" s="5">
        <f>IF(SalesData[[#This Row],[Total Revenue]]=0,0,SalesData[[#This Row],[Profit]]/SalesData[[#This Row],[Total Revenue]])</f>
        <v>0.20930970642687119</v>
      </c>
      <c r="L195" s="5" t="str">
        <f>TEXT(SalesData[[#This Row],[Date]],"mmm")</f>
        <v>Aug</v>
      </c>
      <c r="M195">
        <f>YEAR(SalesData[[#This Row],[Date]])</f>
        <v>2023</v>
      </c>
      <c r="N195">
        <f>WEEKNUM(SalesData[[#This Row],[Date]])</f>
        <v>35</v>
      </c>
      <c r="O195" t="s">
        <v>2110</v>
      </c>
      <c r="P195" t="s">
        <v>2522</v>
      </c>
      <c r="Q195" t="s">
        <v>2526</v>
      </c>
    </row>
    <row r="196" spans="1:17" x14ac:dyDescent="0.35">
      <c r="A196" t="s">
        <v>751</v>
      </c>
      <c r="B196" s="3">
        <v>45089</v>
      </c>
      <c r="C196" t="s">
        <v>2014</v>
      </c>
      <c r="D196" t="s">
        <v>2024</v>
      </c>
      <c r="E196" s="8">
        <v>3561</v>
      </c>
      <c r="F196">
        <v>1</v>
      </c>
      <c r="G196">
        <v>15</v>
      </c>
      <c r="H196" s="8">
        <v>3026.85</v>
      </c>
      <c r="I196">
        <v>2806.15</v>
      </c>
      <c r="J196">
        <v>220.7</v>
      </c>
      <c r="K196" s="5">
        <f>IF(SalesData[[#This Row],[Total Revenue]]=0,0,SalesData[[#This Row],[Profit]]/SalesData[[#This Row],[Total Revenue]])</f>
        <v>7.2914085600541814E-2</v>
      </c>
      <c r="L196" s="5" t="str">
        <f>TEXT(SalesData[[#This Row],[Date]],"mmm")</f>
        <v>Jun</v>
      </c>
      <c r="M196">
        <f>YEAR(SalesData[[#This Row],[Date]])</f>
        <v>2023</v>
      </c>
      <c r="N196">
        <f>WEEKNUM(SalesData[[#This Row],[Date]])</f>
        <v>24</v>
      </c>
      <c r="O196" t="s">
        <v>2411</v>
      </c>
      <c r="P196" t="s">
        <v>2522</v>
      </c>
      <c r="Q196" t="s">
        <v>2526</v>
      </c>
    </row>
    <row r="197" spans="1:17" x14ac:dyDescent="0.35">
      <c r="A197" t="s">
        <v>731</v>
      </c>
      <c r="B197" s="3">
        <v>45068</v>
      </c>
      <c r="C197" t="s">
        <v>2015</v>
      </c>
      <c r="D197" t="s">
        <v>2025</v>
      </c>
      <c r="E197" s="8">
        <v>1804</v>
      </c>
      <c r="F197">
        <v>2</v>
      </c>
      <c r="G197">
        <v>15</v>
      </c>
      <c r="H197" s="8">
        <v>3066.8</v>
      </c>
      <c r="I197">
        <v>1422.84</v>
      </c>
      <c r="J197">
        <v>221.13</v>
      </c>
      <c r="K197" s="5">
        <f>IF(SalesData[[#This Row],[Total Revenue]]=0,0,SalesData[[#This Row],[Profit]]/SalesData[[#This Row],[Total Revenue]])</f>
        <v>7.2104473718533971E-2</v>
      </c>
      <c r="L197" s="5" t="str">
        <f>TEXT(SalesData[[#This Row],[Date]],"mmm")</f>
        <v>May</v>
      </c>
      <c r="M197">
        <f>YEAR(SalesData[[#This Row],[Date]])</f>
        <v>2023</v>
      </c>
      <c r="N197">
        <f>WEEKNUM(SalesData[[#This Row],[Date]])</f>
        <v>21</v>
      </c>
      <c r="O197" t="s">
        <v>2096</v>
      </c>
      <c r="P197" t="s">
        <v>2523</v>
      </c>
      <c r="Q197" t="s">
        <v>2524</v>
      </c>
    </row>
    <row r="198" spans="1:17" x14ac:dyDescent="0.35">
      <c r="A198" t="s">
        <v>167</v>
      </c>
      <c r="B198" s="3">
        <v>45111</v>
      </c>
      <c r="C198" t="s">
        <v>2017</v>
      </c>
      <c r="D198" t="s">
        <v>2026</v>
      </c>
      <c r="E198" s="8">
        <v>3236</v>
      </c>
      <c r="F198">
        <v>1</v>
      </c>
      <c r="G198">
        <v>5</v>
      </c>
      <c r="H198" s="8">
        <v>3074.2</v>
      </c>
      <c r="I198">
        <v>1819.8</v>
      </c>
      <c r="J198">
        <v>1254.4000000000001</v>
      </c>
      <c r="K198" s="5">
        <f>IF(SalesData[[#This Row],[Total Revenue]]=0,0,SalesData[[#This Row],[Profit]]/SalesData[[#This Row],[Total Revenue]])</f>
        <v>0.40804111638800344</v>
      </c>
      <c r="L198" s="5" t="str">
        <f>TEXT(SalesData[[#This Row],[Date]],"mmm")</f>
        <v>Jul</v>
      </c>
      <c r="M198">
        <f>YEAR(SalesData[[#This Row],[Date]])</f>
        <v>2023</v>
      </c>
      <c r="N198">
        <f>WEEKNUM(SalesData[[#This Row],[Date]])</f>
        <v>27</v>
      </c>
      <c r="O198" t="s">
        <v>2165</v>
      </c>
      <c r="P198" t="s">
        <v>2522</v>
      </c>
      <c r="Q198" t="s">
        <v>2526</v>
      </c>
    </row>
    <row r="199" spans="1:17" x14ac:dyDescent="0.35">
      <c r="A199" t="s">
        <v>1824</v>
      </c>
      <c r="B199" s="3">
        <v>44965</v>
      </c>
      <c r="C199" t="s">
        <v>2019</v>
      </c>
      <c r="D199" t="s">
        <v>2027</v>
      </c>
      <c r="E199" s="8">
        <v>3244</v>
      </c>
      <c r="F199">
        <v>1</v>
      </c>
      <c r="G199">
        <v>5</v>
      </c>
      <c r="H199" s="8">
        <v>3081.8</v>
      </c>
      <c r="I199">
        <v>2338.17</v>
      </c>
      <c r="J199">
        <v>743.63</v>
      </c>
      <c r="K199" s="5">
        <f>IF(SalesData[[#This Row],[Total Revenue]]=0,0,SalesData[[#This Row],[Profit]]/SalesData[[#This Row],[Total Revenue]])</f>
        <v>0.24129729378934386</v>
      </c>
      <c r="L199" s="5" t="str">
        <f>TEXT(SalesData[[#This Row],[Date]],"mmm")</f>
        <v>Feb</v>
      </c>
      <c r="M199">
        <f>YEAR(SalesData[[#This Row],[Date]])</f>
        <v>2023</v>
      </c>
      <c r="N199">
        <f>WEEKNUM(SalesData[[#This Row],[Date]])</f>
        <v>6</v>
      </c>
      <c r="O199" t="s">
        <v>2403</v>
      </c>
      <c r="P199" t="s">
        <v>2522</v>
      </c>
      <c r="Q199" t="s">
        <v>2526</v>
      </c>
    </row>
    <row r="200" spans="1:17" x14ac:dyDescent="0.35">
      <c r="A200" t="s">
        <v>1430</v>
      </c>
      <c r="B200" s="3">
        <v>45051</v>
      </c>
      <c r="C200" t="s">
        <v>2013</v>
      </c>
      <c r="D200" t="s">
        <v>2023</v>
      </c>
      <c r="E200" s="8">
        <v>3249</v>
      </c>
      <c r="F200">
        <v>1</v>
      </c>
      <c r="G200">
        <v>5</v>
      </c>
      <c r="H200" s="8">
        <v>3086.55</v>
      </c>
      <c r="I200">
        <v>2165.87</v>
      </c>
      <c r="J200">
        <v>920.68</v>
      </c>
      <c r="K200" s="5">
        <f>IF(SalesData[[#This Row],[Total Revenue]]=0,0,SalesData[[#This Row],[Profit]]/SalesData[[#This Row],[Total Revenue]])</f>
        <v>0.29828773225769867</v>
      </c>
      <c r="L200" s="5" t="str">
        <f>TEXT(SalesData[[#This Row],[Date]],"mmm")</f>
        <v>May</v>
      </c>
      <c r="M200">
        <f>YEAR(SalesData[[#This Row],[Date]])</f>
        <v>2023</v>
      </c>
      <c r="N200">
        <f>WEEKNUM(SalesData[[#This Row],[Date]])</f>
        <v>18</v>
      </c>
      <c r="O200" t="s">
        <v>2442</v>
      </c>
      <c r="P200" t="s">
        <v>2523</v>
      </c>
      <c r="Q200" t="s">
        <v>2525</v>
      </c>
    </row>
    <row r="201" spans="1:17" x14ac:dyDescent="0.35">
      <c r="A201" t="s">
        <v>1135</v>
      </c>
      <c r="B201" s="3">
        <v>45197</v>
      </c>
      <c r="C201" t="s">
        <v>2016</v>
      </c>
      <c r="D201" t="s">
        <v>2025</v>
      </c>
      <c r="E201" s="8">
        <v>3101</v>
      </c>
      <c r="F201">
        <v>1</v>
      </c>
      <c r="G201">
        <v>0</v>
      </c>
      <c r="H201" s="8">
        <v>3101</v>
      </c>
      <c r="I201">
        <v>1758.16</v>
      </c>
      <c r="J201">
        <v>1342.84</v>
      </c>
      <c r="K201" s="5">
        <f>IF(SalesData[[#This Row],[Total Revenue]]=0,0,SalesData[[#This Row],[Profit]]/SalesData[[#This Row],[Total Revenue]])</f>
        <v>0.43303450499838758</v>
      </c>
      <c r="L201" s="5" t="str">
        <f>TEXT(SalesData[[#This Row],[Date]],"mmm")</f>
        <v>Sep</v>
      </c>
      <c r="M201">
        <f>YEAR(SalesData[[#This Row],[Date]])</f>
        <v>2023</v>
      </c>
      <c r="N201">
        <f>WEEKNUM(SalesData[[#This Row],[Date]])</f>
        <v>39</v>
      </c>
      <c r="O201" t="s">
        <v>2256</v>
      </c>
      <c r="P201" t="s">
        <v>2523</v>
      </c>
      <c r="Q201" t="s">
        <v>2524</v>
      </c>
    </row>
    <row r="202" spans="1:17" x14ac:dyDescent="0.35">
      <c r="A202" t="s">
        <v>156</v>
      </c>
      <c r="B202" s="3">
        <v>45291</v>
      </c>
      <c r="C202" t="s">
        <v>2020</v>
      </c>
      <c r="D202" t="s">
        <v>2028</v>
      </c>
      <c r="E202" s="8">
        <v>3453</v>
      </c>
      <c r="F202">
        <v>1</v>
      </c>
      <c r="G202">
        <v>10</v>
      </c>
      <c r="H202" s="8">
        <v>3107.7</v>
      </c>
      <c r="I202">
        <v>2703</v>
      </c>
      <c r="J202">
        <v>404.7</v>
      </c>
      <c r="K202" s="5">
        <f>IF(SalesData[[#This Row],[Total Revenue]]=0,0,SalesData[[#This Row],[Profit]]/SalesData[[#This Row],[Total Revenue]])</f>
        <v>0.13022492518582876</v>
      </c>
      <c r="L202" s="5" t="str">
        <f>TEXT(SalesData[[#This Row],[Date]],"mmm")</f>
        <v>Dec</v>
      </c>
      <c r="M202">
        <f>YEAR(SalesData[[#This Row],[Date]])</f>
        <v>2023</v>
      </c>
      <c r="N202">
        <f>WEEKNUM(SalesData[[#This Row],[Date]])</f>
        <v>53</v>
      </c>
      <c r="O202" t="s">
        <v>2156</v>
      </c>
      <c r="P202" t="s">
        <v>2522</v>
      </c>
      <c r="Q202" t="s">
        <v>2524</v>
      </c>
    </row>
    <row r="203" spans="1:17" x14ac:dyDescent="0.35">
      <c r="A203" t="s">
        <v>129</v>
      </c>
      <c r="B203" s="3">
        <v>45062</v>
      </c>
      <c r="C203" t="s">
        <v>2020</v>
      </c>
      <c r="D203" t="s">
        <v>2028</v>
      </c>
      <c r="E203" s="8">
        <v>819</v>
      </c>
      <c r="F203">
        <v>4</v>
      </c>
      <c r="G203">
        <v>5</v>
      </c>
      <c r="H203" s="8">
        <v>3112.2</v>
      </c>
      <c r="I203">
        <v>514.07000000000005</v>
      </c>
      <c r="J203">
        <v>1055.94</v>
      </c>
      <c r="K203" s="5">
        <f>IF(SalesData[[#This Row],[Total Revenue]]=0,0,SalesData[[#This Row],[Profit]]/SalesData[[#This Row],[Total Revenue]])</f>
        <v>0.33929053402737619</v>
      </c>
      <c r="L203" s="5" t="str">
        <f>TEXT(SalesData[[#This Row],[Date]],"mmm")</f>
        <v>May</v>
      </c>
      <c r="M203">
        <f>YEAR(SalesData[[#This Row],[Date]])</f>
        <v>2023</v>
      </c>
      <c r="N203">
        <f>WEEKNUM(SalesData[[#This Row],[Date]])</f>
        <v>20</v>
      </c>
      <c r="O203" t="s">
        <v>2132</v>
      </c>
      <c r="P203" t="s">
        <v>2523</v>
      </c>
      <c r="Q203" t="s">
        <v>2524</v>
      </c>
    </row>
    <row r="204" spans="1:17" x14ac:dyDescent="0.35">
      <c r="A204" t="s">
        <v>1213</v>
      </c>
      <c r="B204" s="3">
        <v>45274</v>
      </c>
      <c r="C204" t="s">
        <v>2016</v>
      </c>
      <c r="D204" t="s">
        <v>2025</v>
      </c>
      <c r="E204" s="8">
        <v>3519</v>
      </c>
      <c r="F204">
        <v>1</v>
      </c>
      <c r="G204">
        <v>10</v>
      </c>
      <c r="H204" s="8">
        <v>3167.1</v>
      </c>
      <c r="I204">
        <v>2221.08</v>
      </c>
      <c r="J204">
        <v>946.02</v>
      </c>
      <c r="K204" s="5">
        <f>IF(SalesData[[#This Row],[Total Revenue]]=0,0,SalesData[[#This Row],[Profit]]/SalesData[[#This Row],[Total Revenue]])</f>
        <v>0.29870228284550537</v>
      </c>
      <c r="L204" s="5" t="str">
        <f>TEXT(SalesData[[#This Row],[Date]],"mmm")</f>
        <v>Dec</v>
      </c>
      <c r="M204">
        <f>YEAR(SalesData[[#This Row],[Date]])</f>
        <v>2023</v>
      </c>
      <c r="N204">
        <f>WEEKNUM(SalesData[[#This Row],[Date]])</f>
        <v>50</v>
      </c>
      <c r="O204" t="s">
        <v>2265</v>
      </c>
      <c r="P204" t="s">
        <v>2523</v>
      </c>
      <c r="Q204" t="s">
        <v>2524</v>
      </c>
    </row>
    <row r="205" spans="1:17" x14ac:dyDescent="0.35">
      <c r="A205" t="s">
        <v>1772</v>
      </c>
      <c r="B205" s="3">
        <v>45200</v>
      </c>
      <c r="C205" t="s">
        <v>2014</v>
      </c>
      <c r="D205" t="s">
        <v>2024</v>
      </c>
      <c r="E205" s="8">
        <v>3728</v>
      </c>
      <c r="F205">
        <v>1</v>
      </c>
      <c r="G205">
        <v>15</v>
      </c>
      <c r="H205" s="8">
        <v>3168.8</v>
      </c>
      <c r="I205">
        <v>2293.41</v>
      </c>
      <c r="J205">
        <v>875.39</v>
      </c>
      <c r="K205" s="5">
        <f>IF(SalesData[[#This Row],[Total Revenue]]=0,0,SalesData[[#This Row],[Profit]]/SalesData[[#This Row],[Total Revenue]])</f>
        <v>0.27625284019187074</v>
      </c>
      <c r="L205" s="5" t="str">
        <f>TEXT(SalesData[[#This Row],[Date]],"mmm")</f>
        <v>Oct</v>
      </c>
      <c r="M205">
        <f>YEAR(SalesData[[#This Row],[Date]])</f>
        <v>2023</v>
      </c>
      <c r="N205">
        <f>WEEKNUM(SalesData[[#This Row],[Date]])</f>
        <v>40</v>
      </c>
      <c r="O205" t="s">
        <v>2259</v>
      </c>
      <c r="P205" t="s">
        <v>2523</v>
      </c>
      <c r="Q205" t="s">
        <v>2526</v>
      </c>
    </row>
    <row r="206" spans="1:17" x14ac:dyDescent="0.35">
      <c r="A206" t="s">
        <v>182</v>
      </c>
      <c r="B206" s="3">
        <v>45052</v>
      </c>
      <c r="C206" t="s">
        <v>2019</v>
      </c>
      <c r="D206" t="s">
        <v>2027</v>
      </c>
      <c r="E206" s="8">
        <v>1865</v>
      </c>
      <c r="F206">
        <v>2</v>
      </c>
      <c r="G206">
        <v>15</v>
      </c>
      <c r="H206" s="8">
        <v>3170.5</v>
      </c>
      <c r="I206">
        <v>1126.43</v>
      </c>
      <c r="J206">
        <v>917.64</v>
      </c>
      <c r="K206" s="5">
        <f>IF(SalesData[[#This Row],[Total Revenue]]=0,0,SalesData[[#This Row],[Profit]]/SalesData[[#This Row],[Total Revenue]])</f>
        <v>0.28943068916574671</v>
      </c>
      <c r="L206" s="5" t="str">
        <f>TEXT(SalesData[[#This Row],[Date]],"mmm")</f>
        <v>May</v>
      </c>
      <c r="M206">
        <f>YEAR(SalesData[[#This Row],[Date]])</f>
        <v>2023</v>
      </c>
      <c r="N206">
        <f>WEEKNUM(SalesData[[#This Row],[Date]])</f>
        <v>18</v>
      </c>
      <c r="O206" t="s">
        <v>2175</v>
      </c>
      <c r="P206" t="s">
        <v>2523</v>
      </c>
      <c r="Q206" t="s">
        <v>2526</v>
      </c>
    </row>
    <row r="207" spans="1:17" x14ac:dyDescent="0.35">
      <c r="A207" t="s">
        <v>1081</v>
      </c>
      <c r="B207" s="3">
        <v>45107</v>
      </c>
      <c r="C207" t="s">
        <v>2022</v>
      </c>
      <c r="D207" t="s">
        <v>2024</v>
      </c>
      <c r="E207" s="8">
        <v>1766</v>
      </c>
      <c r="F207">
        <v>2</v>
      </c>
      <c r="G207">
        <v>10</v>
      </c>
      <c r="H207" s="8">
        <v>3178.8</v>
      </c>
      <c r="I207">
        <v>1327.8</v>
      </c>
      <c r="J207">
        <v>523.20000000000005</v>
      </c>
      <c r="K207" s="5">
        <f>IF(SalesData[[#This Row],[Total Revenue]]=0,0,SalesData[[#This Row],[Profit]]/SalesData[[#This Row],[Total Revenue]])</f>
        <v>0.16459041147602871</v>
      </c>
      <c r="L207" s="5" t="str">
        <f>TEXT(SalesData[[#This Row],[Date]],"mmm")</f>
        <v>Jun</v>
      </c>
      <c r="M207">
        <f>YEAR(SalesData[[#This Row],[Date]])</f>
        <v>2023</v>
      </c>
      <c r="N207">
        <f>WEEKNUM(SalesData[[#This Row],[Date]])</f>
        <v>26</v>
      </c>
      <c r="O207" t="s">
        <v>2316</v>
      </c>
      <c r="P207" t="s">
        <v>2522</v>
      </c>
      <c r="Q207" t="s">
        <v>2526</v>
      </c>
    </row>
    <row r="208" spans="1:17" x14ac:dyDescent="0.35">
      <c r="A208" t="s">
        <v>626</v>
      </c>
      <c r="B208" s="3">
        <v>44973</v>
      </c>
      <c r="C208" t="s">
        <v>2022</v>
      </c>
      <c r="D208" t="s">
        <v>2024</v>
      </c>
      <c r="E208" s="8">
        <v>936</v>
      </c>
      <c r="F208">
        <v>4</v>
      </c>
      <c r="G208">
        <v>15</v>
      </c>
      <c r="H208" s="8">
        <v>3182.4</v>
      </c>
      <c r="I208">
        <v>669.62</v>
      </c>
      <c r="J208">
        <v>503.93</v>
      </c>
      <c r="K208" s="5">
        <f>IF(SalesData[[#This Row],[Total Revenue]]=0,0,SalesData[[#This Row],[Profit]]/SalesData[[#This Row],[Total Revenue]])</f>
        <v>0.15834904474610356</v>
      </c>
      <c r="L208" s="5" t="str">
        <f>TEXT(SalesData[[#This Row],[Date]],"mmm")</f>
        <v>Feb</v>
      </c>
      <c r="M208">
        <f>YEAR(SalesData[[#This Row],[Date]])</f>
        <v>2023</v>
      </c>
      <c r="N208">
        <f>WEEKNUM(SalesData[[#This Row],[Date]])</f>
        <v>7</v>
      </c>
      <c r="O208" t="s">
        <v>2382</v>
      </c>
      <c r="P208" t="s">
        <v>2522</v>
      </c>
      <c r="Q208" t="s">
        <v>2525</v>
      </c>
    </row>
    <row r="209" spans="1:17" x14ac:dyDescent="0.35">
      <c r="A209" t="s">
        <v>539</v>
      </c>
      <c r="B209" s="3">
        <v>45233</v>
      </c>
      <c r="C209" t="s">
        <v>2013</v>
      </c>
      <c r="D209" t="s">
        <v>2023</v>
      </c>
      <c r="E209" s="8">
        <v>3747</v>
      </c>
      <c r="F209">
        <v>1</v>
      </c>
      <c r="G209">
        <v>15</v>
      </c>
      <c r="H209" s="8">
        <v>3184.95</v>
      </c>
      <c r="I209">
        <v>2973.47</v>
      </c>
      <c r="J209">
        <v>211.48</v>
      </c>
      <c r="K209" s="5">
        <f>IF(SalesData[[#This Row],[Total Revenue]]=0,0,SalesData[[#This Row],[Profit]]/SalesData[[#This Row],[Total Revenue]])</f>
        <v>6.6399786495863353E-2</v>
      </c>
      <c r="L209" s="5" t="str">
        <f>TEXT(SalesData[[#This Row],[Date]],"mmm")</f>
        <v>Nov</v>
      </c>
      <c r="M209">
        <f>YEAR(SalesData[[#This Row],[Date]])</f>
        <v>2023</v>
      </c>
      <c r="N209">
        <f>WEEKNUM(SalesData[[#This Row],[Date]])</f>
        <v>44</v>
      </c>
      <c r="O209" t="s">
        <v>2331</v>
      </c>
      <c r="P209" t="s">
        <v>2523</v>
      </c>
      <c r="Q209" t="s">
        <v>2524</v>
      </c>
    </row>
    <row r="210" spans="1:17" x14ac:dyDescent="0.35">
      <c r="A210" t="s">
        <v>1194</v>
      </c>
      <c r="B210" s="3">
        <v>45208</v>
      </c>
      <c r="C210" t="s">
        <v>2015</v>
      </c>
      <c r="D210" t="s">
        <v>2025</v>
      </c>
      <c r="E210" s="8">
        <v>1879</v>
      </c>
      <c r="F210">
        <v>2</v>
      </c>
      <c r="G210">
        <v>15</v>
      </c>
      <c r="H210" s="8">
        <v>3194.3</v>
      </c>
      <c r="I210">
        <v>1135.47</v>
      </c>
      <c r="J210">
        <v>923.36</v>
      </c>
      <c r="K210" s="5">
        <f>IF(SalesData[[#This Row],[Total Revenue]]=0,0,SalesData[[#This Row],[Profit]]/SalesData[[#This Row],[Total Revenue]])</f>
        <v>0.28906489684750963</v>
      </c>
      <c r="L210" s="5" t="str">
        <f>TEXT(SalesData[[#This Row],[Date]],"mmm")</f>
        <v>Oct</v>
      </c>
      <c r="M210">
        <f>YEAR(SalesData[[#This Row],[Date]])</f>
        <v>2023</v>
      </c>
      <c r="N210">
        <f>WEEKNUM(SalesData[[#This Row],[Date]])</f>
        <v>41</v>
      </c>
      <c r="O210" t="s">
        <v>2129</v>
      </c>
      <c r="P210" t="s">
        <v>2522</v>
      </c>
      <c r="Q210" t="s">
        <v>2527</v>
      </c>
    </row>
    <row r="211" spans="1:17" x14ac:dyDescent="0.35">
      <c r="A211" t="s">
        <v>775</v>
      </c>
      <c r="B211" s="3">
        <v>45125</v>
      </c>
      <c r="C211" t="s">
        <v>2013</v>
      </c>
      <c r="D211" t="s">
        <v>2023</v>
      </c>
      <c r="E211" s="8">
        <v>3587</v>
      </c>
      <c r="F211">
        <v>1</v>
      </c>
      <c r="G211">
        <v>10</v>
      </c>
      <c r="H211" s="8">
        <v>3228.3</v>
      </c>
      <c r="I211">
        <v>2742.38</v>
      </c>
      <c r="J211">
        <v>485.92</v>
      </c>
      <c r="K211" s="5">
        <f>IF(SalesData[[#This Row],[Total Revenue]]=0,0,SalesData[[#This Row],[Profit]]/SalesData[[#This Row],[Total Revenue]])</f>
        <v>0.15051884892977727</v>
      </c>
      <c r="L211" s="5" t="str">
        <f>TEXT(SalesData[[#This Row],[Date]],"mmm")</f>
        <v>Jul</v>
      </c>
      <c r="M211">
        <f>YEAR(SalesData[[#This Row],[Date]])</f>
        <v>2023</v>
      </c>
      <c r="N211">
        <f>WEEKNUM(SalesData[[#This Row],[Date]])</f>
        <v>29</v>
      </c>
      <c r="O211" t="s">
        <v>2404</v>
      </c>
      <c r="P211" t="s">
        <v>2523</v>
      </c>
      <c r="Q211" t="s">
        <v>2525</v>
      </c>
    </row>
    <row r="212" spans="1:17" x14ac:dyDescent="0.35">
      <c r="A212" t="s">
        <v>1103</v>
      </c>
      <c r="B212" s="3">
        <v>45126</v>
      </c>
      <c r="C212" t="s">
        <v>2014</v>
      </c>
      <c r="D212" t="s">
        <v>2024</v>
      </c>
      <c r="E212" s="8">
        <v>3231</v>
      </c>
      <c r="F212">
        <v>1</v>
      </c>
      <c r="G212">
        <v>0</v>
      </c>
      <c r="H212" s="8">
        <v>3231</v>
      </c>
      <c r="I212">
        <v>2142.4</v>
      </c>
      <c r="J212">
        <v>1088.5999999999999</v>
      </c>
      <c r="K212" s="5">
        <f>IF(SalesData[[#This Row],[Total Revenue]]=0,0,SalesData[[#This Row],[Profit]]/SalesData[[#This Row],[Total Revenue]])</f>
        <v>0.33692355307954192</v>
      </c>
      <c r="L212" s="5" t="str">
        <f>TEXT(SalesData[[#This Row],[Date]],"mmm")</f>
        <v>Jul</v>
      </c>
      <c r="M212">
        <f>YEAR(SalesData[[#This Row],[Date]])</f>
        <v>2023</v>
      </c>
      <c r="N212">
        <f>WEEKNUM(SalesData[[#This Row],[Date]])</f>
        <v>29</v>
      </c>
      <c r="O212" t="s">
        <v>2097</v>
      </c>
      <c r="P212" t="s">
        <v>2523</v>
      </c>
      <c r="Q212" t="s">
        <v>2527</v>
      </c>
    </row>
    <row r="213" spans="1:17" x14ac:dyDescent="0.35">
      <c r="A213" t="s">
        <v>161</v>
      </c>
      <c r="B213" s="3">
        <v>45291</v>
      </c>
      <c r="C213" t="s">
        <v>2013</v>
      </c>
      <c r="D213" t="s">
        <v>2023</v>
      </c>
      <c r="E213" s="8">
        <v>1703</v>
      </c>
      <c r="F213">
        <v>2</v>
      </c>
      <c r="G213">
        <v>5</v>
      </c>
      <c r="H213" s="8">
        <v>3235.7</v>
      </c>
      <c r="I213">
        <v>1125.0899999999999</v>
      </c>
      <c r="J213">
        <v>985.51</v>
      </c>
      <c r="K213" s="5">
        <f>IF(SalesData[[#This Row],[Total Revenue]]=0,0,SalesData[[#This Row],[Profit]]/SalesData[[#This Row],[Total Revenue]])</f>
        <v>0.30457397162901384</v>
      </c>
      <c r="L213" s="5" t="str">
        <f>TEXT(SalesData[[#This Row],[Date]],"mmm")</f>
        <v>Dec</v>
      </c>
      <c r="M213">
        <f>YEAR(SalesData[[#This Row],[Date]])</f>
        <v>2023</v>
      </c>
      <c r="N213">
        <f>WEEKNUM(SalesData[[#This Row],[Date]])</f>
        <v>53</v>
      </c>
      <c r="O213" t="s">
        <v>2159</v>
      </c>
      <c r="P213" t="s">
        <v>2522</v>
      </c>
      <c r="Q213" t="s">
        <v>2527</v>
      </c>
    </row>
    <row r="214" spans="1:17" x14ac:dyDescent="0.35">
      <c r="A214" t="s">
        <v>1737</v>
      </c>
      <c r="B214" s="3">
        <v>45003</v>
      </c>
      <c r="C214" t="s">
        <v>2021</v>
      </c>
      <c r="D214" t="s">
        <v>2028</v>
      </c>
      <c r="E214" s="8">
        <v>1704</v>
      </c>
      <c r="F214">
        <v>2</v>
      </c>
      <c r="G214">
        <v>5</v>
      </c>
      <c r="H214" s="8">
        <v>3237.6</v>
      </c>
      <c r="I214">
        <v>1354.99</v>
      </c>
      <c r="J214">
        <v>527.62</v>
      </c>
      <c r="K214" s="5">
        <f>IF(SalesData[[#This Row],[Total Revenue]]=0,0,SalesData[[#This Row],[Profit]]/SalesData[[#This Row],[Total Revenue]])</f>
        <v>0.16296639486039041</v>
      </c>
      <c r="L214" s="5" t="str">
        <f>TEXT(SalesData[[#This Row],[Date]],"mmm")</f>
        <v>Mar</v>
      </c>
      <c r="M214">
        <f>YEAR(SalesData[[#This Row],[Date]])</f>
        <v>2023</v>
      </c>
      <c r="N214">
        <f>WEEKNUM(SalesData[[#This Row],[Date]])</f>
        <v>11</v>
      </c>
      <c r="O214" t="s">
        <v>2402</v>
      </c>
      <c r="P214" t="s">
        <v>2523</v>
      </c>
      <c r="Q214" t="s">
        <v>2526</v>
      </c>
    </row>
    <row r="215" spans="1:17" x14ac:dyDescent="0.35">
      <c r="A215" t="s">
        <v>454</v>
      </c>
      <c r="B215" s="3">
        <v>44974</v>
      </c>
      <c r="C215" t="s">
        <v>2017</v>
      </c>
      <c r="D215" t="s">
        <v>2026</v>
      </c>
      <c r="E215" s="8">
        <v>853</v>
      </c>
      <c r="F215">
        <v>4</v>
      </c>
      <c r="G215">
        <v>5</v>
      </c>
      <c r="H215" s="8">
        <v>3241.4</v>
      </c>
      <c r="I215">
        <v>569.20000000000005</v>
      </c>
      <c r="J215">
        <v>964.59</v>
      </c>
      <c r="K215" s="5">
        <f>IF(SalesData[[#This Row],[Total Revenue]]=0,0,SalesData[[#This Row],[Profit]]/SalesData[[#This Row],[Total Revenue]])</f>
        <v>0.29758437712099711</v>
      </c>
      <c r="L215" s="5" t="str">
        <f>TEXT(SalesData[[#This Row],[Date]],"mmm")</f>
        <v>Feb</v>
      </c>
      <c r="M215">
        <f>YEAR(SalesData[[#This Row],[Date]])</f>
        <v>2023</v>
      </c>
      <c r="N215">
        <f>WEEKNUM(SalesData[[#This Row],[Date]])</f>
        <v>7</v>
      </c>
      <c r="O215" t="s">
        <v>2165</v>
      </c>
      <c r="P215" t="s">
        <v>2523</v>
      </c>
      <c r="Q215" t="s">
        <v>2527</v>
      </c>
    </row>
    <row r="216" spans="1:17" x14ac:dyDescent="0.35">
      <c r="A216" t="s">
        <v>1087</v>
      </c>
      <c r="B216" s="3">
        <v>45143</v>
      </c>
      <c r="C216" t="s">
        <v>2022</v>
      </c>
      <c r="D216" t="s">
        <v>2024</v>
      </c>
      <c r="E216" s="8">
        <v>811</v>
      </c>
      <c r="F216">
        <v>4</v>
      </c>
      <c r="G216">
        <v>0</v>
      </c>
      <c r="H216" s="8">
        <v>3244</v>
      </c>
      <c r="I216">
        <v>538.85</v>
      </c>
      <c r="J216">
        <v>1088.5899999999999</v>
      </c>
      <c r="K216" s="5">
        <f>IF(SalesData[[#This Row],[Total Revenue]]=0,0,SalesData[[#This Row],[Profit]]/SalesData[[#This Row],[Total Revenue]])</f>
        <v>0.33557028360049318</v>
      </c>
      <c r="L216" s="5" t="str">
        <f>TEXT(SalesData[[#This Row],[Date]],"mmm")</f>
        <v>Aug</v>
      </c>
      <c r="M216">
        <f>YEAR(SalesData[[#This Row],[Date]])</f>
        <v>2023</v>
      </c>
      <c r="N216">
        <f>WEEKNUM(SalesData[[#This Row],[Date]])</f>
        <v>31</v>
      </c>
      <c r="O216" t="s">
        <v>2085</v>
      </c>
      <c r="P216" t="s">
        <v>2522</v>
      </c>
      <c r="Q216" t="s">
        <v>2526</v>
      </c>
    </row>
    <row r="217" spans="1:17" x14ac:dyDescent="0.35">
      <c r="A217" t="s">
        <v>553</v>
      </c>
      <c r="B217" s="3">
        <v>45135</v>
      </c>
      <c r="C217" t="s">
        <v>2015</v>
      </c>
      <c r="D217" t="s">
        <v>2025</v>
      </c>
      <c r="E217" s="8">
        <v>3819</v>
      </c>
      <c r="F217">
        <v>1</v>
      </c>
      <c r="G217">
        <v>15</v>
      </c>
      <c r="H217" s="8">
        <v>3246.15</v>
      </c>
      <c r="I217">
        <v>2417.52</v>
      </c>
      <c r="J217">
        <v>828.63</v>
      </c>
      <c r="K217" s="5">
        <f>IF(SalesData[[#This Row],[Total Revenue]]=0,0,SalesData[[#This Row],[Profit]]/SalesData[[#This Row],[Total Revenue]])</f>
        <v>0.25526546832401459</v>
      </c>
      <c r="L217" s="5" t="str">
        <f>TEXT(SalesData[[#This Row],[Date]],"mmm")</f>
        <v>Jul</v>
      </c>
      <c r="M217">
        <f>YEAR(SalesData[[#This Row],[Date]])</f>
        <v>2023</v>
      </c>
      <c r="N217">
        <f>WEEKNUM(SalesData[[#This Row],[Date]])</f>
        <v>30</v>
      </c>
      <c r="O217" t="s">
        <v>2319</v>
      </c>
      <c r="P217" t="s">
        <v>2522</v>
      </c>
      <c r="Q217" t="s">
        <v>2527</v>
      </c>
    </row>
    <row r="218" spans="1:17" x14ac:dyDescent="0.35">
      <c r="A218" t="s">
        <v>362</v>
      </c>
      <c r="B218" s="3">
        <v>45230</v>
      </c>
      <c r="C218" t="s">
        <v>2016</v>
      </c>
      <c r="D218" t="s">
        <v>2025</v>
      </c>
      <c r="E218" s="8">
        <v>814</v>
      </c>
      <c r="F218">
        <v>4</v>
      </c>
      <c r="G218">
        <v>0</v>
      </c>
      <c r="H218" s="8">
        <v>3256</v>
      </c>
      <c r="I218">
        <v>649.76</v>
      </c>
      <c r="J218">
        <v>656.95</v>
      </c>
      <c r="K218" s="5">
        <f>IF(SalesData[[#This Row],[Total Revenue]]=0,0,SalesData[[#This Row],[Profit]]/SalesData[[#This Row],[Total Revenue]])</f>
        <v>0.20176597051597053</v>
      </c>
      <c r="L218" s="5" t="str">
        <f>TEXT(SalesData[[#This Row],[Date]],"mmm")</f>
        <v>Oct</v>
      </c>
      <c r="M218">
        <f>YEAR(SalesData[[#This Row],[Date]])</f>
        <v>2023</v>
      </c>
      <c r="N218">
        <f>WEEKNUM(SalesData[[#This Row],[Date]])</f>
        <v>44</v>
      </c>
      <c r="O218" t="s">
        <v>2278</v>
      </c>
      <c r="P218" t="s">
        <v>2522</v>
      </c>
      <c r="Q218" t="s">
        <v>2525</v>
      </c>
    </row>
    <row r="219" spans="1:17" x14ac:dyDescent="0.35">
      <c r="A219" t="s">
        <v>1855</v>
      </c>
      <c r="B219" s="3">
        <v>45091</v>
      </c>
      <c r="C219" t="s">
        <v>2016</v>
      </c>
      <c r="D219" t="s">
        <v>2025</v>
      </c>
      <c r="E219" s="8">
        <v>1088</v>
      </c>
      <c r="F219">
        <v>3</v>
      </c>
      <c r="G219">
        <v>0</v>
      </c>
      <c r="H219" s="8">
        <v>3264</v>
      </c>
      <c r="I219">
        <v>803.01</v>
      </c>
      <c r="J219">
        <v>854.98</v>
      </c>
      <c r="K219" s="5">
        <f>IF(SalesData[[#This Row],[Total Revenue]]=0,0,SalesData[[#This Row],[Profit]]/SalesData[[#This Row],[Total Revenue]])</f>
        <v>0.26194240196078433</v>
      </c>
      <c r="L219" s="5" t="str">
        <f>TEXT(SalesData[[#This Row],[Date]],"mmm")</f>
        <v>Jun</v>
      </c>
      <c r="M219">
        <f>YEAR(SalesData[[#This Row],[Date]])</f>
        <v>2023</v>
      </c>
      <c r="N219">
        <f>WEEKNUM(SalesData[[#This Row],[Date]])</f>
        <v>24</v>
      </c>
      <c r="O219" t="s">
        <v>2235</v>
      </c>
      <c r="P219" t="s">
        <v>2522</v>
      </c>
      <c r="Q219" t="s">
        <v>2526</v>
      </c>
    </row>
    <row r="220" spans="1:17" x14ac:dyDescent="0.35">
      <c r="A220" t="s">
        <v>1665</v>
      </c>
      <c r="B220" s="3">
        <v>45172</v>
      </c>
      <c r="C220" t="s">
        <v>2020</v>
      </c>
      <c r="D220" t="s">
        <v>2028</v>
      </c>
      <c r="E220" s="8">
        <v>3284</v>
      </c>
      <c r="F220">
        <v>1</v>
      </c>
      <c r="G220">
        <v>0</v>
      </c>
      <c r="H220" s="8">
        <v>3284</v>
      </c>
      <c r="I220">
        <v>2087.02</v>
      </c>
      <c r="J220">
        <v>1196.98</v>
      </c>
      <c r="K220" s="5">
        <f>IF(SalesData[[#This Row],[Total Revenue]]=0,0,SalesData[[#This Row],[Profit]]/SalesData[[#This Row],[Total Revenue]])</f>
        <v>0.36448842874543241</v>
      </c>
      <c r="L220" s="5" t="str">
        <f>TEXT(SalesData[[#This Row],[Date]],"mmm")</f>
        <v>Sep</v>
      </c>
      <c r="M220">
        <f>YEAR(SalesData[[#This Row],[Date]])</f>
        <v>2023</v>
      </c>
      <c r="N220">
        <f>WEEKNUM(SalesData[[#This Row],[Date]])</f>
        <v>36</v>
      </c>
      <c r="O220" t="s">
        <v>2159</v>
      </c>
      <c r="P220" t="s">
        <v>2523</v>
      </c>
      <c r="Q220" t="s">
        <v>2525</v>
      </c>
    </row>
    <row r="221" spans="1:17" x14ac:dyDescent="0.35">
      <c r="A221" t="s">
        <v>1902</v>
      </c>
      <c r="B221" s="3">
        <v>45110</v>
      </c>
      <c r="C221" t="s">
        <v>2013</v>
      </c>
      <c r="D221" t="s">
        <v>2023</v>
      </c>
      <c r="E221" s="8">
        <v>3865</v>
      </c>
      <c r="F221">
        <v>1</v>
      </c>
      <c r="G221">
        <v>15</v>
      </c>
      <c r="H221" s="8">
        <v>3285.25</v>
      </c>
      <c r="I221">
        <v>3024.24</v>
      </c>
      <c r="J221">
        <v>261.01</v>
      </c>
      <c r="K221" s="5">
        <f>IF(SalesData[[#This Row],[Total Revenue]]=0,0,SalesData[[#This Row],[Profit]]/SalesData[[#This Row],[Total Revenue]])</f>
        <v>7.9449052583517227E-2</v>
      </c>
      <c r="L221" s="5" t="str">
        <f>TEXT(SalesData[[#This Row],[Date]],"mmm")</f>
        <v>Jul</v>
      </c>
      <c r="M221">
        <f>YEAR(SalesData[[#This Row],[Date]])</f>
        <v>2023</v>
      </c>
      <c r="N221">
        <f>WEEKNUM(SalesData[[#This Row],[Date]])</f>
        <v>27</v>
      </c>
      <c r="O221" t="s">
        <v>2279</v>
      </c>
      <c r="P221" t="s">
        <v>2522</v>
      </c>
      <c r="Q221" t="s">
        <v>2525</v>
      </c>
    </row>
    <row r="222" spans="1:17" x14ac:dyDescent="0.35">
      <c r="A222" t="s">
        <v>1871</v>
      </c>
      <c r="B222" s="3">
        <v>45021</v>
      </c>
      <c r="C222" t="s">
        <v>2015</v>
      </c>
      <c r="D222" t="s">
        <v>2025</v>
      </c>
      <c r="E222" s="8">
        <v>1945</v>
      </c>
      <c r="F222">
        <v>2</v>
      </c>
      <c r="G222">
        <v>15</v>
      </c>
      <c r="H222" s="8">
        <v>3306.5</v>
      </c>
      <c r="I222">
        <v>1203.92</v>
      </c>
      <c r="J222">
        <v>898.66</v>
      </c>
      <c r="K222" s="5">
        <f>IF(SalesData[[#This Row],[Total Revenue]]=0,0,SalesData[[#This Row],[Profit]]/SalesData[[#This Row],[Total Revenue]])</f>
        <v>0.27178587630424922</v>
      </c>
      <c r="L222" s="5" t="str">
        <f>TEXT(SalesData[[#This Row],[Date]],"mmm")</f>
        <v>Apr</v>
      </c>
      <c r="M222">
        <f>YEAR(SalesData[[#This Row],[Date]])</f>
        <v>2023</v>
      </c>
      <c r="N222">
        <f>WEEKNUM(SalesData[[#This Row],[Date]])</f>
        <v>14</v>
      </c>
      <c r="O222" t="s">
        <v>2182</v>
      </c>
      <c r="P222" t="s">
        <v>2522</v>
      </c>
      <c r="Q222" t="s">
        <v>2526</v>
      </c>
    </row>
    <row r="223" spans="1:17" x14ac:dyDescent="0.35">
      <c r="A223" t="s">
        <v>38</v>
      </c>
      <c r="B223" s="3">
        <v>45154</v>
      </c>
      <c r="C223" t="s">
        <v>2015</v>
      </c>
      <c r="D223" t="s">
        <v>2025</v>
      </c>
      <c r="E223" s="8">
        <v>3485</v>
      </c>
      <c r="F223">
        <v>1</v>
      </c>
      <c r="G223">
        <v>5</v>
      </c>
      <c r="H223" s="8">
        <v>3310.75</v>
      </c>
      <c r="I223">
        <v>1936.69</v>
      </c>
      <c r="J223">
        <v>1374.06</v>
      </c>
      <c r="K223" s="5">
        <f>IF(SalesData[[#This Row],[Total Revenue]]=0,0,SalesData[[#This Row],[Profit]]/SalesData[[#This Row],[Total Revenue]])</f>
        <v>0.41502982707845654</v>
      </c>
      <c r="L223" s="5" t="str">
        <f>TEXT(SalesData[[#This Row],[Date]],"mmm")</f>
        <v>Aug</v>
      </c>
      <c r="M223">
        <f>YEAR(SalesData[[#This Row],[Date]])</f>
        <v>2023</v>
      </c>
      <c r="N223">
        <f>WEEKNUM(SalesData[[#This Row],[Date]])</f>
        <v>33</v>
      </c>
      <c r="O223" t="s">
        <v>2053</v>
      </c>
      <c r="P223" t="s">
        <v>2523</v>
      </c>
      <c r="Q223" t="s">
        <v>2525</v>
      </c>
    </row>
    <row r="224" spans="1:17" x14ac:dyDescent="0.35">
      <c r="A224" t="s">
        <v>286</v>
      </c>
      <c r="B224" s="3">
        <v>45083</v>
      </c>
      <c r="C224" t="s">
        <v>2021</v>
      </c>
      <c r="D224" t="s">
        <v>2028</v>
      </c>
      <c r="E224" s="8">
        <v>1843</v>
      </c>
      <c r="F224">
        <v>2</v>
      </c>
      <c r="G224">
        <v>10</v>
      </c>
      <c r="H224" s="8">
        <v>3317.4</v>
      </c>
      <c r="I224">
        <v>1251.98</v>
      </c>
      <c r="J224">
        <v>813.45</v>
      </c>
      <c r="K224" s="5">
        <f>IF(SalesData[[#This Row],[Total Revenue]]=0,0,SalesData[[#This Row],[Profit]]/SalesData[[#This Row],[Total Revenue]])</f>
        <v>0.24520708988967263</v>
      </c>
      <c r="L224" s="5" t="str">
        <f>TEXT(SalesData[[#This Row],[Date]],"mmm")</f>
        <v>Jun</v>
      </c>
      <c r="M224">
        <f>YEAR(SalesData[[#This Row],[Date]])</f>
        <v>2023</v>
      </c>
      <c r="N224">
        <f>WEEKNUM(SalesData[[#This Row],[Date]])</f>
        <v>23</v>
      </c>
      <c r="O224" t="s">
        <v>2048</v>
      </c>
      <c r="P224" t="s">
        <v>2522</v>
      </c>
      <c r="Q224" t="s">
        <v>2527</v>
      </c>
    </row>
    <row r="225" spans="1:17" x14ac:dyDescent="0.35">
      <c r="A225" t="s">
        <v>652</v>
      </c>
      <c r="B225" s="3">
        <v>45153</v>
      </c>
      <c r="C225" t="s">
        <v>2017</v>
      </c>
      <c r="D225" t="s">
        <v>2026</v>
      </c>
      <c r="E225" s="8">
        <v>978</v>
      </c>
      <c r="F225">
        <v>4</v>
      </c>
      <c r="G225">
        <v>15</v>
      </c>
      <c r="H225" s="8">
        <v>3325.2</v>
      </c>
      <c r="I225">
        <v>622.07000000000005</v>
      </c>
      <c r="J225">
        <v>836.92</v>
      </c>
      <c r="K225" s="5">
        <f>IF(SalesData[[#This Row],[Total Revenue]]=0,0,SalesData[[#This Row],[Profit]]/SalesData[[#This Row],[Total Revenue]])</f>
        <v>0.25169012390232165</v>
      </c>
      <c r="L225" s="5" t="str">
        <f>TEXT(SalesData[[#This Row],[Date]],"mmm")</f>
        <v>Aug</v>
      </c>
      <c r="M225">
        <f>YEAR(SalesData[[#This Row],[Date]])</f>
        <v>2023</v>
      </c>
      <c r="N225">
        <f>WEEKNUM(SalesData[[#This Row],[Date]])</f>
        <v>33</v>
      </c>
      <c r="O225" t="s">
        <v>2318</v>
      </c>
      <c r="P225" t="s">
        <v>2522</v>
      </c>
      <c r="Q225" t="s">
        <v>2526</v>
      </c>
    </row>
    <row r="226" spans="1:17" x14ac:dyDescent="0.35">
      <c r="A226" t="s">
        <v>1209</v>
      </c>
      <c r="B226" s="3">
        <v>45194</v>
      </c>
      <c r="C226" t="s">
        <v>2015</v>
      </c>
      <c r="D226" t="s">
        <v>2025</v>
      </c>
      <c r="E226" s="8">
        <v>3506</v>
      </c>
      <c r="F226">
        <v>1</v>
      </c>
      <c r="G226">
        <v>5</v>
      </c>
      <c r="H226" s="8">
        <v>3330.7</v>
      </c>
      <c r="I226">
        <v>2387.67</v>
      </c>
      <c r="J226">
        <v>943.03</v>
      </c>
      <c r="K226" s="5">
        <f>IF(SalesData[[#This Row],[Total Revenue]]=0,0,SalesData[[#This Row],[Profit]]/SalesData[[#This Row],[Total Revenue]])</f>
        <v>0.28313267481310234</v>
      </c>
      <c r="L226" s="5" t="str">
        <f>TEXT(SalesData[[#This Row],[Date]],"mmm")</f>
        <v>Sep</v>
      </c>
      <c r="M226">
        <f>YEAR(SalesData[[#This Row],[Date]])</f>
        <v>2023</v>
      </c>
      <c r="N226">
        <f>WEEKNUM(SalesData[[#This Row],[Date]])</f>
        <v>39</v>
      </c>
      <c r="O226" t="s">
        <v>2486</v>
      </c>
      <c r="P226" t="s">
        <v>2522</v>
      </c>
      <c r="Q226" t="s">
        <v>2527</v>
      </c>
    </row>
    <row r="227" spans="1:17" x14ac:dyDescent="0.35">
      <c r="A227" t="s">
        <v>1418</v>
      </c>
      <c r="B227" s="3">
        <v>45252</v>
      </c>
      <c r="C227" t="s">
        <v>2013</v>
      </c>
      <c r="D227" t="s">
        <v>2023</v>
      </c>
      <c r="E227" s="8">
        <v>3927</v>
      </c>
      <c r="F227">
        <v>1</v>
      </c>
      <c r="G227">
        <v>15</v>
      </c>
      <c r="H227" s="8">
        <v>3337.95</v>
      </c>
      <c r="I227">
        <v>2936.92</v>
      </c>
      <c r="J227">
        <v>401.03</v>
      </c>
      <c r="K227" s="5">
        <f>IF(SalesData[[#This Row],[Total Revenue]]=0,0,SalesData[[#This Row],[Profit]]/SalesData[[#This Row],[Total Revenue]])</f>
        <v>0.12014260249554368</v>
      </c>
      <c r="L227" s="5" t="str">
        <f>TEXT(SalesData[[#This Row],[Date]],"mmm")</f>
        <v>Nov</v>
      </c>
      <c r="M227">
        <f>YEAR(SalesData[[#This Row],[Date]])</f>
        <v>2023</v>
      </c>
      <c r="N227">
        <f>WEEKNUM(SalesData[[#This Row],[Date]])</f>
        <v>47</v>
      </c>
      <c r="O227" t="s">
        <v>2419</v>
      </c>
      <c r="P227" t="s">
        <v>2522</v>
      </c>
      <c r="Q227" t="s">
        <v>2526</v>
      </c>
    </row>
    <row r="228" spans="1:17" x14ac:dyDescent="0.35">
      <c r="A228" t="s">
        <v>1303</v>
      </c>
      <c r="B228" s="3">
        <v>45198</v>
      </c>
      <c r="C228" t="s">
        <v>2018</v>
      </c>
      <c r="D228" t="s">
        <v>2026</v>
      </c>
      <c r="E228" s="8">
        <v>3537</v>
      </c>
      <c r="F228">
        <v>1</v>
      </c>
      <c r="G228">
        <v>5</v>
      </c>
      <c r="H228" s="8">
        <v>3360.15</v>
      </c>
      <c r="I228">
        <v>2139.61</v>
      </c>
      <c r="J228">
        <v>1220.54</v>
      </c>
      <c r="K228" s="5">
        <f>IF(SalesData[[#This Row],[Total Revenue]]=0,0,SalesData[[#This Row],[Profit]]/SalesData[[#This Row],[Total Revenue]])</f>
        <v>0.36323973632129514</v>
      </c>
      <c r="L228" s="5" t="str">
        <f>TEXT(SalesData[[#This Row],[Date]],"mmm")</f>
        <v>Sep</v>
      </c>
      <c r="M228">
        <f>YEAR(SalesData[[#This Row],[Date]])</f>
        <v>2023</v>
      </c>
      <c r="N228">
        <f>WEEKNUM(SalesData[[#This Row],[Date]])</f>
        <v>39</v>
      </c>
      <c r="O228" t="s">
        <v>2201</v>
      </c>
      <c r="P228" t="s">
        <v>2523</v>
      </c>
      <c r="Q228" t="s">
        <v>2524</v>
      </c>
    </row>
    <row r="229" spans="1:17" x14ac:dyDescent="0.35">
      <c r="A229" t="s">
        <v>1809</v>
      </c>
      <c r="B229" s="3">
        <v>45028</v>
      </c>
      <c r="C229" t="s">
        <v>2015</v>
      </c>
      <c r="D229" t="s">
        <v>2025</v>
      </c>
      <c r="E229" s="8">
        <v>1682</v>
      </c>
      <c r="F229">
        <v>2</v>
      </c>
      <c r="G229">
        <v>0</v>
      </c>
      <c r="H229" s="8">
        <v>3364</v>
      </c>
      <c r="I229">
        <v>982.56</v>
      </c>
      <c r="J229">
        <v>1398.88</v>
      </c>
      <c r="K229" s="5">
        <f>IF(SalesData[[#This Row],[Total Revenue]]=0,0,SalesData[[#This Row],[Profit]]/SalesData[[#This Row],[Total Revenue]])</f>
        <v>0.4158382877526754</v>
      </c>
      <c r="L229" s="5" t="str">
        <f>TEXT(SalesData[[#This Row],[Date]],"mmm")</f>
        <v>Apr</v>
      </c>
      <c r="M229">
        <f>YEAR(SalesData[[#This Row],[Date]])</f>
        <v>2023</v>
      </c>
      <c r="N229">
        <f>WEEKNUM(SalesData[[#This Row],[Date]])</f>
        <v>15</v>
      </c>
      <c r="O229" t="s">
        <v>2471</v>
      </c>
      <c r="P229" t="s">
        <v>2522</v>
      </c>
      <c r="Q229" t="s">
        <v>2527</v>
      </c>
    </row>
    <row r="230" spans="1:17" x14ac:dyDescent="0.35">
      <c r="A230" t="s">
        <v>776</v>
      </c>
      <c r="B230" s="3">
        <v>45051</v>
      </c>
      <c r="C230" t="s">
        <v>2019</v>
      </c>
      <c r="D230" t="s">
        <v>2027</v>
      </c>
      <c r="E230" s="8">
        <v>3542</v>
      </c>
      <c r="F230">
        <v>1</v>
      </c>
      <c r="G230">
        <v>5</v>
      </c>
      <c r="H230" s="8">
        <v>3364.9</v>
      </c>
      <c r="I230">
        <v>2528.5100000000002</v>
      </c>
      <c r="J230">
        <v>836.39</v>
      </c>
      <c r="K230" s="5">
        <f>IF(SalesData[[#This Row],[Total Revenue]]=0,0,SalesData[[#This Row],[Profit]]/SalesData[[#This Row],[Total Revenue]])</f>
        <v>0.24856310737317602</v>
      </c>
      <c r="L230" s="5" t="str">
        <f>TEXT(SalesData[[#This Row],[Date]],"mmm")</f>
        <v>May</v>
      </c>
      <c r="M230">
        <f>YEAR(SalesData[[#This Row],[Date]])</f>
        <v>2023</v>
      </c>
      <c r="N230">
        <f>WEEKNUM(SalesData[[#This Row],[Date]])</f>
        <v>18</v>
      </c>
      <c r="O230" t="s">
        <v>2138</v>
      </c>
      <c r="P230" t="s">
        <v>2522</v>
      </c>
      <c r="Q230" t="s">
        <v>2527</v>
      </c>
    </row>
    <row r="231" spans="1:17" x14ac:dyDescent="0.35">
      <c r="A231" t="s">
        <v>1241</v>
      </c>
      <c r="B231" s="3">
        <v>45094</v>
      </c>
      <c r="C231" t="s">
        <v>2017</v>
      </c>
      <c r="D231" t="s">
        <v>2026</v>
      </c>
      <c r="E231" s="8">
        <v>3395</v>
      </c>
      <c r="F231">
        <v>1</v>
      </c>
      <c r="G231">
        <v>0</v>
      </c>
      <c r="H231" s="8">
        <v>3395</v>
      </c>
      <c r="I231">
        <v>2517</v>
      </c>
      <c r="J231">
        <v>878</v>
      </c>
      <c r="K231" s="5">
        <f>IF(SalesData[[#This Row],[Total Revenue]]=0,0,SalesData[[#This Row],[Profit]]/SalesData[[#This Row],[Total Revenue]])</f>
        <v>0.25861561119293081</v>
      </c>
      <c r="L231" s="5" t="str">
        <f>TEXT(SalesData[[#This Row],[Date]],"mmm")</f>
        <v>Jun</v>
      </c>
      <c r="M231">
        <f>YEAR(SalesData[[#This Row],[Date]])</f>
        <v>2023</v>
      </c>
      <c r="N231">
        <f>WEEKNUM(SalesData[[#This Row],[Date]])</f>
        <v>24</v>
      </c>
      <c r="O231" t="s">
        <v>2112</v>
      </c>
      <c r="P231" t="s">
        <v>2523</v>
      </c>
      <c r="Q231" t="s">
        <v>2526</v>
      </c>
    </row>
    <row r="232" spans="1:17" x14ac:dyDescent="0.35">
      <c r="A232" t="s">
        <v>1750</v>
      </c>
      <c r="B232" s="3">
        <v>45175</v>
      </c>
      <c r="C232" t="s">
        <v>2021</v>
      </c>
      <c r="D232" t="s">
        <v>2028</v>
      </c>
      <c r="E232" s="8">
        <v>2003</v>
      </c>
      <c r="F232">
        <v>2</v>
      </c>
      <c r="G232">
        <v>15</v>
      </c>
      <c r="H232" s="8">
        <v>3405.1</v>
      </c>
      <c r="I232">
        <v>1284.33</v>
      </c>
      <c r="J232">
        <v>836.45</v>
      </c>
      <c r="K232" s="5">
        <f>IF(SalesData[[#This Row],[Total Revenue]]=0,0,SalesData[[#This Row],[Profit]]/SalesData[[#This Row],[Total Revenue]])</f>
        <v>0.24564623652756162</v>
      </c>
      <c r="L232" s="5" t="str">
        <f>TEXT(SalesData[[#This Row],[Date]],"mmm")</f>
        <v>Sep</v>
      </c>
      <c r="M232">
        <f>YEAR(SalesData[[#This Row],[Date]])</f>
        <v>2023</v>
      </c>
      <c r="N232">
        <f>WEEKNUM(SalesData[[#This Row],[Date]])</f>
        <v>36</v>
      </c>
      <c r="O232" t="s">
        <v>2237</v>
      </c>
      <c r="P232" t="s">
        <v>2522</v>
      </c>
      <c r="Q232" t="s">
        <v>2524</v>
      </c>
    </row>
    <row r="233" spans="1:17" x14ac:dyDescent="0.35">
      <c r="A233" t="s">
        <v>1397</v>
      </c>
      <c r="B233" s="3">
        <v>45218</v>
      </c>
      <c r="C233" t="s">
        <v>2015</v>
      </c>
      <c r="D233" t="s">
        <v>2025</v>
      </c>
      <c r="E233" s="8">
        <v>3419</v>
      </c>
      <c r="F233">
        <v>1</v>
      </c>
      <c r="G233">
        <v>0</v>
      </c>
      <c r="H233" s="8">
        <v>3419</v>
      </c>
      <c r="I233">
        <v>1762.78</v>
      </c>
      <c r="J233">
        <v>1656.22</v>
      </c>
      <c r="K233" s="5">
        <f>IF(SalesData[[#This Row],[Total Revenue]]=0,0,SalesData[[#This Row],[Profit]]/SalesData[[#This Row],[Total Revenue]])</f>
        <v>0.48441649605147707</v>
      </c>
      <c r="L233" s="5" t="str">
        <f>TEXT(SalesData[[#This Row],[Date]],"mmm")</f>
        <v>Oct</v>
      </c>
      <c r="M233">
        <f>YEAR(SalesData[[#This Row],[Date]])</f>
        <v>2023</v>
      </c>
      <c r="N233">
        <f>WEEKNUM(SalesData[[#This Row],[Date]])</f>
        <v>42</v>
      </c>
      <c r="O233" t="s">
        <v>2218</v>
      </c>
      <c r="P233" t="s">
        <v>2523</v>
      </c>
      <c r="Q233" t="s">
        <v>2526</v>
      </c>
    </row>
    <row r="234" spans="1:17" x14ac:dyDescent="0.35">
      <c r="A234" t="s">
        <v>243</v>
      </c>
      <c r="B234" s="3">
        <v>45271</v>
      </c>
      <c r="C234" t="s">
        <v>2022</v>
      </c>
      <c r="D234" t="s">
        <v>2024</v>
      </c>
      <c r="E234" s="8">
        <v>3601</v>
      </c>
      <c r="F234">
        <v>1</v>
      </c>
      <c r="G234">
        <v>5</v>
      </c>
      <c r="H234" s="8">
        <v>3420.95</v>
      </c>
      <c r="I234">
        <v>2013.23</v>
      </c>
      <c r="J234">
        <v>1407.72</v>
      </c>
      <c r="K234" s="5">
        <f>IF(SalesData[[#This Row],[Total Revenue]]=0,0,SalesData[[#This Row],[Profit]]/SalesData[[#This Row],[Total Revenue]])</f>
        <v>0.41149972960727288</v>
      </c>
      <c r="L234" s="5" t="str">
        <f>TEXT(SalesData[[#This Row],[Date]],"mmm")</f>
        <v>Dec</v>
      </c>
      <c r="M234">
        <f>YEAR(SalesData[[#This Row],[Date]])</f>
        <v>2023</v>
      </c>
      <c r="N234">
        <f>WEEKNUM(SalesData[[#This Row],[Date]])</f>
        <v>50</v>
      </c>
      <c r="O234" t="s">
        <v>2213</v>
      </c>
      <c r="P234" t="s">
        <v>2523</v>
      </c>
      <c r="Q234" t="s">
        <v>2525</v>
      </c>
    </row>
    <row r="235" spans="1:17" x14ac:dyDescent="0.35">
      <c r="A235" t="s">
        <v>1215</v>
      </c>
      <c r="B235" s="3">
        <v>45261</v>
      </c>
      <c r="C235" t="s">
        <v>2020</v>
      </c>
      <c r="D235" t="s">
        <v>2028</v>
      </c>
      <c r="E235" s="8">
        <v>3808</v>
      </c>
      <c r="F235">
        <v>1</v>
      </c>
      <c r="G235">
        <v>10</v>
      </c>
      <c r="H235" s="8">
        <v>3427.2</v>
      </c>
      <c r="I235">
        <v>2627.23</v>
      </c>
      <c r="J235">
        <v>799.97</v>
      </c>
      <c r="K235" s="5">
        <f>IF(SalesData[[#This Row],[Total Revenue]]=0,0,SalesData[[#This Row],[Profit]]/SalesData[[#This Row],[Total Revenue]])</f>
        <v>0.23341795051353878</v>
      </c>
      <c r="L235" s="5" t="str">
        <f>TEXT(SalesData[[#This Row],[Date]],"mmm")</f>
        <v>Dec</v>
      </c>
      <c r="M235">
        <f>YEAR(SalesData[[#This Row],[Date]])</f>
        <v>2023</v>
      </c>
      <c r="N235">
        <f>WEEKNUM(SalesData[[#This Row],[Date]])</f>
        <v>48</v>
      </c>
      <c r="O235" t="s">
        <v>2471</v>
      </c>
      <c r="P235" t="s">
        <v>2523</v>
      </c>
      <c r="Q235" t="s">
        <v>2527</v>
      </c>
    </row>
    <row r="236" spans="1:17" x14ac:dyDescent="0.35">
      <c r="A236" t="s">
        <v>327</v>
      </c>
      <c r="B236" s="3">
        <v>44935</v>
      </c>
      <c r="C236" t="s">
        <v>2018</v>
      </c>
      <c r="D236" t="s">
        <v>2026</v>
      </c>
      <c r="E236" s="8">
        <v>3817</v>
      </c>
      <c r="F236">
        <v>1</v>
      </c>
      <c r="G236">
        <v>10</v>
      </c>
      <c r="H236" s="8">
        <v>3435.3</v>
      </c>
      <c r="I236">
        <v>2427.8000000000002</v>
      </c>
      <c r="J236">
        <v>1007.5</v>
      </c>
      <c r="K236" s="5">
        <f>IF(SalesData[[#This Row],[Total Revenue]]=0,0,SalesData[[#This Row],[Profit]]/SalesData[[#This Row],[Total Revenue]])</f>
        <v>0.29327860739964484</v>
      </c>
      <c r="L236" s="5" t="str">
        <f>TEXT(SalesData[[#This Row],[Date]],"mmm")</f>
        <v>Jan</v>
      </c>
      <c r="M236">
        <f>YEAR(SalesData[[#This Row],[Date]])</f>
        <v>2023</v>
      </c>
      <c r="N236">
        <f>WEEKNUM(SalesData[[#This Row],[Date]])</f>
        <v>2</v>
      </c>
      <c r="O236" t="s">
        <v>2262</v>
      </c>
      <c r="P236" t="s">
        <v>2523</v>
      </c>
      <c r="Q236" t="s">
        <v>2527</v>
      </c>
    </row>
    <row r="237" spans="1:17" x14ac:dyDescent="0.35">
      <c r="A237" t="s">
        <v>659</v>
      </c>
      <c r="B237" s="3">
        <v>45213</v>
      </c>
      <c r="C237" t="s">
        <v>2021</v>
      </c>
      <c r="D237" t="s">
        <v>2028</v>
      </c>
      <c r="E237" s="8">
        <v>3625</v>
      </c>
      <c r="F237">
        <v>1</v>
      </c>
      <c r="G237">
        <v>5</v>
      </c>
      <c r="H237" s="8">
        <v>3443.75</v>
      </c>
      <c r="I237">
        <v>2727.74</v>
      </c>
      <c r="J237">
        <v>716.01</v>
      </c>
      <c r="K237" s="5">
        <f>IF(SalesData[[#This Row],[Total Revenue]]=0,0,SalesData[[#This Row],[Profit]]/SalesData[[#This Row],[Total Revenue]])</f>
        <v>0.20791578947368422</v>
      </c>
      <c r="L237" s="5" t="str">
        <f>TEXT(SalesData[[#This Row],[Date]],"mmm")</f>
        <v>Oct</v>
      </c>
      <c r="M237">
        <f>YEAR(SalesData[[#This Row],[Date]])</f>
        <v>2023</v>
      </c>
      <c r="N237">
        <f>WEEKNUM(SalesData[[#This Row],[Date]])</f>
        <v>41</v>
      </c>
      <c r="O237" t="s">
        <v>2392</v>
      </c>
      <c r="P237" t="s">
        <v>2523</v>
      </c>
      <c r="Q237" t="s">
        <v>2525</v>
      </c>
    </row>
    <row r="238" spans="1:17" x14ac:dyDescent="0.35">
      <c r="A238" t="s">
        <v>1875</v>
      </c>
      <c r="B238" s="3">
        <v>44931</v>
      </c>
      <c r="C238" t="s">
        <v>2022</v>
      </c>
      <c r="D238" t="s">
        <v>2024</v>
      </c>
      <c r="E238" s="8">
        <v>3849</v>
      </c>
      <c r="F238">
        <v>1</v>
      </c>
      <c r="G238">
        <v>10</v>
      </c>
      <c r="H238" s="8">
        <v>3464.1</v>
      </c>
      <c r="I238">
        <v>2527.48</v>
      </c>
      <c r="J238">
        <v>936.62</v>
      </c>
      <c r="K238" s="5">
        <f>IF(SalesData[[#This Row],[Total Revenue]]=0,0,SalesData[[#This Row],[Profit]]/SalesData[[#This Row],[Total Revenue]])</f>
        <v>0.27037903062844609</v>
      </c>
      <c r="L238" s="5" t="str">
        <f>TEXT(SalesData[[#This Row],[Date]],"mmm")</f>
        <v>Jan</v>
      </c>
      <c r="M238">
        <f>YEAR(SalesData[[#This Row],[Date]])</f>
        <v>2023</v>
      </c>
      <c r="N238">
        <f>WEEKNUM(SalesData[[#This Row],[Date]])</f>
        <v>1</v>
      </c>
      <c r="O238" t="s">
        <v>2408</v>
      </c>
      <c r="P238" t="s">
        <v>2522</v>
      </c>
      <c r="Q238" t="s">
        <v>2525</v>
      </c>
    </row>
    <row r="239" spans="1:17" x14ac:dyDescent="0.35">
      <c r="A239" t="s">
        <v>1870</v>
      </c>
      <c r="B239" s="3">
        <v>45091</v>
      </c>
      <c r="C239" t="s">
        <v>2013</v>
      </c>
      <c r="D239" t="s">
        <v>2023</v>
      </c>
      <c r="E239" s="8">
        <v>920</v>
      </c>
      <c r="F239">
        <v>4</v>
      </c>
      <c r="G239">
        <v>5</v>
      </c>
      <c r="H239" s="8">
        <v>3496</v>
      </c>
      <c r="I239">
        <v>665.41</v>
      </c>
      <c r="J239">
        <v>834.36</v>
      </c>
      <c r="K239" s="5">
        <f>IF(SalesData[[#This Row],[Total Revenue]]=0,0,SalesData[[#This Row],[Profit]]/SalesData[[#This Row],[Total Revenue]])</f>
        <v>0.2386613272311213</v>
      </c>
      <c r="L239" s="5" t="str">
        <f>TEXT(SalesData[[#This Row],[Date]],"mmm")</f>
        <v>Jun</v>
      </c>
      <c r="M239">
        <f>YEAR(SalesData[[#This Row],[Date]])</f>
        <v>2023</v>
      </c>
      <c r="N239">
        <f>WEEKNUM(SalesData[[#This Row],[Date]])</f>
        <v>24</v>
      </c>
      <c r="O239" t="s">
        <v>2344</v>
      </c>
      <c r="P239" t="s">
        <v>2522</v>
      </c>
      <c r="Q239" t="s">
        <v>2525</v>
      </c>
    </row>
    <row r="240" spans="1:17" x14ac:dyDescent="0.35">
      <c r="A240" t="s">
        <v>1411</v>
      </c>
      <c r="B240" s="3">
        <v>45233</v>
      </c>
      <c r="C240" t="s">
        <v>2020</v>
      </c>
      <c r="D240" t="s">
        <v>2028</v>
      </c>
      <c r="E240" s="8">
        <v>973</v>
      </c>
      <c r="F240">
        <v>4</v>
      </c>
      <c r="G240">
        <v>10</v>
      </c>
      <c r="H240" s="8">
        <v>3502.8</v>
      </c>
      <c r="I240">
        <v>608.79999999999995</v>
      </c>
      <c r="J240">
        <v>1067.58</v>
      </c>
      <c r="K240" s="5">
        <f>IF(SalesData[[#This Row],[Total Revenue]]=0,0,SalesData[[#This Row],[Profit]]/SalesData[[#This Row],[Total Revenue]])</f>
        <v>0.30477903391572453</v>
      </c>
      <c r="L240" s="5" t="str">
        <f>TEXT(SalesData[[#This Row],[Date]],"mmm")</f>
        <v>Nov</v>
      </c>
      <c r="M240">
        <f>YEAR(SalesData[[#This Row],[Date]])</f>
        <v>2023</v>
      </c>
      <c r="N240">
        <f>WEEKNUM(SalesData[[#This Row],[Date]])</f>
        <v>44</v>
      </c>
      <c r="O240" t="s">
        <v>2411</v>
      </c>
      <c r="P240" t="s">
        <v>2523</v>
      </c>
      <c r="Q240" t="s">
        <v>2525</v>
      </c>
    </row>
    <row r="241" spans="1:17" x14ac:dyDescent="0.35">
      <c r="A241" t="s">
        <v>1363</v>
      </c>
      <c r="B241" s="3">
        <v>45237</v>
      </c>
      <c r="C241" t="s">
        <v>2022</v>
      </c>
      <c r="D241" t="s">
        <v>2024</v>
      </c>
      <c r="E241" s="8">
        <v>3509</v>
      </c>
      <c r="F241">
        <v>1</v>
      </c>
      <c r="G241">
        <v>0</v>
      </c>
      <c r="H241" s="8">
        <v>3509</v>
      </c>
      <c r="I241">
        <v>2588.0300000000002</v>
      </c>
      <c r="J241">
        <v>920.97</v>
      </c>
      <c r="K241" s="5">
        <f>IF(SalesData[[#This Row],[Total Revenue]]=0,0,SalesData[[#This Row],[Profit]]/SalesData[[#This Row],[Total Revenue]])</f>
        <v>0.26245939013964092</v>
      </c>
      <c r="L241" s="5" t="str">
        <f>TEXT(SalesData[[#This Row],[Date]],"mmm")</f>
        <v>Nov</v>
      </c>
      <c r="M241">
        <f>YEAR(SalesData[[#This Row],[Date]])</f>
        <v>2023</v>
      </c>
      <c r="N241">
        <f>WEEKNUM(SalesData[[#This Row],[Date]])</f>
        <v>45</v>
      </c>
      <c r="O241" t="s">
        <v>2172</v>
      </c>
      <c r="P241" t="s">
        <v>2522</v>
      </c>
      <c r="Q241" t="s">
        <v>2525</v>
      </c>
    </row>
    <row r="242" spans="1:17" x14ac:dyDescent="0.35">
      <c r="A242" t="s">
        <v>1564</v>
      </c>
      <c r="B242" s="3">
        <v>45238</v>
      </c>
      <c r="C242" t="s">
        <v>2017</v>
      </c>
      <c r="D242" t="s">
        <v>2026</v>
      </c>
      <c r="E242" s="8">
        <v>1034</v>
      </c>
      <c r="F242">
        <v>4</v>
      </c>
      <c r="G242">
        <v>15</v>
      </c>
      <c r="H242" s="8">
        <v>3515.6</v>
      </c>
      <c r="I242">
        <v>537.70000000000005</v>
      </c>
      <c r="J242">
        <v>1364.79</v>
      </c>
      <c r="K242" s="5">
        <f>IF(SalesData[[#This Row],[Total Revenue]]=0,0,SalesData[[#This Row],[Profit]]/SalesData[[#This Row],[Total Revenue]])</f>
        <v>0.38820969393560134</v>
      </c>
      <c r="L242" s="5" t="str">
        <f>TEXT(SalesData[[#This Row],[Date]],"mmm")</f>
        <v>Nov</v>
      </c>
      <c r="M242">
        <f>YEAR(SalesData[[#This Row],[Date]])</f>
        <v>2023</v>
      </c>
      <c r="N242">
        <f>WEEKNUM(SalesData[[#This Row],[Date]])</f>
        <v>45</v>
      </c>
      <c r="O242" t="s">
        <v>2095</v>
      </c>
      <c r="P242" t="s">
        <v>2523</v>
      </c>
      <c r="Q242" t="s">
        <v>2527</v>
      </c>
    </row>
    <row r="243" spans="1:17" x14ac:dyDescent="0.35">
      <c r="A243" t="s">
        <v>1473</v>
      </c>
      <c r="B243" s="3">
        <v>45239</v>
      </c>
      <c r="C243" t="s">
        <v>2020</v>
      </c>
      <c r="D243" t="s">
        <v>2028</v>
      </c>
      <c r="E243" s="8">
        <v>1851</v>
      </c>
      <c r="F243">
        <v>2</v>
      </c>
      <c r="G243">
        <v>5</v>
      </c>
      <c r="H243" s="8">
        <v>3516.9</v>
      </c>
      <c r="I243">
        <v>1086.81</v>
      </c>
      <c r="J243">
        <v>1343.28</v>
      </c>
      <c r="K243" s="5">
        <f>IF(SalesData[[#This Row],[Total Revenue]]=0,0,SalesData[[#This Row],[Profit]]/SalesData[[#This Row],[Total Revenue]])</f>
        <v>0.38195001279535951</v>
      </c>
      <c r="L243" s="5" t="str">
        <f>TEXT(SalesData[[#This Row],[Date]],"mmm")</f>
        <v>Nov</v>
      </c>
      <c r="M243">
        <f>YEAR(SalesData[[#This Row],[Date]])</f>
        <v>2023</v>
      </c>
      <c r="N243">
        <f>WEEKNUM(SalesData[[#This Row],[Date]])</f>
        <v>45</v>
      </c>
      <c r="O243" t="s">
        <v>2497</v>
      </c>
      <c r="P243" t="s">
        <v>2522</v>
      </c>
      <c r="Q243" t="s">
        <v>2527</v>
      </c>
    </row>
    <row r="244" spans="1:17" x14ac:dyDescent="0.35">
      <c r="A244" t="s">
        <v>1952</v>
      </c>
      <c r="B244" s="3">
        <v>44930</v>
      </c>
      <c r="C244" t="s">
        <v>2015</v>
      </c>
      <c r="D244" t="s">
        <v>2025</v>
      </c>
      <c r="E244" s="8">
        <v>979</v>
      </c>
      <c r="F244">
        <v>4</v>
      </c>
      <c r="G244">
        <v>10</v>
      </c>
      <c r="H244" s="8">
        <v>3524.4</v>
      </c>
      <c r="I244">
        <v>630.83000000000004</v>
      </c>
      <c r="J244">
        <v>1001.09</v>
      </c>
      <c r="K244" s="5">
        <f>IF(SalesData[[#This Row],[Total Revenue]]=0,0,SalesData[[#This Row],[Profit]]/SalesData[[#This Row],[Total Revenue]])</f>
        <v>0.28404551129270228</v>
      </c>
      <c r="L244" s="5" t="str">
        <f>TEXT(SalesData[[#This Row],[Date]],"mmm")</f>
        <v>Jan</v>
      </c>
      <c r="M244">
        <f>YEAR(SalesData[[#This Row],[Date]])</f>
        <v>2023</v>
      </c>
      <c r="N244">
        <f>WEEKNUM(SalesData[[#This Row],[Date]])</f>
        <v>1</v>
      </c>
      <c r="O244" t="s">
        <v>2036</v>
      </c>
      <c r="P244" t="s">
        <v>2522</v>
      </c>
      <c r="Q244" t="s">
        <v>2524</v>
      </c>
    </row>
    <row r="245" spans="1:17" x14ac:dyDescent="0.35">
      <c r="A245" t="s">
        <v>383</v>
      </c>
      <c r="B245" s="3">
        <v>44939</v>
      </c>
      <c r="C245" t="s">
        <v>2013</v>
      </c>
      <c r="D245" t="s">
        <v>2023</v>
      </c>
      <c r="E245" s="8">
        <v>3526</v>
      </c>
      <c r="F245">
        <v>1</v>
      </c>
      <c r="G245">
        <v>0</v>
      </c>
      <c r="H245" s="8">
        <v>3526</v>
      </c>
      <c r="I245">
        <v>2452.02</v>
      </c>
      <c r="J245">
        <v>1073.98</v>
      </c>
      <c r="K245" s="5">
        <f>IF(SalesData[[#This Row],[Total Revenue]]=0,0,SalesData[[#This Row],[Profit]]/SalesData[[#This Row],[Total Revenue]])</f>
        <v>0.30458876914350541</v>
      </c>
      <c r="L245" s="5" t="str">
        <f>TEXT(SalesData[[#This Row],[Date]],"mmm")</f>
        <v>Jan</v>
      </c>
      <c r="M245">
        <f>YEAR(SalesData[[#This Row],[Date]])</f>
        <v>2023</v>
      </c>
      <c r="N245">
        <f>WEEKNUM(SalesData[[#This Row],[Date]])</f>
        <v>2</v>
      </c>
      <c r="O245" t="s">
        <v>2258</v>
      </c>
      <c r="P245" t="s">
        <v>2523</v>
      </c>
      <c r="Q245" t="s">
        <v>2526</v>
      </c>
    </row>
    <row r="246" spans="1:17" x14ac:dyDescent="0.35">
      <c r="A246" t="s">
        <v>70</v>
      </c>
      <c r="B246" s="3">
        <v>45118</v>
      </c>
      <c r="C246" t="s">
        <v>2016</v>
      </c>
      <c r="D246" t="s">
        <v>2025</v>
      </c>
      <c r="E246" s="8">
        <v>1969</v>
      </c>
      <c r="F246">
        <v>2</v>
      </c>
      <c r="G246">
        <v>10</v>
      </c>
      <c r="H246" s="8">
        <v>3544.2</v>
      </c>
      <c r="I246">
        <v>994.78</v>
      </c>
      <c r="J246">
        <v>1554.63</v>
      </c>
      <c r="K246" s="5">
        <f>IF(SalesData[[#This Row],[Total Revenue]]=0,0,SalesData[[#This Row],[Profit]]/SalesData[[#This Row],[Total Revenue]])</f>
        <v>0.43864059590316579</v>
      </c>
      <c r="L246" s="5" t="str">
        <f>TEXT(SalesData[[#This Row],[Date]],"mmm")</f>
        <v>Jul</v>
      </c>
      <c r="M246">
        <f>YEAR(SalesData[[#This Row],[Date]])</f>
        <v>2023</v>
      </c>
      <c r="N246">
        <f>WEEKNUM(SalesData[[#This Row],[Date]])</f>
        <v>28</v>
      </c>
      <c r="O246" t="s">
        <v>2034</v>
      </c>
      <c r="P246" t="s">
        <v>2523</v>
      </c>
      <c r="Q246" t="s">
        <v>2524</v>
      </c>
    </row>
    <row r="247" spans="1:17" x14ac:dyDescent="0.35">
      <c r="A247" t="s">
        <v>1697</v>
      </c>
      <c r="B247" s="3">
        <v>44927</v>
      </c>
      <c r="C247" t="s">
        <v>2021</v>
      </c>
      <c r="D247" t="s">
        <v>2028</v>
      </c>
      <c r="E247" s="8">
        <v>4184</v>
      </c>
      <c r="F247">
        <v>1</v>
      </c>
      <c r="G247">
        <v>15</v>
      </c>
      <c r="H247" s="8">
        <v>3556.4</v>
      </c>
      <c r="I247">
        <v>3163.76</v>
      </c>
      <c r="J247">
        <v>392.64</v>
      </c>
      <c r="K247" s="5">
        <f>IF(SalesData[[#This Row],[Total Revenue]]=0,0,SalesData[[#This Row],[Profit]]/SalesData[[#This Row],[Total Revenue]])</f>
        <v>0.11040377910246316</v>
      </c>
      <c r="L247" s="5" t="str">
        <f>TEXT(SalesData[[#This Row],[Date]],"mmm")</f>
        <v>Jan</v>
      </c>
      <c r="M247">
        <f>YEAR(SalesData[[#This Row],[Date]])</f>
        <v>2023</v>
      </c>
      <c r="N247">
        <f>WEEKNUM(SalesData[[#This Row],[Date]])</f>
        <v>1</v>
      </c>
      <c r="O247" t="s">
        <v>2298</v>
      </c>
      <c r="P247" t="s">
        <v>2523</v>
      </c>
      <c r="Q247" t="s">
        <v>2527</v>
      </c>
    </row>
    <row r="248" spans="1:17" x14ac:dyDescent="0.35">
      <c r="A248" t="s">
        <v>135</v>
      </c>
      <c r="B248" s="3">
        <v>45231</v>
      </c>
      <c r="C248" t="s">
        <v>2015</v>
      </c>
      <c r="D248" t="s">
        <v>2025</v>
      </c>
      <c r="E248" s="8">
        <v>1977</v>
      </c>
      <c r="F248">
        <v>2</v>
      </c>
      <c r="G248">
        <v>10</v>
      </c>
      <c r="H248" s="8">
        <v>3558.6</v>
      </c>
      <c r="I248">
        <v>1190.79</v>
      </c>
      <c r="J248">
        <v>1177.01</v>
      </c>
      <c r="K248" s="5">
        <f>IF(SalesData[[#This Row],[Total Revenue]]=0,0,SalesData[[#This Row],[Profit]]/SalesData[[#This Row],[Total Revenue]])</f>
        <v>0.33075085707862645</v>
      </c>
      <c r="L248" s="5" t="str">
        <f>TEXT(SalesData[[#This Row],[Date]],"mmm")</f>
        <v>Nov</v>
      </c>
      <c r="M248">
        <f>YEAR(SalesData[[#This Row],[Date]])</f>
        <v>2023</v>
      </c>
      <c r="N248">
        <f>WEEKNUM(SalesData[[#This Row],[Date]])</f>
        <v>44</v>
      </c>
      <c r="O248" t="s">
        <v>2138</v>
      </c>
      <c r="P248" t="s">
        <v>2522</v>
      </c>
      <c r="Q248" t="s">
        <v>2526</v>
      </c>
    </row>
    <row r="249" spans="1:17" x14ac:dyDescent="0.35">
      <c r="A249" t="s">
        <v>1676</v>
      </c>
      <c r="B249" s="3">
        <v>45086</v>
      </c>
      <c r="C249" t="s">
        <v>2018</v>
      </c>
      <c r="D249" t="s">
        <v>2026</v>
      </c>
      <c r="E249" s="8">
        <v>2095</v>
      </c>
      <c r="F249">
        <v>2</v>
      </c>
      <c r="G249">
        <v>15</v>
      </c>
      <c r="H249" s="8">
        <v>3561.5</v>
      </c>
      <c r="I249">
        <v>1350.99</v>
      </c>
      <c r="J249">
        <v>859.53</v>
      </c>
      <c r="K249" s="5">
        <f>IF(SalesData[[#This Row],[Total Revenue]]=0,0,SalesData[[#This Row],[Profit]]/SalesData[[#This Row],[Total Revenue]])</f>
        <v>0.24133932331882632</v>
      </c>
      <c r="L249" s="5" t="str">
        <f>TEXT(SalesData[[#This Row],[Date]],"mmm")</f>
        <v>Jun</v>
      </c>
      <c r="M249">
        <f>YEAR(SalesData[[#This Row],[Date]])</f>
        <v>2023</v>
      </c>
      <c r="N249">
        <f>WEEKNUM(SalesData[[#This Row],[Date]])</f>
        <v>23</v>
      </c>
      <c r="O249" t="s">
        <v>2076</v>
      </c>
      <c r="P249" t="s">
        <v>2522</v>
      </c>
      <c r="Q249" t="s">
        <v>2525</v>
      </c>
    </row>
    <row r="250" spans="1:17" x14ac:dyDescent="0.35">
      <c r="A250" t="s">
        <v>1200</v>
      </c>
      <c r="B250" s="3">
        <v>45121</v>
      </c>
      <c r="C250" t="s">
        <v>2017</v>
      </c>
      <c r="D250" t="s">
        <v>2026</v>
      </c>
      <c r="E250" s="8">
        <v>3959</v>
      </c>
      <c r="F250">
        <v>1</v>
      </c>
      <c r="G250">
        <v>10</v>
      </c>
      <c r="H250" s="8">
        <v>3563.1</v>
      </c>
      <c r="I250">
        <v>2919.31</v>
      </c>
      <c r="J250">
        <v>643.79</v>
      </c>
      <c r="K250" s="5">
        <f>IF(SalesData[[#This Row],[Total Revenue]]=0,0,SalesData[[#This Row],[Profit]]/SalesData[[#This Row],[Total Revenue]])</f>
        <v>0.18068255171058908</v>
      </c>
      <c r="L250" s="5" t="str">
        <f>TEXT(SalesData[[#This Row],[Date]],"mmm")</f>
        <v>Jul</v>
      </c>
      <c r="M250">
        <f>YEAR(SalesData[[#This Row],[Date]])</f>
        <v>2023</v>
      </c>
      <c r="N250">
        <f>WEEKNUM(SalesData[[#This Row],[Date]])</f>
        <v>28</v>
      </c>
      <c r="O250" t="s">
        <v>2207</v>
      </c>
      <c r="P250" t="s">
        <v>2522</v>
      </c>
      <c r="Q250" t="s">
        <v>2526</v>
      </c>
    </row>
    <row r="251" spans="1:17" x14ac:dyDescent="0.35">
      <c r="A251" t="s">
        <v>408</v>
      </c>
      <c r="B251" s="3">
        <v>45227</v>
      </c>
      <c r="C251" t="s">
        <v>2022</v>
      </c>
      <c r="D251" t="s">
        <v>2024</v>
      </c>
      <c r="E251" s="8">
        <v>3976</v>
      </c>
      <c r="F251">
        <v>1</v>
      </c>
      <c r="G251">
        <v>10</v>
      </c>
      <c r="H251" s="8">
        <v>3578.4</v>
      </c>
      <c r="I251">
        <v>2877.08</v>
      </c>
      <c r="J251">
        <v>701.32</v>
      </c>
      <c r="K251" s="5">
        <f>IF(SalesData[[#This Row],[Total Revenue]]=0,0,SalesData[[#This Row],[Profit]]/SalesData[[#This Row],[Total Revenue]])</f>
        <v>0.19598703331097697</v>
      </c>
      <c r="L251" s="5" t="str">
        <f>TEXT(SalesData[[#This Row],[Date]],"mmm")</f>
        <v>Oct</v>
      </c>
      <c r="M251">
        <f>YEAR(SalesData[[#This Row],[Date]])</f>
        <v>2023</v>
      </c>
      <c r="N251">
        <f>WEEKNUM(SalesData[[#This Row],[Date]])</f>
        <v>43</v>
      </c>
      <c r="O251" t="s">
        <v>2299</v>
      </c>
      <c r="P251" t="s">
        <v>2522</v>
      </c>
      <c r="Q251" t="s">
        <v>2527</v>
      </c>
    </row>
    <row r="252" spans="1:17" x14ac:dyDescent="0.35">
      <c r="A252" t="s">
        <v>1365</v>
      </c>
      <c r="B252" s="3">
        <v>45253</v>
      </c>
      <c r="C252" t="s">
        <v>2017</v>
      </c>
      <c r="D252" t="s">
        <v>2026</v>
      </c>
      <c r="E252" s="8">
        <v>3778</v>
      </c>
      <c r="F252">
        <v>1</v>
      </c>
      <c r="G252">
        <v>5</v>
      </c>
      <c r="H252" s="8">
        <v>3589.1</v>
      </c>
      <c r="I252">
        <v>2224.0700000000002</v>
      </c>
      <c r="J252">
        <v>1365.03</v>
      </c>
      <c r="K252" s="5">
        <f>IF(SalesData[[#This Row],[Total Revenue]]=0,0,SalesData[[#This Row],[Profit]]/SalesData[[#This Row],[Total Revenue]])</f>
        <v>0.38032654425900642</v>
      </c>
      <c r="L252" s="5" t="str">
        <f>TEXT(SalesData[[#This Row],[Date]],"mmm")</f>
        <v>Nov</v>
      </c>
      <c r="M252">
        <f>YEAR(SalesData[[#This Row],[Date]])</f>
        <v>2023</v>
      </c>
      <c r="N252">
        <f>WEEKNUM(SalesData[[#This Row],[Date]])</f>
        <v>47</v>
      </c>
      <c r="O252" t="s">
        <v>2456</v>
      </c>
      <c r="P252" t="s">
        <v>2523</v>
      </c>
      <c r="Q252" t="s">
        <v>2525</v>
      </c>
    </row>
    <row r="253" spans="1:17" x14ac:dyDescent="0.35">
      <c r="A253" t="s">
        <v>1263</v>
      </c>
      <c r="B253" s="3">
        <v>45249</v>
      </c>
      <c r="C253" t="s">
        <v>2017</v>
      </c>
      <c r="D253" t="s">
        <v>2026</v>
      </c>
      <c r="E253" s="8">
        <v>3595</v>
      </c>
      <c r="F253">
        <v>1</v>
      </c>
      <c r="G253">
        <v>0</v>
      </c>
      <c r="H253" s="8">
        <v>3595</v>
      </c>
      <c r="I253">
        <v>2010.3</v>
      </c>
      <c r="J253">
        <v>1584.7</v>
      </c>
      <c r="K253" s="5">
        <f>IF(SalesData[[#This Row],[Total Revenue]]=0,0,SalesData[[#This Row],[Profit]]/SalesData[[#This Row],[Total Revenue]])</f>
        <v>0.4408066759388039</v>
      </c>
      <c r="L253" s="5" t="str">
        <f>TEXT(SalesData[[#This Row],[Date]],"mmm")</f>
        <v>Nov</v>
      </c>
      <c r="M253">
        <f>YEAR(SalesData[[#This Row],[Date]])</f>
        <v>2023</v>
      </c>
      <c r="N253">
        <f>WEEKNUM(SalesData[[#This Row],[Date]])</f>
        <v>47</v>
      </c>
      <c r="O253" t="s">
        <v>2247</v>
      </c>
      <c r="P253" t="s">
        <v>2522</v>
      </c>
      <c r="Q253" t="s">
        <v>2527</v>
      </c>
    </row>
    <row r="254" spans="1:17" x14ac:dyDescent="0.35">
      <c r="A254" t="s">
        <v>1970</v>
      </c>
      <c r="B254" s="3">
        <v>45076</v>
      </c>
      <c r="C254" t="s">
        <v>2020</v>
      </c>
      <c r="D254" t="s">
        <v>2028</v>
      </c>
      <c r="E254" s="8">
        <v>4006</v>
      </c>
      <c r="F254">
        <v>1</v>
      </c>
      <c r="G254">
        <v>10</v>
      </c>
      <c r="H254" s="8">
        <v>3605.4</v>
      </c>
      <c r="I254">
        <v>2108.0700000000002</v>
      </c>
      <c r="J254">
        <v>1497.33</v>
      </c>
      <c r="K254" s="5">
        <f>IF(SalesData[[#This Row],[Total Revenue]]=0,0,SalesData[[#This Row],[Profit]]/SalesData[[#This Row],[Total Revenue]])</f>
        <v>0.41530204692960554</v>
      </c>
      <c r="L254" s="5" t="str">
        <f>TEXT(SalesData[[#This Row],[Date]],"mmm")</f>
        <v>May</v>
      </c>
      <c r="M254">
        <f>YEAR(SalesData[[#This Row],[Date]])</f>
        <v>2023</v>
      </c>
      <c r="N254">
        <f>WEEKNUM(SalesData[[#This Row],[Date]])</f>
        <v>22</v>
      </c>
      <c r="O254" t="s">
        <v>2235</v>
      </c>
      <c r="P254" t="s">
        <v>2523</v>
      </c>
      <c r="Q254" t="s">
        <v>2527</v>
      </c>
    </row>
    <row r="255" spans="1:17" x14ac:dyDescent="0.35">
      <c r="A255" t="s">
        <v>1884</v>
      </c>
      <c r="B255" s="3">
        <v>44944</v>
      </c>
      <c r="C255" t="s">
        <v>2022</v>
      </c>
      <c r="D255" t="s">
        <v>2024</v>
      </c>
      <c r="E255" s="8">
        <v>1266</v>
      </c>
      <c r="F255">
        <v>3</v>
      </c>
      <c r="G255">
        <v>5</v>
      </c>
      <c r="H255" s="8">
        <v>3608.1</v>
      </c>
      <c r="I255">
        <v>721.72</v>
      </c>
      <c r="J255">
        <v>1442.93</v>
      </c>
      <c r="K255" s="5">
        <f>IF(SalesData[[#This Row],[Total Revenue]]=0,0,SalesData[[#This Row],[Profit]]/SalesData[[#This Row],[Total Revenue]])</f>
        <v>0.3999140822039301</v>
      </c>
      <c r="L255" s="5" t="str">
        <f>TEXT(SalesData[[#This Row],[Date]],"mmm")</f>
        <v>Jan</v>
      </c>
      <c r="M255">
        <f>YEAR(SalesData[[#This Row],[Date]])</f>
        <v>2023</v>
      </c>
      <c r="N255">
        <f>WEEKNUM(SalesData[[#This Row],[Date]])</f>
        <v>3</v>
      </c>
      <c r="O255" t="s">
        <v>2317</v>
      </c>
      <c r="P255" t="s">
        <v>2522</v>
      </c>
      <c r="Q255" t="s">
        <v>2527</v>
      </c>
    </row>
    <row r="256" spans="1:17" x14ac:dyDescent="0.35">
      <c r="A256" t="s">
        <v>404</v>
      </c>
      <c r="B256" s="3">
        <v>45137</v>
      </c>
      <c r="C256" t="s">
        <v>2015</v>
      </c>
      <c r="D256" t="s">
        <v>2025</v>
      </c>
      <c r="E256" s="8">
        <v>2012</v>
      </c>
      <c r="F256">
        <v>2</v>
      </c>
      <c r="G256">
        <v>10</v>
      </c>
      <c r="H256" s="8">
        <v>3621.6</v>
      </c>
      <c r="I256">
        <v>1398.29</v>
      </c>
      <c r="J256">
        <v>825.01</v>
      </c>
      <c r="K256" s="5">
        <f>IF(SalesData[[#This Row],[Total Revenue]]=0,0,SalesData[[#This Row],[Profit]]/SalesData[[#This Row],[Total Revenue]])</f>
        <v>0.22780262867241</v>
      </c>
      <c r="L256" s="5" t="str">
        <f>TEXT(SalesData[[#This Row],[Date]],"mmm")</f>
        <v>Jul</v>
      </c>
      <c r="M256">
        <f>YEAR(SalesData[[#This Row],[Date]])</f>
        <v>2023</v>
      </c>
      <c r="N256">
        <f>WEEKNUM(SalesData[[#This Row],[Date]])</f>
        <v>31</v>
      </c>
      <c r="O256" t="s">
        <v>2113</v>
      </c>
      <c r="P256" t="s">
        <v>2523</v>
      </c>
      <c r="Q256" t="s">
        <v>2526</v>
      </c>
    </row>
    <row r="257" spans="1:17" x14ac:dyDescent="0.35">
      <c r="A257" t="s">
        <v>429</v>
      </c>
      <c r="B257" s="3">
        <v>45118</v>
      </c>
      <c r="C257" t="s">
        <v>2017</v>
      </c>
      <c r="D257" t="s">
        <v>2026</v>
      </c>
      <c r="E257" s="8">
        <v>1209</v>
      </c>
      <c r="F257">
        <v>3</v>
      </c>
      <c r="G257">
        <v>0</v>
      </c>
      <c r="H257" s="8">
        <v>3627</v>
      </c>
      <c r="I257">
        <v>861.7</v>
      </c>
      <c r="J257">
        <v>1041.8900000000001</v>
      </c>
      <c r="K257" s="5">
        <f>IF(SalesData[[#This Row],[Total Revenue]]=0,0,SalesData[[#This Row],[Profit]]/SalesData[[#This Row],[Total Revenue]])</f>
        <v>0.28725944306589468</v>
      </c>
      <c r="L257" s="5" t="str">
        <f>TEXT(SalesData[[#This Row],[Date]],"mmm")</f>
        <v>Jul</v>
      </c>
      <c r="M257">
        <f>YEAR(SalesData[[#This Row],[Date]])</f>
        <v>2023</v>
      </c>
      <c r="N257">
        <f>WEEKNUM(SalesData[[#This Row],[Date]])</f>
        <v>28</v>
      </c>
      <c r="O257" t="s">
        <v>2204</v>
      </c>
      <c r="P257" t="s">
        <v>2522</v>
      </c>
      <c r="Q257" t="s">
        <v>2527</v>
      </c>
    </row>
    <row r="258" spans="1:17" x14ac:dyDescent="0.35">
      <c r="A258" t="s">
        <v>1024</v>
      </c>
      <c r="B258" s="3">
        <v>45031</v>
      </c>
      <c r="C258" t="s">
        <v>2019</v>
      </c>
      <c r="D258" t="s">
        <v>2027</v>
      </c>
      <c r="E258" s="8">
        <v>3633</v>
      </c>
      <c r="F258">
        <v>1</v>
      </c>
      <c r="G258">
        <v>0</v>
      </c>
      <c r="H258" s="8">
        <v>3633</v>
      </c>
      <c r="I258">
        <v>2151.1999999999998</v>
      </c>
      <c r="J258">
        <v>1481.8</v>
      </c>
      <c r="K258" s="5">
        <f>IF(SalesData[[#This Row],[Total Revenue]]=0,0,SalesData[[#This Row],[Profit]]/SalesData[[#This Row],[Total Revenue]])</f>
        <v>0.40787228186072116</v>
      </c>
      <c r="L258" s="5" t="str">
        <f>TEXT(SalesData[[#This Row],[Date]],"mmm")</f>
        <v>Apr</v>
      </c>
      <c r="M258">
        <f>YEAR(SalesData[[#This Row],[Date]])</f>
        <v>2023</v>
      </c>
      <c r="N258">
        <f>WEEKNUM(SalesData[[#This Row],[Date]])</f>
        <v>15</v>
      </c>
      <c r="O258" t="s">
        <v>2459</v>
      </c>
      <c r="P258" t="s">
        <v>2522</v>
      </c>
      <c r="Q258" t="s">
        <v>2525</v>
      </c>
    </row>
    <row r="259" spans="1:17" x14ac:dyDescent="0.35">
      <c r="A259" t="s">
        <v>1788</v>
      </c>
      <c r="B259" s="3">
        <v>45285</v>
      </c>
      <c r="C259" t="s">
        <v>2014</v>
      </c>
      <c r="D259" t="s">
        <v>2024</v>
      </c>
      <c r="E259" s="8">
        <v>3643</v>
      </c>
      <c r="F259">
        <v>1</v>
      </c>
      <c r="G259">
        <v>0</v>
      </c>
      <c r="H259" s="8">
        <v>3643</v>
      </c>
      <c r="I259">
        <v>2853.98</v>
      </c>
      <c r="J259">
        <v>789.02</v>
      </c>
      <c r="K259" s="5">
        <f>IF(SalesData[[#This Row],[Total Revenue]]=0,0,SalesData[[#This Row],[Profit]]/SalesData[[#This Row],[Total Revenue]])</f>
        <v>0.21658523195168816</v>
      </c>
      <c r="L259" s="5" t="str">
        <f>TEXT(SalesData[[#This Row],[Date]],"mmm")</f>
        <v>Dec</v>
      </c>
      <c r="M259">
        <f>YEAR(SalesData[[#This Row],[Date]])</f>
        <v>2023</v>
      </c>
      <c r="N259">
        <f>WEEKNUM(SalesData[[#This Row],[Date]])</f>
        <v>52</v>
      </c>
      <c r="O259" t="s">
        <v>2411</v>
      </c>
      <c r="P259" t="s">
        <v>2522</v>
      </c>
      <c r="Q259" t="s">
        <v>2526</v>
      </c>
    </row>
    <row r="260" spans="1:17" x14ac:dyDescent="0.35">
      <c r="A260" t="s">
        <v>1133</v>
      </c>
      <c r="B260" s="3">
        <v>45282</v>
      </c>
      <c r="C260" t="s">
        <v>2014</v>
      </c>
      <c r="D260" t="s">
        <v>2024</v>
      </c>
      <c r="E260" s="8">
        <v>1012</v>
      </c>
      <c r="F260">
        <v>4</v>
      </c>
      <c r="G260">
        <v>10</v>
      </c>
      <c r="H260" s="8">
        <v>3643.2</v>
      </c>
      <c r="I260">
        <v>585.83000000000004</v>
      </c>
      <c r="J260">
        <v>1299.8599999999999</v>
      </c>
      <c r="K260" s="5">
        <f>IF(SalesData[[#This Row],[Total Revenue]]=0,0,SalesData[[#This Row],[Profit]]/SalesData[[#This Row],[Total Revenue]])</f>
        <v>0.35679073342116818</v>
      </c>
      <c r="L260" s="5" t="str">
        <f>TEXT(SalesData[[#This Row],[Date]],"mmm")</f>
        <v>Dec</v>
      </c>
      <c r="M260">
        <f>YEAR(SalesData[[#This Row],[Date]])</f>
        <v>2023</v>
      </c>
      <c r="N260">
        <f>WEEKNUM(SalesData[[#This Row],[Date]])</f>
        <v>51</v>
      </c>
      <c r="O260" t="s">
        <v>2264</v>
      </c>
      <c r="P260" t="s">
        <v>2523</v>
      </c>
      <c r="Q260" t="s">
        <v>2526</v>
      </c>
    </row>
    <row r="261" spans="1:17" x14ac:dyDescent="0.35">
      <c r="A261" t="s">
        <v>969</v>
      </c>
      <c r="B261" s="3">
        <v>45218</v>
      </c>
      <c r="C261" t="s">
        <v>2017</v>
      </c>
      <c r="D261" t="s">
        <v>2026</v>
      </c>
      <c r="E261" s="8">
        <v>1822</v>
      </c>
      <c r="F261">
        <v>2</v>
      </c>
      <c r="G261">
        <v>0</v>
      </c>
      <c r="H261" s="8">
        <v>3644</v>
      </c>
      <c r="I261">
        <v>1179.32</v>
      </c>
      <c r="J261">
        <v>1285.3599999999999</v>
      </c>
      <c r="K261" s="5">
        <f>IF(SalesData[[#This Row],[Total Revenue]]=0,0,SalesData[[#This Row],[Profit]]/SalesData[[#This Row],[Total Revenue]])</f>
        <v>0.35273326015367723</v>
      </c>
      <c r="L261" s="5" t="str">
        <f>TEXT(SalesData[[#This Row],[Date]],"mmm")</f>
        <v>Oct</v>
      </c>
      <c r="M261">
        <f>YEAR(SalesData[[#This Row],[Date]])</f>
        <v>2023</v>
      </c>
      <c r="N261">
        <f>WEEKNUM(SalesData[[#This Row],[Date]])</f>
        <v>42</v>
      </c>
      <c r="O261" t="s">
        <v>2359</v>
      </c>
      <c r="P261" t="s">
        <v>2523</v>
      </c>
      <c r="Q261" t="s">
        <v>2525</v>
      </c>
    </row>
    <row r="262" spans="1:17" x14ac:dyDescent="0.35">
      <c r="A262" t="s">
        <v>881</v>
      </c>
      <c r="B262" s="3">
        <v>45227</v>
      </c>
      <c r="C262" t="s">
        <v>2013</v>
      </c>
      <c r="D262" t="s">
        <v>2023</v>
      </c>
      <c r="E262" s="8">
        <v>1823</v>
      </c>
      <c r="F262">
        <v>2</v>
      </c>
      <c r="G262">
        <v>0</v>
      </c>
      <c r="H262" s="8">
        <v>3646</v>
      </c>
      <c r="I262">
        <v>1433.1</v>
      </c>
      <c r="J262">
        <v>779.8</v>
      </c>
      <c r="K262" s="5">
        <f>IF(SalesData[[#This Row],[Total Revenue]]=0,0,SalesData[[#This Row],[Profit]]/SalesData[[#This Row],[Total Revenue]])</f>
        <v>0.21387822270981896</v>
      </c>
      <c r="L262" s="5" t="str">
        <f>TEXT(SalesData[[#This Row],[Date]],"mmm")</f>
        <v>Oct</v>
      </c>
      <c r="M262">
        <f>YEAR(SalesData[[#This Row],[Date]])</f>
        <v>2023</v>
      </c>
      <c r="N262">
        <f>WEEKNUM(SalesData[[#This Row],[Date]])</f>
        <v>43</v>
      </c>
      <c r="O262" t="s">
        <v>2394</v>
      </c>
      <c r="P262" t="s">
        <v>2523</v>
      </c>
      <c r="Q262" t="s">
        <v>2527</v>
      </c>
    </row>
    <row r="263" spans="1:17" x14ac:dyDescent="0.35">
      <c r="A263" t="s">
        <v>1638</v>
      </c>
      <c r="B263" s="3">
        <v>44933</v>
      </c>
      <c r="C263" t="s">
        <v>2020</v>
      </c>
      <c r="D263" t="s">
        <v>2028</v>
      </c>
      <c r="E263" s="8">
        <v>1286</v>
      </c>
      <c r="F263">
        <v>3</v>
      </c>
      <c r="G263">
        <v>5</v>
      </c>
      <c r="H263" s="8">
        <v>3665.1</v>
      </c>
      <c r="I263">
        <v>692.55</v>
      </c>
      <c r="J263">
        <v>1587.44</v>
      </c>
      <c r="K263" s="5">
        <f>IF(SalesData[[#This Row],[Total Revenue]]=0,0,SalesData[[#This Row],[Profit]]/SalesData[[#This Row],[Total Revenue]])</f>
        <v>0.43312324356770621</v>
      </c>
      <c r="L263" s="5" t="str">
        <f>TEXT(SalesData[[#This Row],[Date]],"mmm")</f>
        <v>Jan</v>
      </c>
      <c r="M263">
        <f>YEAR(SalesData[[#This Row],[Date]])</f>
        <v>2023</v>
      </c>
      <c r="N263">
        <f>WEEKNUM(SalesData[[#This Row],[Date]])</f>
        <v>1</v>
      </c>
      <c r="O263" t="s">
        <v>2181</v>
      </c>
      <c r="P263" t="s">
        <v>2523</v>
      </c>
      <c r="Q263" t="s">
        <v>2524</v>
      </c>
    </row>
    <row r="264" spans="1:17" x14ac:dyDescent="0.35">
      <c r="A264" t="s">
        <v>1861</v>
      </c>
      <c r="B264" s="3">
        <v>45233</v>
      </c>
      <c r="C264" t="s">
        <v>2020</v>
      </c>
      <c r="D264" t="s">
        <v>2028</v>
      </c>
      <c r="E264" s="8">
        <v>4080</v>
      </c>
      <c r="F264">
        <v>1</v>
      </c>
      <c r="G264">
        <v>10</v>
      </c>
      <c r="H264" s="8">
        <v>3672</v>
      </c>
      <c r="I264">
        <v>2272.85</v>
      </c>
      <c r="J264">
        <v>1399.15</v>
      </c>
      <c r="K264" s="5">
        <f>IF(SalesData[[#This Row],[Total Revenue]]=0,0,SalesData[[#This Row],[Profit]]/SalesData[[#This Row],[Total Revenue]])</f>
        <v>0.38103213507625272</v>
      </c>
      <c r="L264" s="5" t="str">
        <f>TEXT(SalesData[[#This Row],[Date]],"mmm")</f>
        <v>Nov</v>
      </c>
      <c r="M264">
        <f>YEAR(SalesData[[#This Row],[Date]])</f>
        <v>2023</v>
      </c>
      <c r="N264">
        <f>WEEKNUM(SalesData[[#This Row],[Date]])</f>
        <v>44</v>
      </c>
      <c r="O264" t="s">
        <v>2271</v>
      </c>
      <c r="P264" t="s">
        <v>2523</v>
      </c>
      <c r="Q264" t="s">
        <v>2524</v>
      </c>
    </row>
    <row r="265" spans="1:17" x14ac:dyDescent="0.35">
      <c r="A265" t="s">
        <v>1829</v>
      </c>
      <c r="B265" s="3">
        <v>45074</v>
      </c>
      <c r="C265" t="s">
        <v>2020</v>
      </c>
      <c r="D265" t="s">
        <v>2028</v>
      </c>
      <c r="E265" s="8">
        <v>4094</v>
      </c>
      <c r="F265">
        <v>1</v>
      </c>
      <c r="G265">
        <v>10</v>
      </c>
      <c r="H265" s="8">
        <v>3684.6</v>
      </c>
      <c r="I265">
        <v>2295.9499999999998</v>
      </c>
      <c r="J265">
        <v>1388.65</v>
      </c>
      <c r="K265" s="5">
        <f>IF(SalesData[[#This Row],[Total Revenue]]=0,0,SalesData[[#This Row],[Profit]]/SalesData[[#This Row],[Total Revenue]])</f>
        <v>0.37687944417304459</v>
      </c>
      <c r="L265" s="5" t="str">
        <f>TEXT(SalesData[[#This Row],[Date]],"mmm")</f>
        <v>May</v>
      </c>
      <c r="M265">
        <f>YEAR(SalesData[[#This Row],[Date]])</f>
        <v>2023</v>
      </c>
      <c r="N265">
        <f>WEEKNUM(SalesData[[#This Row],[Date]])</f>
        <v>22</v>
      </c>
      <c r="O265" t="s">
        <v>2291</v>
      </c>
      <c r="P265" t="s">
        <v>2522</v>
      </c>
      <c r="Q265" t="s">
        <v>2526</v>
      </c>
    </row>
    <row r="266" spans="1:17" x14ac:dyDescent="0.35">
      <c r="A266" t="s">
        <v>666</v>
      </c>
      <c r="B266" s="3">
        <v>44936</v>
      </c>
      <c r="C266" t="s">
        <v>2015</v>
      </c>
      <c r="D266" t="s">
        <v>2025</v>
      </c>
      <c r="E266" s="8">
        <v>4105</v>
      </c>
      <c r="F266">
        <v>1</v>
      </c>
      <c r="G266">
        <v>10</v>
      </c>
      <c r="H266" s="8">
        <v>3694.5</v>
      </c>
      <c r="I266">
        <v>2706.43</v>
      </c>
      <c r="J266">
        <v>988.07</v>
      </c>
      <c r="K266" s="5">
        <f>IF(SalesData[[#This Row],[Total Revenue]]=0,0,SalesData[[#This Row],[Profit]]/SalesData[[#This Row],[Total Revenue]])</f>
        <v>0.26744349709026932</v>
      </c>
      <c r="L266" s="5" t="str">
        <f>TEXT(SalesData[[#This Row],[Date]],"mmm")</f>
        <v>Jan</v>
      </c>
      <c r="M266">
        <f>YEAR(SalesData[[#This Row],[Date]])</f>
        <v>2023</v>
      </c>
      <c r="N266">
        <f>WEEKNUM(SalesData[[#This Row],[Date]])</f>
        <v>2</v>
      </c>
      <c r="O266" t="s">
        <v>2249</v>
      </c>
      <c r="P266" t="s">
        <v>2523</v>
      </c>
      <c r="Q266" t="s">
        <v>2526</v>
      </c>
    </row>
    <row r="267" spans="1:17" x14ac:dyDescent="0.35">
      <c r="A267" t="s">
        <v>744</v>
      </c>
      <c r="B267" s="3">
        <v>44947</v>
      </c>
      <c r="C267" t="s">
        <v>2021</v>
      </c>
      <c r="D267" t="s">
        <v>2028</v>
      </c>
      <c r="E267" s="8">
        <v>2181</v>
      </c>
      <c r="F267">
        <v>2</v>
      </c>
      <c r="G267">
        <v>15</v>
      </c>
      <c r="H267" s="8">
        <v>3707.7</v>
      </c>
      <c r="I267">
        <v>1230</v>
      </c>
      <c r="J267">
        <v>1247.69</v>
      </c>
      <c r="K267" s="5">
        <f>IF(SalesData[[#This Row],[Total Revenue]]=0,0,SalesData[[#This Row],[Profit]]/SalesData[[#This Row],[Total Revenue]])</f>
        <v>0.33651320225476716</v>
      </c>
      <c r="L267" s="5" t="str">
        <f>TEXT(SalesData[[#This Row],[Date]],"mmm")</f>
        <v>Jan</v>
      </c>
      <c r="M267">
        <f>YEAR(SalesData[[#This Row],[Date]])</f>
        <v>2023</v>
      </c>
      <c r="N267">
        <f>WEEKNUM(SalesData[[#This Row],[Date]])</f>
        <v>3</v>
      </c>
      <c r="O267" t="s">
        <v>2261</v>
      </c>
      <c r="P267" t="s">
        <v>2522</v>
      </c>
      <c r="Q267" t="s">
        <v>2524</v>
      </c>
    </row>
    <row r="268" spans="1:17" x14ac:dyDescent="0.35">
      <c r="A268" t="s">
        <v>371</v>
      </c>
      <c r="B268" s="3">
        <v>44959</v>
      </c>
      <c r="C268" t="s">
        <v>2016</v>
      </c>
      <c r="D268" t="s">
        <v>2025</v>
      </c>
      <c r="E268" s="8">
        <v>1374</v>
      </c>
      <c r="F268">
        <v>3</v>
      </c>
      <c r="G268">
        <v>10</v>
      </c>
      <c r="H268" s="8">
        <v>3709.8</v>
      </c>
      <c r="I268">
        <v>984.61</v>
      </c>
      <c r="J268">
        <v>755.96</v>
      </c>
      <c r="K268" s="5">
        <f>IF(SalesData[[#This Row],[Total Revenue]]=0,0,SalesData[[#This Row],[Profit]]/SalesData[[#This Row],[Total Revenue]])</f>
        <v>0.20377378834438514</v>
      </c>
      <c r="L268" s="5" t="str">
        <f>TEXT(SalesData[[#This Row],[Date]],"mmm")</f>
        <v>Feb</v>
      </c>
      <c r="M268">
        <f>YEAR(SalesData[[#This Row],[Date]])</f>
        <v>2023</v>
      </c>
      <c r="N268">
        <f>WEEKNUM(SalesData[[#This Row],[Date]])</f>
        <v>5</v>
      </c>
      <c r="O268" t="s">
        <v>2282</v>
      </c>
      <c r="P268" t="s">
        <v>2523</v>
      </c>
      <c r="Q268" t="s">
        <v>2525</v>
      </c>
    </row>
    <row r="269" spans="1:17" x14ac:dyDescent="0.35">
      <c r="A269" t="s">
        <v>1280</v>
      </c>
      <c r="B269" s="3">
        <v>45078</v>
      </c>
      <c r="C269" t="s">
        <v>2020</v>
      </c>
      <c r="D269" t="s">
        <v>2028</v>
      </c>
      <c r="E269" s="8">
        <v>1957</v>
      </c>
      <c r="F269">
        <v>2</v>
      </c>
      <c r="G269">
        <v>5</v>
      </c>
      <c r="H269" s="8">
        <v>3718.3</v>
      </c>
      <c r="I269">
        <v>1248.46</v>
      </c>
      <c r="J269">
        <v>1221.3800000000001</v>
      </c>
      <c r="K269" s="5">
        <f>IF(SalesData[[#This Row],[Total Revenue]]=0,0,SalesData[[#This Row],[Profit]]/SalesData[[#This Row],[Total Revenue]])</f>
        <v>0.32847806793427103</v>
      </c>
      <c r="L269" s="5" t="str">
        <f>TEXT(SalesData[[#This Row],[Date]],"mmm")</f>
        <v>Jun</v>
      </c>
      <c r="M269">
        <f>YEAR(SalesData[[#This Row],[Date]])</f>
        <v>2023</v>
      </c>
      <c r="N269">
        <f>WEEKNUM(SalesData[[#This Row],[Date]])</f>
        <v>22</v>
      </c>
      <c r="O269" t="s">
        <v>2213</v>
      </c>
      <c r="P269" t="s">
        <v>2522</v>
      </c>
      <c r="Q269" t="s">
        <v>2525</v>
      </c>
    </row>
    <row r="270" spans="1:17" x14ac:dyDescent="0.35">
      <c r="A270" t="s">
        <v>280</v>
      </c>
      <c r="B270" s="3">
        <v>45204</v>
      </c>
      <c r="C270" t="s">
        <v>2020</v>
      </c>
      <c r="D270" t="s">
        <v>2028</v>
      </c>
      <c r="E270" s="8">
        <v>1385</v>
      </c>
      <c r="F270">
        <v>3</v>
      </c>
      <c r="G270">
        <v>10</v>
      </c>
      <c r="H270" s="8">
        <v>3739.5</v>
      </c>
      <c r="I270">
        <v>973.43</v>
      </c>
      <c r="J270">
        <v>819.21</v>
      </c>
      <c r="K270" s="5">
        <f>IF(SalesData[[#This Row],[Total Revenue]]=0,0,SalesData[[#This Row],[Profit]]/SalesData[[#This Row],[Total Revenue]])</f>
        <v>0.21906939430405134</v>
      </c>
      <c r="L270" s="5" t="str">
        <f>TEXT(SalesData[[#This Row],[Date]],"mmm")</f>
        <v>Oct</v>
      </c>
      <c r="M270">
        <f>YEAR(SalesData[[#This Row],[Date]])</f>
        <v>2023</v>
      </c>
      <c r="N270">
        <f>WEEKNUM(SalesData[[#This Row],[Date]])</f>
        <v>40</v>
      </c>
      <c r="O270" t="s">
        <v>2235</v>
      </c>
      <c r="P270" t="s">
        <v>2523</v>
      </c>
      <c r="Q270" t="s">
        <v>2524</v>
      </c>
    </row>
    <row r="271" spans="1:17" x14ac:dyDescent="0.35">
      <c r="A271" t="s">
        <v>1573</v>
      </c>
      <c r="B271" s="3">
        <v>45089</v>
      </c>
      <c r="C271" t="s">
        <v>2019</v>
      </c>
      <c r="D271" t="s">
        <v>2027</v>
      </c>
      <c r="E271" s="8">
        <v>1101</v>
      </c>
      <c r="F271">
        <v>4</v>
      </c>
      <c r="G271">
        <v>15</v>
      </c>
      <c r="H271" s="8">
        <v>3743.4</v>
      </c>
      <c r="I271">
        <v>631.01</v>
      </c>
      <c r="J271">
        <v>1219.3499999999999</v>
      </c>
      <c r="K271" s="5">
        <f>IF(SalesData[[#This Row],[Total Revenue]]=0,0,SalesData[[#This Row],[Profit]]/SalesData[[#This Row],[Total Revenue]])</f>
        <v>0.3257332905914409</v>
      </c>
      <c r="L271" s="5" t="str">
        <f>TEXT(SalesData[[#This Row],[Date]],"mmm")</f>
        <v>Jun</v>
      </c>
      <c r="M271">
        <f>YEAR(SalesData[[#This Row],[Date]])</f>
        <v>2023</v>
      </c>
      <c r="N271">
        <f>WEEKNUM(SalesData[[#This Row],[Date]])</f>
        <v>24</v>
      </c>
      <c r="O271" t="s">
        <v>2272</v>
      </c>
      <c r="P271" t="s">
        <v>2522</v>
      </c>
      <c r="Q271" t="s">
        <v>2527</v>
      </c>
    </row>
    <row r="272" spans="1:17" x14ac:dyDescent="0.35">
      <c r="A272" t="s">
        <v>1550</v>
      </c>
      <c r="B272" s="3">
        <v>45119</v>
      </c>
      <c r="C272" t="s">
        <v>2022</v>
      </c>
      <c r="D272" t="s">
        <v>2024</v>
      </c>
      <c r="E272" s="8">
        <v>1250</v>
      </c>
      <c r="F272">
        <v>3</v>
      </c>
      <c r="G272">
        <v>0</v>
      </c>
      <c r="H272" s="8">
        <v>3750</v>
      </c>
      <c r="I272">
        <v>771.04</v>
      </c>
      <c r="J272">
        <v>1436.89</v>
      </c>
      <c r="K272" s="5">
        <f>IF(SalesData[[#This Row],[Total Revenue]]=0,0,SalesData[[#This Row],[Profit]]/SalesData[[#This Row],[Total Revenue]])</f>
        <v>0.38317066666666671</v>
      </c>
      <c r="L272" s="5" t="str">
        <f>TEXT(SalesData[[#This Row],[Date]],"mmm")</f>
        <v>Jul</v>
      </c>
      <c r="M272">
        <f>YEAR(SalesData[[#This Row],[Date]])</f>
        <v>2023</v>
      </c>
      <c r="N272">
        <f>WEEKNUM(SalesData[[#This Row],[Date]])</f>
        <v>28</v>
      </c>
      <c r="O272" t="s">
        <v>2140</v>
      </c>
      <c r="P272" t="s">
        <v>2522</v>
      </c>
      <c r="Q272" t="s">
        <v>2524</v>
      </c>
    </row>
    <row r="273" spans="1:17" x14ac:dyDescent="0.35">
      <c r="A273" t="s">
        <v>96</v>
      </c>
      <c r="B273" s="3">
        <v>45167</v>
      </c>
      <c r="C273" t="s">
        <v>2020</v>
      </c>
      <c r="D273" t="s">
        <v>2028</v>
      </c>
      <c r="E273" s="8">
        <v>1875</v>
      </c>
      <c r="F273">
        <v>2</v>
      </c>
      <c r="G273">
        <v>0</v>
      </c>
      <c r="H273" s="8">
        <v>3750</v>
      </c>
      <c r="I273">
        <v>1267.9000000000001</v>
      </c>
      <c r="J273">
        <v>1214.19</v>
      </c>
      <c r="K273" s="5">
        <f>IF(SalesData[[#This Row],[Total Revenue]]=0,0,SalesData[[#This Row],[Profit]]/SalesData[[#This Row],[Total Revenue]])</f>
        <v>0.32378400000000002</v>
      </c>
      <c r="L273" s="5" t="str">
        <f>TEXT(SalesData[[#This Row],[Date]],"mmm")</f>
        <v>Aug</v>
      </c>
      <c r="M273">
        <f>YEAR(SalesData[[#This Row],[Date]])</f>
        <v>2023</v>
      </c>
      <c r="N273">
        <f>WEEKNUM(SalesData[[#This Row],[Date]])</f>
        <v>35</v>
      </c>
      <c r="O273" t="s">
        <v>2103</v>
      </c>
      <c r="P273" t="s">
        <v>2522</v>
      </c>
      <c r="Q273" t="s">
        <v>2526</v>
      </c>
    </row>
    <row r="274" spans="1:17" x14ac:dyDescent="0.35">
      <c r="A274" t="s">
        <v>1297</v>
      </c>
      <c r="B274" s="3">
        <v>45020</v>
      </c>
      <c r="C274" t="s">
        <v>2016</v>
      </c>
      <c r="D274" t="s">
        <v>2025</v>
      </c>
      <c r="E274" s="8">
        <v>4170</v>
      </c>
      <c r="F274">
        <v>1</v>
      </c>
      <c r="G274">
        <v>10</v>
      </c>
      <c r="H274" s="8">
        <v>3753</v>
      </c>
      <c r="I274">
        <v>2964.07</v>
      </c>
      <c r="J274">
        <v>788.93</v>
      </c>
      <c r="K274" s="5">
        <f>IF(SalesData[[#This Row],[Total Revenue]]=0,0,SalesData[[#This Row],[Profit]]/SalesData[[#This Row],[Total Revenue]])</f>
        <v>0.21021316280309085</v>
      </c>
      <c r="L274" s="5" t="str">
        <f>TEXT(SalesData[[#This Row],[Date]],"mmm")</f>
        <v>Apr</v>
      </c>
      <c r="M274">
        <f>YEAR(SalesData[[#This Row],[Date]])</f>
        <v>2023</v>
      </c>
      <c r="N274">
        <f>WEEKNUM(SalesData[[#This Row],[Date]])</f>
        <v>14</v>
      </c>
      <c r="O274" t="s">
        <v>2320</v>
      </c>
      <c r="P274" t="s">
        <v>2522</v>
      </c>
      <c r="Q274" t="s">
        <v>2525</v>
      </c>
    </row>
    <row r="275" spans="1:17" x14ac:dyDescent="0.35">
      <c r="A275" t="s">
        <v>1519</v>
      </c>
      <c r="B275" s="3">
        <v>45018</v>
      </c>
      <c r="C275" t="s">
        <v>2020</v>
      </c>
      <c r="D275" t="s">
        <v>2028</v>
      </c>
      <c r="E275" s="8">
        <v>4180</v>
      </c>
      <c r="F275">
        <v>1</v>
      </c>
      <c r="G275">
        <v>10</v>
      </c>
      <c r="H275" s="8">
        <v>3762</v>
      </c>
      <c r="I275">
        <v>2184.2800000000002</v>
      </c>
      <c r="J275">
        <v>1577.72</v>
      </c>
      <c r="K275" s="5">
        <f>IF(SalesData[[#This Row],[Total Revenue]]=0,0,SalesData[[#This Row],[Profit]]/SalesData[[#This Row],[Total Revenue]])</f>
        <v>0.4193833067517278</v>
      </c>
      <c r="L275" s="5" t="str">
        <f>TEXT(SalesData[[#This Row],[Date]],"mmm")</f>
        <v>Apr</v>
      </c>
      <c r="M275">
        <f>YEAR(SalesData[[#This Row],[Date]])</f>
        <v>2023</v>
      </c>
      <c r="N275">
        <f>WEEKNUM(SalesData[[#This Row],[Date]])</f>
        <v>14</v>
      </c>
      <c r="O275" t="s">
        <v>2042</v>
      </c>
      <c r="P275" t="s">
        <v>2522</v>
      </c>
      <c r="Q275" t="s">
        <v>2525</v>
      </c>
    </row>
    <row r="276" spans="1:17" x14ac:dyDescent="0.35">
      <c r="A276" t="s">
        <v>380</v>
      </c>
      <c r="B276" s="3">
        <v>45235</v>
      </c>
      <c r="C276" t="s">
        <v>2020</v>
      </c>
      <c r="D276" t="s">
        <v>2028</v>
      </c>
      <c r="E276" s="8">
        <v>1323</v>
      </c>
      <c r="F276">
        <v>3</v>
      </c>
      <c r="G276">
        <v>5</v>
      </c>
      <c r="H276" s="8">
        <v>3770.55</v>
      </c>
      <c r="I276">
        <v>676.93</v>
      </c>
      <c r="J276">
        <v>1739.76</v>
      </c>
      <c r="K276" s="5">
        <f>IF(SalesData[[#This Row],[Total Revenue]]=0,0,SalesData[[#This Row],[Profit]]/SalesData[[#This Row],[Total Revenue]])</f>
        <v>0.46140748697139672</v>
      </c>
      <c r="L276" s="5" t="str">
        <f>TEXT(SalesData[[#This Row],[Date]],"mmm")</f>
        <v>Nov</v>
      </c>
      <c r="M276">
        <f>YEAR(SalesData[[#This Row],[Date]])</f>
        <v>2023</v>
      </c>
      <c r="N276">
        <f>WEEKNUM(SalesData[[#This Row],[Date]])</f>
        <v>45</v>
      </c>
      <c r="O276" t="s">
        <v>2130</v>
      </c>
      <c r="P276" t="s">
        <v>2522</v>
      </c>
      <c r="Q276" t="s">
        <v>2527</v>
      </c>
    </row>
    <row r="277" spans="1:17" x14ac:dyDescent="0.35">
      <c r="A277" t="s">
        <v>456</v>
      </c>
      <c r="B277" s="3">
        <v>45134</v>
      </c>
      <c r="C277" t="s">
        <v>2014</v>
      </c>
      <c r="D277" t="s">
        <v>2024</v>
      </c>
      <c r="E277" s="8">
        <v>3782</v>
      </c>
      <c r="F277">
        <v>1</v>
      </c>
      <c r="G277">
        <v>0</v>
      </c>
      <c r="H277" s="8">
        <v>3782</v>
      </c>
      <c r="I277">
        <v>2935.24</v>
      </c>
      <c r="J277">
        <v>846.76</v>
      </c>
      <c r="K277" s="5">
        <f>IF(SalesData[[#This Row],[Total Revenue]]=0,0,SalesData[[#This Row],[Profit]]/SalesData[[#This Row],[Total Revenue]])</f>
        <v>0.2238921205711264</v>
      </c>
      <c r="L277" s="5" t="str">
        <f>TEXT(SalesData[[#This Row],[Date]],"mmm")</f>
        <v>Jul</v>
      </c>
      <c r="M277">
        <f>YEAR(SalesData[[#This Row],[Date]])</f>
        <v>2023</v>
      </c>
      <c r="N277">
        <f>WEEKNUM(SalesData[[#This Row],[Date]])</f>
        <v>30</v>
      </c>
      <c r="O277" t="s">
        <v>2183</v>
      </c>
      <c r="P277" t="s">
        <v>2522</v>
      </c>
      <c r="Q277" t="s">
        <v>2527</v>
      </c>
    </row>
    <row r="278" spans="1:17" x14ac:dyDescent="0.35">
      <c r="A278" t="s">
        <v>621</v>
      </c>
      <c r="B278" s="3">
        <v>45266</v>
      </c>
      <c r="C278" t="s">
        <v>2015</v>
      </c>
      <c r="D278" t="s">
        <v>2025</v>
      </c>
      <c r="E278" s="8">
        <v>4223</v>
      </c>
      <c r="F278">
        <v>1</v>
      </c>
      <c r="G278">
        <v>10</v>
      </c>
      <c r="H278" s="8">
        <v>3800.7</v>
      </c>
      <c r="I278">
        <v>2447.38</v>
      </c>
      <c r="J278">
        <v>1353.32</v>
      </c>
      <c r="K278" s="5">
        <f>IF(SalesData[[#This Row],[Total Revenue]]=0,0,SalesData[[#This Row],[Profit]]/SalesData[[#This Row],[Total Revenue]])</f>
        <v>0.3560712500328887</v>
      </c>
      <c r="L278" s="5" t="str">
        <f>TEXT(SalesData[[#This Row],[Date]],"mmm")</f>
        <v>Dec</v>
      </c>
      <c r="M278">
        <f>YEAR(SalesData[[#This Row],[Date]])</f>
        <v>2023</v>
      </c>
      <c r="N278">
        <f>WEEKNUM(SalesData[[#This Row],[Date]])</f>
        <v>49</v>
      </c>
      <c r="O278" t="s">
        <v>2068</v>
      </c>
      <c r="P278" t="s">
        <v>2522</v>
      </c>
      <c r="Q278" t="s">
        <v>2524</v>
      </c>
    </row>
    <row r="279" spans="1:17" x14ac:dyDescent="0.35">
      <c r="A279" t="s">
        <v>704</v>
      </c>
      <c r="B279" s="3">
        <v>45102</v>
      </c>
      <c r="C279" t="s">
        <v>2021</v>
      </c>
      <c r="D279" t="s">
        <v>2028</v>
      </c>
      <c r="E279" s="8">
        <v>4003</v>
      </c>
      <c r="F279">
        <v>1</v>
      </c>
      <c r="G279">
        <v>5</v>
      </c>
      <c r="H279" s="8">
        <v>3802.85</v>
      </c>
      <c r="I279">
        <v>3146.73</v>
      </c>
      <c r="J279">
        <v>656.12</v>
      </c>
      <c r="K279" s="5">
        <f>IF(SalesData[[#This Row],[Total Revenue]]=0,0,SalesData[[#This Row],[Profit]]/SalesData[[#This Row],[Total Revenue]])</f>
        <v>0.17253375757655443</v>
      </c>
      <c r="L279" s="5" t="str">
        <f>TEXT(SalesData[[#This Row],[Date]],"mmm")</f>
        <v>Jun</v>
      </c>
      <c r="M279">
        <f>YEAR(SalesData[[#This Row],[Date]])</f>
        <v>2023</v>
      </c>
      <c r="N279">
        <f>WEEKNUM(SalesData[[#This Row],[Date]])</f>
        <v>26</v>
      </c>
      <c r="O279" t="s">
        <v>2402</v>
      </c>
      <c r="P279" t="s">
        <v>2523</v>
      </c>
      <c r="Q279" t="s">
        <v>2526</v>
      </c>
    </row>
    <row r="280" spans="1:17" x14ac:dyDescent="0.35">
      <c r="A280" t="s">
        <v>550</v>
      </c>
      <c r="B280" s="3">
        <v>44934</v>
      </c>
      <c r="C280" t="s">
        <v>2021</v>
      </c>
      <c r="D280" t="s">
        <v>2028</v>
      </c>
      <c r="E280" s="8">
        <v>895</v>
      </c>
      <c r="F280">
        <v>5</v>
      </c>
      <c r="G280">
        <v>15</v>
      </c>
      <c r="H280" s="8">
        <v>3803.75</v>
      </c>
      <c r="I280">
        <v>505.51</v>
      </c>
      <c r="J280">
        <v>1276.21</v>
      </c>
      <c r="K280" s="5">
        <f>IF(SalesData[[#This Row],[Total Revenue]]=0,0,SalesData[[#This Row],[Profit]]/SalesData[[#This Row],[Total Revenue]])</f>
        <v>0.33551363785737759</v>
      </c>
      <c r="L280" s="5" t="str">
        <f>TEXT(SalesData[[#This Row],[Date]],"mmm")</f>
        <v>Jan</v>
      </c>
      <c r="M280">
        <f>YEAR(SalesData[[#This Row],[Date]])</f>
        <v>2023</v>
      </c>
      <c r="N280">
        <f>WEEKNUM(SalesData[[#This Row],[Date]])</f>
        <v>2</v>
      </c>
      <c r="O280" t="s">
        <v>2324</v>
      </c>
      <c r="P280" t="s">
        <v>2522</v>
      </c>
      <c r="Q280" t="s">
        <v>2524</v>
      </c>
    </row>
    <row r="281" spans="1:17" x14ac:dyDescent="0.35">
      <c r="A281" t="s">
        <v>314</v>
      </c>
      <c r="B281" s="3">
        <v>45123</v>
      </c>
      <c r="C281" t="s">
        <v>2014</v>
      </c>
      <c r="D281" t="s">
        <v>2024</v>
      </c>
      <c r="E281" s="8">
        <v>2003</v>
      </c>
      <c r="F281">
        <v>2</v>
      </c>
      <c r="G281">
        <v>5</v>
      </c>
      <c r="H281" s="8">
        <v>3805.7</v>
      </c>
      <c r="I281">
        <v>1328.84</v>
      </c>
      <c r="J281">
        <v>1148.02</v>
      </c>
      <c r="K281" s="5">
        <f>IF(SalesData[[#This Row],[Total Revenue]]=0,0,SalesData[[#This Row],[Profit]]/SalesData[[#This Row],[Total Revenue]])</f>
        <v>0.30165803925690415</v>
      </c>
      <c r="L281" s="5" t="str">
        <f>TEXT(SalesData[[#This Row],[Date]],"mmm")</f>
        <v>Jul</v>
      </c>
      <c r="M281">
        <f>YEAR(SalesData[[#This Row],[Date]])</f>
        <v>2023</v>
      </c>
      <c r="N281">
        <f>WEEKNUM(SalesData[[#This Row],[Date]])</f>
        <v>29</v>
      </c>
      <c r="O281" t="s">
        <v>2255</v>
      </c>
      <c r="P281" t="s">
        <v>2523</v>
      </c>
      <c r="Q281" t="s">
        <v>2525</v>
      </c>
    </row>
    <row r="282" spans="1:17" x14ac:dyDescent="0.35">
      <c r="A282" t="s">
        <v>839</v>
      </c>
      <c r="B282" s="3">
        <v>45183</v>
      </c>
      <c r="C282" t="s">
        <v>2022</v>
      </c>
      <c r="D282" t="s">
        <v>2024</v>
      </c>
      <c r="E282" s="8">
        <v>4478</v>
      </c>
      <c r="F282">
        <v>1</v>
      </c>
      <c r="G282">
        <v>15</v>
      </c>
      <c r="H282" s="8">
        <v>3806.3</v>
      </c>
      <c r="I282">
        <v>2255.39</v>
      </c>
      <c r="J282">
        <v>1550.91</v>
      </c>
      <c r="K282" s="5">
        <f>IF(SalesData[[#This Row],[Total Revenue]]=0,0,SalesData[[#This Row],[Profit]]/SalesData[[#This Row],[Total Revenue]])</f>
        <v>0.40745868691380083</v>
      </c>
      <c r="L282" s="5" t="str">
        <f>TEXT(SalesData[[#This Row],[Date]],"mmm")</f>
        <v>Sep</v>
      </c>
      <c r="M282">
        <f>YEAR(SalesData[[#This Row],[Date]])</f>
        <v>2023</v>
      </c>
      <c r="N282">
        <f>WEEKNUM(SalesData[[#This Row],[Date]])</f>
        <v>37</v>
      </c>
      <c r="O282" t="s">
        <v>2335</v>
      </c>
      <c r="P282" t="s">
        <v>2523</v>
      </c>
      <c r="Q282" t="s">
        <v>2527</v>
      </c>
    </row>
    <row r="283" spans="1:17" x14ac:dyDescent="0.35">
      <c r="A283" t="s">
        <v>1060</v>
      </c>
      <c r="B283" s="3">
        <v>44983</v>
      </c>
      <c r="C283" t="s">
        <v>2015</v>
      </c>
      <c r="D283" t="s">
        <v>2025</v>
      </c>
      <c r="E283" s="8">
        <v>1413</v>
      </c>
      <c r="F283">
        <v>3</v>
      </c>
      <c r="G283">
        <v>10</v>
      </c>
      <c r="H283" s="8">
        <v>3815.1</v>
      </c>
      <c r="I283">
        <v>719.34</v>
      </c>
      <c r="J283">
        <v>1657.08</v>
      </c>
      <c r="K283" s="5">
        <f>IF(SalesData[[#This Row],[Total Revenue]]=0,0,SalesData[[#This Row],[Profit]]/SalesData[[#This Row],[Total Revenue]])</f>
        <v>0.43434772351969803</v>
      </c>
      <c r="L283" s="5" t="str">
        <f>TEXT(SalesData[[#This Row],[Date]],"mmm")</f>
        <v>Feb</v>
      </c>
      <c r="M283">
        <f>YEAR(SalesData[[#This Row],[Date]])</f>
        <v>2023</v>
      </c>
      <c r="N283">
        <f>WEEKNUM(SalesData[[#This Row],[Date]])</f>
        <v>9</v>
      </c>
      <c r="O283" t="s">
        <v>2054</v>
      </c>
      <c r="P283" t="s">
        <v>2523</v>
      </c>
      <c r="Q283" t="s">
        <v>2526</v>
      </c>
    </row>
    <row r="284" spans="1:17" x14ac:dyDescent="0.35">
      <c r="A284" t="s">
        <v>1222</v>
      </c>
      <c r="B284" s="3">
        <v>44986</v>
      </c>
      <c r="C284" t="s">
        <v>2019</v>
      </c>
      <c r="D284" t="s">
        <v>2027</v>
      </c>
      <c r="E284" s="8">
        <v>2246</v>
      </c>
      <c r="F284">
        <v>2</v>
      </c>
      <c r="G284">
        <v>15</v>
      </c>
      <c r="H284" s="8">
        <v>3818.2</v>
      </c>
      <c r="I284">
        <v>1422.3</v>
      </c>
      <c r="J284">
        <v>973.6</v>
      </c>
      <c r="K284" s="5">
        <f>IF(SalesData[[#This Row],[Total Revenue]]=0,0,SalesData[[#This Row],[Profit]]/SalesData[[#This Row],[Total Revenue]])</f>
        <v>0.25498926195589544</v>
      </c>
      <c r="L284" s="5" t="str">
        <f>TEXT(SalesData[[#This Row],[Date]],"mmm")</f>
        <v>Mar</v>
      </c>
      <c r="M284">
        <f>YEAR(SalesData[[#This Row],[Date]])</f>
        <v>2023</v>
      </c>
      <c r="N284">
        <f>WEEKNUM(SalesData[[#This Row],[Date]])</f>
        <v>9</v>
      </c>
      <c r="O284" t="s">
        <v>2323</v>
      </c>
      <c r="P284" t="s">
        <v>2523</v>
      </c>
      <c r="Q284" t="s">
        <v>2524</v>
      </c>
    </row>
    <row r="285" spans="1:17" x14ac:dyDescent="0.35">
      <c r="A285" t="s">
        <v>727</v>
      </c>
      <c r="B285" s="3">
        <v>44983</v>
      </c>
      <c r="C285" t="s">
        <v>2017</v>
      </c>
      <c r="D285" t="s">
        <v>2026</v>
      </c>
      <c r="E285" s="8">
        <v>4243</v>
      </c>
      <c r="F285">
        <v>1</v>
      </c>
      <c r="G285">
        <v>10</v>
      </c>
      <c r="H285" s="8">
        <v>3818.7</v>
      </c>
      <c r="I285">
        <v>2597.5100000000002</v>
      </c>
      <c r="J285">
        <v>1221.19</v>
      </c>
      <c r="K285" s="5">
        <f>IF(SalesData[[#This Row],[Total Revenue]]=0,0,SalesData[[#This Row],[Profit]]/SalesData[[#This Row],[Total Revenue]])</f>
        <v>0.31979207583732688</v>
      </c>
      <c r="L285" s="5" t="str">
        <f>TEXT(SalesData[[#This Row],[Date]],"mmm")</f>
        <v>Feb</v>
      </c>
      <c r="M285">
        <f>YEAR(SalesData[[#This Row],[Date]])</f>
        <v>2023</v>
      </c>
      <c r="N285">
        <f>WEEKNUM(SalesData[[#This Row],[Date]])</f>
        <v>9</v>
      </c>
      <c r="O285" t="s">
        <v>2406</v>
      </c>
      <c r="P285" t="s">
        <v>2523</v>
      </c>
      <c r="Q285" t="s">
        <v>2527</v>
      </c>
    </row>
    <row r="286" spans="1:17" x14ac:dyDescent="0.35">
      <c r="A286" t="s">
        <v>1419</v>
      </c>
      <c r="B286" s="3">
        <v>45255</v>
      </c>
      <c r="C286" t="s">
        <v>2016</v>
      </c>
      <c r="D286" t="s">
        <v>2025</v>
      </c>
      <c r="E286" s="8">
        <v>4505</v>
      </c>
      <c r="F286">
        <v>1</v>
      </c>
      <c r="G286">
        <v>15</v>
      </c>
      <c r="H286" s="8">
        <v>3829.25</v>
      </c>
      <c r="I286">
        <v>2377.83</v>
      </c>
      <c r="J286">
        <v>1451.42</v>
      </c>
      <c r="K286" s="5">
        <f>IF(SalesData[[#This Row],[Total Revenue]]=0,0,SalesData[[#This Row],[Profit]]/SalesData[[#This Row],[Total Revenue]])</f>
        <v>0.37903505908467716</v>
      </c>
      <c r="L286" s="5" t="str">
        <f>TEXT(SalesData[[#This Row],[Date]],"mmm")</f>
        <v>Nov</v>
      </c>
      <c r="M286">
        <f>YEAR(SalesData[[#This Row],[Date]])</f>
        <v>2023</v>
      </c>
      <c r="N286">
        <f>WEEKNUM(SalesData[[#This Row],[Date]])</f>
        <v>47</v>
      </c>
      <c r="O286" t="s">
        <v>2185</v>
      </c>
      <c r="P286" t="s">
        <v>2522</v>
      </c>
      <c r="Q286" t="s">
        <v>2524</v>
      </c>
    </row>
    <row r="287" spans="1:17" x14ac:dyDescent="0.35">
      <c r="A287" t="s">
        <v>1080</v>
      </c>
      <c r="B287" s="3">
        <v>45043</v>
      </c>
      <c r="C287" t="s">
        <v>2018</v>
      </c>
      <c r="D287" t="s">
        <v>2026</v>
      </c>
      <c r="E287" s="8">
        <v>2016</v>
      </c>
      <c r="F287">
        <v>2</v>
      </c>
      <c r="G287">
        <v>5</v>
      </c>
      <c r="H287" s="8">
        <v>3830.4</v>
      </c>
      <c r="I287">
        <v>1338.03</v>
      </c>
      <c r="J287">
        <v>1154.3399999999999</v>
      </c>
      <c r="K287" s="5">
        <f>IF(SalesData[[#This Row],[Total Revenue]]=0,0,SalesData[[#This Row],[Profit]]/SalesData[[#This Row],[Total Revenue]])</f>
        <v>0.30136278195488719</v>
      </c>
      <c r="L287" s="5" t="str">
        <f>TEXT(SalesData[[#This Row],[Date]],"mmm")</f>
        <v>Apr</v>
      </c>
      <c r="M287">
        <f>YEAR(SalesData[[#This Row],[Date]])</f>
        <v>2023</v>
      </c>
      <c r="N287">
        <f>WEEKNUM(SalesData[[#This Row],[Date]])</f>
        <v>17</v>
      </c>
      <c r="O287" t="s">
        <v>2436</v>
      </c>
      <c r="P287" t="s">
        <v>2523</v>
      </c>
      <c r="Q287" t="s">
        <v>2526</v>
      </c>
    </row>
    <row r="288" spans="1:17" x14ac:dyDescent="0.35">
      <c r="A288" t="s">
        <v>1812</v>
      </c>
      <c r="B288" s="3">
        <v>45169</v>
      </c>
      <c r="C288" t="s">
        <v>2018</v>
      </c>
      <c r="D288" t="s">
        <v>2026</v>
      </c>
      <c r="E288" s="8">
        <v>2017</v>
      </c>
      <c r="F288">
        <v>2</v>
      </c>
      <c r="G288">
        <v>5</v>
      </c>
      <c r="H288" s="8">
        <v>3832.3</v>
      </c>
      <c r="I288">
        <v>1559.49</v>
      </c>
      <c r="J288">
        <v>713.32</v>
      </c>
      <c r="K288" s="5">
        <f>IF(SalesData[[#This Row],[Total Revenue]]=0,0,SalesData[[#This Row],[Profit]]/SalesData[[#This Row],[Total Revenue]])</f>
        <v>0.18613365341961746</v>
      </c>
      <c r="L288" s="5" t="str">
        <f>TEXT(SalesData[[#This Row],[Date]],"mmm")</f>
        <v>Aug</v>
      </c>
      <c r="M288">
        <f>YEAR(SalesData[[#This Row],[Date]])</f>
        <v>2023</v>
      </c>
      <c r="N288">
        <f>WEEKNUM(SalesData[[#This Row],[Date]])</f>
        <v>35</v>
      </c>
      <c r="O288" t="s">
        <v>2304</v>
      </c>
      <c r="P288" t="s">
        <v>2522</v>
      </c>
      <c r="Q288" t="s">
        <v>2525</v>
      </c>
    </row>
    <row r="289" spans="1:17" x14ac:dyDescent="0.35">
      <c r="A289" t="s">
        <v>1187</v>
      </c>
      <c r="B289" s="3">
        <v>45278</v>
      </c>
      <c r="C289" t="s">
        <v>2022</v>
      </c>
      <c r="D289" t="s">
        <v>2024</v>
      </c>
      <c r="E289" s="8">
        <v>4036</v>
      </c>
      <c r="F289">
        <v>1</v>
      </c>
      <c r="G289">
        <v>5</v>
      </c>
      <c r="H289" s="8">
        <v>3834.2</v>
      </c>
      <c r="I289">
        <v>2507.04</v>
      </c>
      <c r="J289">
        <v>1327.16</v>
      </c>
      <c r="K289" s="5">
        <f>IF(SalesData[[#This Row],[Total Revenue]]=0,0,SalesData[[#This Row],[Profit]]/SalesData[[#This Row],[Total Revenue]])</f>
        <v>0.34613739502373381</v>
      </c>
      <c r="L289" s="5" t="str">
        <f>TEXT(SalesData[[#This Row],[Date]],"mmm")</f>
        <v>Dec</v>
      </c>
      <c r="M289">
        <f>YEAR(SalesData[[#This Row],[Date]])</f>
        <v>2023</v>
      </c>
      <c r="N289">
        <f>WEEKNUM(SalesData[[#This Row],[Date]])</f>
        <v>51</v>
      </c>
      <c r="O289" t="s">
        <v>2482</v>
      </c>
      <c r="P289" t="s">
        <v>2523</v>
      </c>
      <c r="Q289" t="s">
        <v>2526</v>
      </c>
    </row>
    <row r="290" spans="1:17" x14ac:dyDescent="0.35">
      <c r="A290" t="s">
        <v>127</v>
      </c>
      <c r="B290" s="3">
        <v>45032</v>
      </c>
      <c r="C290" t="s">
        <v>2014</v>
      </c>
      <c r="D290" t="s">
        <v>2024</v>
      </c>
      <c r="E290" s="8">
        <v>1516</v>
      </c>
      <c r="F290">
        <v>3</v>
      </c>
      <c r="G290">
        <v>15</v>
      </c>
      <c r="H290" s="8">
        <v>3865.8</v>
      </c>
      <c r="I290">
        <v>941.33</v>
      </c>
      <c r="J290">
        <v>1041.82</v>
      </c>
      <c r="K290" s="5">
        <f>IF(SalesData[[#This Row],[Total Revenue]]=0,0,SalesData[[#This Row],[Profit]]/SalesData[[#This Row],[Total Revenue]])</f>
        <v>0.26949661130943142</v>
      </c>
      <c r="L290" s="5" t="str">
        <f>TEXT(SalesData[[#This Row],[Date]],"mmm")</f>
        <v>Apr</v>
      </c>
      <c r="M290">
        <f>YEAR(SalesData[[#This Row],[Date]])</f>
        <v>2023</v>
      </c>
      <c r="N290">
        <f>WEEKNUM(SalesData[[#This Row],[Date]])</f>
        <v>16</v>
      </c>
      <c r="O290" t="s">
        <v>2063</v>
      </c>
      <c r="P290" t="s">
        <v>2523</v>
      </c>
      <c r="Q290" t="s">
        <v>2525</v>
      </c>
    </row>
    <row r="291" spans="1:17" x14ac:dyDescent="0.35">
      <c r="A291" t="s">
        <v>850</v>
      </c>
      <c r="B291" s="3">
        <v>45113</v>
      </c>
      <c r="C291" t="s">
        <v>2014</v>
      </c>
      <c r="D291" t="s">
        <v>2024</v>
      </c>
      <c r="E291" s="8">
        <v>968</v>
      </c>
      <c r="F291">
        <v>4</v>
      </c>
      <c r="G291">
        <v>0</v>
      </c>
      <c r="H291" s="8">
        <v>3872</v>
      </c>
      <c r="I291">
        <v>578.63</v>
      </c>
      <c r="J291">
        <v>1557.48</v>
      </c>
      <c r="K291" s="5">
        <f>IF(SalesData[[#This Row],[Total Revenue]]=0,0,SalesData[[#This Row],[Profit]]/SalesData[[#This Row],[Total Revenue]])</f>
        <v>0.40224173553719011</v>
      </c>
      <c r="L291" s="5" t="str">
        <f>TEXT(SalesData[[#This Row],[Date]],"mmm")</f>
        <v>Jul</v>
      </c>
      <c r="M291">
        <f>YEAR(SalesData[[#This Row],[Date]])</f>
        <v>2023</v>
      </c>
      <c r="N291">
        <f>WEEKNUM(SalesData[[#This Row],[Date]])</f>
        <v>27</v>
      </c>
      <c r="O291" t="s">
        <v>2314</v>
      </c>
      <c r="P291" t="s">
        <v>2522</v>
      </c>
      <c r="Q291" t="s">
        <v>2524</v>
      </c>
    </row>
    <row r="292" spans="1:17" x14ac:dyDescent="0.35">
      <c r="A292" t="s">
        <v>1331</v>
      </c>
      <c r="B292" s="3">
        <v>45198</v>
      </c>
      <c r="C292" t="s">
        <v>2015</v>
      </c>
      <c r="D292" t="s">
        <v>2025</v>
      </c>
      <c r="E292" s="8">
        <v>2038</v>
      </c>
      <c r="F292">
        <v>2</v>
      </c>
      <c r="G292">
        <v>5</v>
      </c>
      <c r="H292" s="8">
        <v>3872.2</v>
      </c>
      <c r="I292">
        <v>1612.92</v>
      </c>
      <c r="J292">
        <v>646.35</v>
      </c>
      <c r="K292" s="5">
        <f>IF(SalesData[[#This Row],[Total Revenue]]=0,0,SalesData[[#This Row],[Profit]]/SalesData[[#This Row],[Total Revenue]])</f>
        <v>0.1669206136046692</v>
      </c>
      <c r="L292" s="5" t="str">
        <f>TEXT(SalesData[[#This Row],[Date]],"mmm")</f>
        <v>Sep</v>
      </c>
      <c r="M292">
        <f>YEAR(SalesData[[#This Row],[Date]])</f>
        <v>2023</v>
      </c>
      <c r="N292">
        <f>WEEKNUM(SalesData[[#This Row],[Date]])</f>
        <v>39</v>
      </c>
      <c r="O292" t="s">
        <v>2091</v>
      </c>
      <c r="P292" t="s">
        <v>2522</v>
      </c>
      <c r="Q292" t="s">
        <v>2524</v>
      </c>
    </row>
    <row r="293" spans="1:17" x14ac:dyDescent="0.35">
      <c r="A293" t="s">
        <v>1261</v>
      </c>
      <c r="B293" s="3">
        <v>45033</v>
      </c>
      <c r="C293" t="s">
        <v>2022</v>
      </c>
      <c r="D293" t="s">
        <v>2024</v>
      </c>
      <c r="E293" s="8">
        <v>4572</v>
      </c>
      <c r="F293">
        <v>1</v>
      </c>
      <c r="G293">
        <v>15</v>
      </c>
      <c r="H293" s="8">
        <v>3886.2</v>
      </c>
      <c r="I293">
        <v>2969.83</v>
      </c>
      <c r="J293">
        <v>916.37</v>
      </c>
      <c r="K293" s="5">
        <f>IF(SalesData[[#This Row],[Total Revenue]]=0,0,SalesData[[#This Row],[Profit]]/SalesData[[#This Row],[Total Revenue]])</f>
        <v>0.23580103957593537</v>
      </c>
      <c r="L293" s="5" t="str">
        <f>TEXT(SalesData[[#This Row],[Date]],"mmm")</f>
        <v>Apr</v>
      </c>
      <c r="M293">
        <f>YEAR(SalesData[[#This Row],[Date]])</f>
        <v>2023</v>
      </c>
      <c r="N293">
        <f>WEEKNUM(SalesData[[#This Row],[Date]])</f>
        <v>16</v>
      </c>
      <c r="O293" t="s">
        <v>2492</v>
      </c>
      <c r="P293" t="s">
        <v>2523</v>
      </c>
      <c r="Q293" t="s">
        <v>2525</v>
      </c>
    </row>
    <row r="294" spans="1:17" x14ac:dyDescent="0.35">
      <c r="A294" t="s">
        <v>760</v>
      </c>
      <c r="B294" s="3">
        <v>45153</v>
      </c>
      <c r="C294" t="s">
        <v>2015</v>
      </c>
      <c r="D294" t="s">
        <v>2025</v>
      </c>
      <c r="E294" s="8">
        <v>4100</v>
      </c>
      <c r="F294">
        <v>1</v>
      </c>
      <c r="G294">
        <v>5</v>
      </c>
      <c r="H294" s="8">
        <v>3895</v>
      </c>
      <c r="I294">
        <v>2133.9899999999998</v>
      </c>
      <c r="J294">
        <v>1761.01</v>
      </c>
      <c r="K294" s="5">
        <f>IF(SalesData[[#This Row],[Total Revenue]]=0,0,SalesData[[#This Row],[Profit]]/SalesData[[#This Row],[Total Revenue]])</f>
        <v>0.45212066752246471</v>
      </c>
      <c r="L294" s="5" t="str">
        <f>TEXT(SalesData[[#This Row],[Date]],"mmm")</f>
        <v>Aug</v>
      </c>
      <c r="M294">
        <f>YEAR(SalesData[[#This Row],[Date]])</f>
        <v>2023</v>
      </c>
      <c r="N294">
        <f>WEEKNUM(SalesData[[#This Row],[Date]])</f>
        <v>33</v>
      </c>
      <c r="O294" t="s">
        <v>2415</v>
      </c>
      <c r="P294" t="s">
        <v>2523</v>
      </c>
      <c r="Q294" t="s">
        <v>2526</v>
      </c>
    </row>
    <row r="295" spans="1:17" x14ac:dyDescent="0.35">
      <c r="A295" t="s">
        <v>1037</v>
      </c>
      <c r="B295" s="3">
        <v>44941</v>
      </c>
      <c r="C295" t="s">
        <v>2019</v>
      </c>
      <c r="D295" t="s">
        <v>2027</v>
      </c>
      <c r="E295" s="8">
        <v>1368</v>
      </c>
      <c r="F295">
        <v>3</v>
      </c>
      <c r="G295">
        <v>5</v>
      </c>
      <c r="H295" s="8">
        <v>3898.8</v>
      </c>
      <c r="I295">
        <v>1067.44</v>
      </c>
      <c r="J295">
        <v>696.48</v>
      </c>
      <c r="K295" s="5">
        <f>IF(SalesData[[#This Row],[Total Revenue]]=0,0,SalesData[[#This Row],[Profit]]/SalesData[[#This Row],[Total Revenue]])</f>
        <v>0.17863958140966452</v>
      </c>
      <c r="L295" s="5" t="str">
        <f>TEXT(SalesData[[#This Row],[Date]],"mmm")</f>
        <v>Jan</v>
      </c>
      <c r="M295">
        <f>YEAR(SalesData[[#This Row],[Date]])</f>
        <v>2023</v>
      </c>
      <c r="N295">
        <f>WEEKNUM(SalesData[[#This Row],[Date]])</f>
        <v>3</v>
      </c>
      <c r="O295" t="s">
        <v>2251</v>
      </c>
      <c r="P295" t="s">
        <v>2523</v>
      </c>
      <c r="Q295" t="s">
        <v>2526</v>
      </c>
    </row>
    <row r="296" spans="1:17" x14ac:dyDescent="0.35">
      <c r="A296" t="s">
        <v>235</v>
      </c>
      <c r="B296" s="3">
        <v>45066</v>
      </c>
      <c r="C296" t="s">
        <v>2022</v>
      </c>
      <c r="D296" t="s">
        <v>2024</v>
      </c>
      <c r="E296" s="8">
        <v>823</v>
      </c>
      <c r="F296">
        <v>5</v>
      </c>
      <c r="G296">
        <v>5</v>
      </c>
      <c r="H296" s="8">
        <v>3909.25</v>
      </c>
      <c r="I296">
        <v>633.42999999999995</v>
      </c>
      <c r="J296">
        <v>742.1</v>
      </c>
      <c r="K296" s="5">
        <f>IF(SalesData[[#This Row],[Total Revenue]]=0,0,SalesData[[#This Row],[Profit]]/SalesData[[#This Row],[Total Revenue]])</f>
        <v>0.18983180917055703</v>
      </c>
      <c r="L296" s="5" t="str">
        <f>TEXT(SalesData[[#This Row],[Date]],"mmm")</f>
        <v>May</v>
      </c>
      <c r="M296">
        <f>YEAR(SalesData[[#This Row],[Date]])</f>
        <v>2023</v>
      </c>
      <c r="N296">
        <f>WEEKNUM(SalesData[[#This Row],[Date]])</f>
        <v>20</v>
      </c>
      <c r="O296" t="s">
        <v>2207</v>
      </c>
      <c r="P296" t="s">
        <v>2522</v>
      </c>
      <c r="Q296" t="s">
        <v>2524</v>
      </c>
    </row>
    <row r="297" spans="1:17" x14ac:dyDescent="0.35">
      <c r="A297" t="s">
        <v>959</v>
      </c>
      <c r="B297" s="3">
        <v>45207</v>
      </c>
      <c r="C297" t="s">
        <v>2018</v>
      </c>
      <c r="D297" t="s">
        <v>2026</v>
      </c>
      <c r="E297" s="8">
        <v>3911</v>
      </c>
      <c r="F297">
        <v>1</v>
      </c>
      <c r="G297">
        <v>0</v>
      </c>
      <c r="H297" s="8">
        <v>3911</v>
      </c>
      <c r="I297">
        <v>2190.4</v>
      </c>
      <c r="J297">
        <v>1720.6</v>
      </c>
      <c r="K297" s="5">
        <f>IF(SalesData[[#This Row],[Total Revenue]]=0,0,SalesData[[#This Row],[Profit]]/SalesData[[#This Row],[Total Revenue]])</f>
        <v>0.43993863462030169</v>
      </c>
      <c r="L297" s="5" t="str">
        <f>TEXT(SalesData[[#This Row],[Date]],"mmm")</f>
        <v>Oct</v>
      </c>
      <c r="M297">
        <f>YEAR(SalesData[[#This Row],[Date]])</f>
        <v>2023</v>
      </c>
      <c r="N297">
        <f>WEEKNUM(SalesData[[#This Row],[Date]])</f>
        <v>41</v>
      </c>
      <c r="O297" t="s">
        <v>2167</v>
      </c>
      <c r="P297" t="s">
        <v>2523</v>
      </c>
      <c r="Q297" t="s">
        <v>2525</v>
      </c>
    </row>
    <row r="298" spans="1:17" x14ac:dyDescent="0.35">
      <c r="A298" t="s">
        <v>1566</v>
      </c>
      <c r="B298" s="3">
        <v>44943</v>
      </c>
      <c r="C298" t="s">
        <v>2019</v>
      </c>
      <c r="D298" t="s">
        <v>2027</v>
      </c>
      <c r="E298" s="8">
        <v>3912</v>
      </c>
      <c r="F298">
        <v>1</v>
      </c>
      <c r="G298">
        <v>0</v>
      </c>
      <c r="H298" s="8">
        <v>3912</v>
      </c>
      <c r="I298">
        <v>2069.4</v>
      </c>
      <c r="J298">
        <v>1842.6</v>
      </c>
      <c r="K298" s="5">
        <f>IF(SalesData[[#This Row],[Total Revenue]]=0,0,SalesData[[#This Row],[Profit]]/SalesData[[#This Row],[Total Revenue]])</f>
        <v>0.47101226993865031</v>
      </c>
      <c r="L298" s="5" t="str">
        <f>TEXT(SalesData[[#This Row],[Date]],"mmm")</f>
        <v>Jan</v>
      </c>
      <c r="M298">
        <f>YEAR(SalesData[[#This Row],[Date]])</f>
        <v>2023</v>
      </c>
      <c r="N298">
        <f>WEEKNUM(SalesData[[#This Row],[Date]])</f>
        <v>3</v>
      </c>
      <c r="O298" t="s">
        <v>2051</v>
      </c>
      <c r="P298" t="s">
        <v>2522</v>
      </c>
      <c r="Q298" t="s">
        <v>2524</v>
      </c>
    </row>
    <row r="299" spans="1:17" x14ac:dyDescent="0.35">
      <c r="A299" t="s">
        <v>516</v>
      </c>
      <c r="B299" s="3">
        <v>45027</v>
      </c>
      <c r="C299" t="s">
        <v>2014</v>
      </c>
      <c r="D299" t="s">
        <v>2024</v>
      </c>
      <c r="E299" s="8">
        <v>4126</v>
      </c>
      <c r="F299">
        <v>1</v>
      </c>
      <c r="G299">
        <v>5</v>
      </c>
      <c r="H299" s="8">
        <v>3919.7</v>
      </c>
      <c r="I299">
        <v>2619.6799999999998</v>
      </c>
      <c r="J299">
        <v>1300.02</v>
      </c>
      <c r="K299" s="5">
        <f>IF(SalesData[[#This Row],[Total Revenue]]=0,0,SalesData[[#This Row],[Profit]]/SalesData[[#This Row],[Total Revenue]])</f>
        <v>0.33166313748501164</v>
      </c>
      <c r="L299" s="5" t="str">
        <f>TEXT(SalesData[[#This Row],[Date]],"mmm")</f>
        <v>Apr</v>
      </c>
      <c r="M299">
        <f>YEAR(SalesData[[#This Row],[Date]])</f>
        <v>2023</v>
      </c>
      <c r="N299">
        <f>WEEKNUM(SalesData[[#This Row],[Date]])</f>
        <v>15</v>
      </c>
      <c r="O299" t="s">
        <v>2093</v>
      </c>
      <c r="P299" t="s">
        <v>2522</v>
      </c>
      <c r="Q299" t="s">
        <v>2527</v>
      </c>
    </row>
    <row r="300" spans="1:17" x14ac:dyDescent="0.35">
      <c r="A300" t="s">
        <v>1112</v>
      </c>
      <c r="B300" s="3">
        <v>45169</v>
      </c>
      <c r="C300" t="s">
        <v>2018</v>
      </c>
      <c r="D300" t="s">
        <v>2026</v>
      </c>
      <c r="E300" s="8">
        <v>2187</v>
      </c>
      <c r="F300">
        <v>2</v>
      </c>
      <c r="G300">
        <v>10</v>
      </c>
      <c r="H300" s="8">
        <v>3936.6</v>
      </c>
      <c r="I300">
        <v>1269.81</v>
      </c>
      <c r="J300">
        <v>1396.98</v>
      </c>
      <c r="K300" s="5">
        <f>IF(SalesData[[#This Row],[Total Revenue]]=0,0,SalesData[[#This Row],[Profit]]/SalesData[[#This Row],[Total Revenue]])</f>
        <v>0.35486968449931416</v>
      </c>
      <c r="L300" s="5" t="str">
        <f>TEXT(SalesData[[#This Row],[Date]],"mmm")</f>
        <v>Aug</v>
      </c>
      <c r="M300">
        <f>YEAR(SalesData[[#This Row],[Date]])</f>
        <v>2023</v>
      </c>
      <c r="N300">
        <f>WEEKNUM(SalesData[[#This Row],[Date]])</f>
        <v>35</v>
      </c>
      <c r="O300" t="s">
        <v>2257</v>
      </c>
      <c r="P300" t="s">
        <v>2522</v>
      </c>
      <c r="Q300" t="s">
        <v>2526</v>
      </c>
    </row>
    <row r="301" spans="1:17" x14ac:dyDescent="0.35">
      <c r="A301" t="s">
        <v>1340</v>
      </c>
      <c r="B301" s="3">
        <v>45149</v>
      </c>
      <c r="C301" t="s">
        <v>2016</v>
      </c>
      <c r="D301" t="s">
        <v>2025</v>
      </c>
      <c r="E301" s="8">
        <v>1036</v>
      </c>
      <c r="F301">
        <v>4</v>
      </c>
      <c r="G301">
        <v>5</v>
      </c>
      <c r="H301" s="8">
        <v>3936.8</v>
      </c>
      <c r="I301">
        <v>802.06</v>
      </c>
      <c r="J301">
        <v>728.58</v>
      </c>
      <c r="K301" s="5">
        <f>IF(SalesData[[#This Row],[Total Revenue]]=0,0,SalesData[[#This Row],[Profit]]/SalesData[[#This Row],[Total Revenue]])</f>
        <v>0.18506909164803903</v>
      </c>
      <c r="L301" s="5" t="str">
        <f>TEXT(SalesData[[#This Row],[Date]],"mmm")</f>
        <v>Aug</v>
      </c>
      <c r="M301">
        <f>YEAR(SalesData[[#This Row],[Date]])</f>
        <v>2023</v>
      </c>
      <c r="N301">
        <f>WEEKNUM(SalesData[[#This Row],[Date]])</f>
        <v>32</v>
      </c>
      <c r="O301" t="s">
        <v>2222</v>
      </c>
      <c r="P301" t="s">
        <v>2522</v>
      </c>
      <c r="Q301" t="s">
        <v>2526</v>
      </c>
    </row>
    <row r="302" spans="1:17" x14ac:dyDescent="0.35">
      <c r="A302" t="s">
        <v>1962</v>
      </c>
      <c r="B302" s="3">
        <v>44933</v>
      </c>
      <c r="C302" t="s">
        <v>2021</v>
      </c>
      <c r="D302" t="s">
        <v>2028</v>
      </c>
      <c r="E302" s="8">
        <v>1971</v>
      </c>
      <c r="F302">
        <v>2</v>
      </c>
      <c r="G302">
        <v>0</v>
      </c>
      <c r="H302" s="8">
        <v>3942</v>
      </c>
      <c r="I302">
        <v>1172.51</v>
      </c>
      <c r="J302">
        <v>1596.97</v>
      </c>
      <c r="K302" s="5">
        <f>IF(SalesData[[#This Row],[Total Revenue]]=0,0,SalesData[[#This Row],[Profit]]/SalesData[[#This Row],[Total Revenue]])</f>
        <v>0.40511669203450024</v>
      </c>
      <c r="L302" s="5" t="str">
        <f>TEXT(SalesData[[#This Row],[Date]],"mmm")</f>
        <v>Jan</v>
      </c>
      <c r="M302">
        <f>YEAR(SalesData[[#This Row],[Date]])</f>
        <v>2023</v>
      </c>
      <c r="N302">
        <f>WEEKNUM(SalesData[[#This Row],[Date]])</f>
        <v>1</v>
      </c>
      <c r="O302" t="s">
        <v>2490</v>
      </c>
      <c r="P302" t="s">
        <v>2523</v>
      </c>
      <c r="Q302" t="s">
        <v>2526</v>
      </c>
    </row>
    <row r="303" spans="1:17" x14ac:dyDescent="0.35">
      <c r="A303" t="s">
        <v>1512</v>
      </c>
      <c r="B303" s="3">
        <v>44979</v>
      </c>
      <c r="C303" t="s">
        <v>2016</v>
      </c>
      <c r="D303" t="s">
        <v>2025</v>
      </c>
      <c r="E303" s="8">
        <v>1980</v>
      </c>
      <c r="F303">
        <v>2</v>
      </c>
      <c r="G303">
        <v>0</v>
      </c>
      <c r="H303" s="8">
        <v>3960</v>
      </c>
      <c r="I303">
        <v>1221.23</v>
      </c>
      <c r="J303">
        <v>1517.55</v>
      </c>
      <c r="K303" s="5">
        <f>IF(SalesData[[#This Row],[Total Revenue]]=0,0,SalesData[[#This Row],[Profit]]/SalesData[[#This Row],[Total Revenue]])</f>
        <v>0.38321969696969693</v>
      </c>
      <c r="L303" s="5" t="str">
        <f>TEXT(SalesData[[#This Row],[Date]],"mmm")</f>
        <v>Feb</v>
      </c>
      <c r="M303">
        <f>YEAR(SalesData[[#This Row],[Date]])</f>
        <v>2023</v>
      </c>
      <c r="N303">
        <f>WEEKNUM(SalesData[[#This Row],[Date]])</f>
        <v>8</v>
      </c>
      <c r="O303" t="s">
        <v>2360</v>
      </c>
      <c r="P303" t="s">
        <v>2522</v>
      </c>
      <c r="Q303" t="s">
        <v>2526</v>
      </c>
    </row>
    <row r="304" spans="1:17" x14ac:dyDescent="0.35">
      <c r="A304" t="s">
        <v>187</v>
      </c>
      <c r="B304" s="3">
        <v>45251</v>
      </c>
      <c r="C304" t="s">
        <v>2013</v>
      </c>
      <c r="D304" t="s">
        <v>2023</v>
      </c>
      <c r="E304" s="8">
        <v>1321</v>
      </c>
      <c r="F304">
        <v>3</v>
      </c>
      <c r="G304">
        <v>0</v>
      </c>
      <c r="H304" s="8">
        <v>3963</v>
      </c>
      <c r="I304">
        <v>918.85</v>
      </c>
      <c r="J304">
        <v>1206.44</v>
      </c>
      <c r="K304" s="5">
        <f>IF(SalesData[[#This Row],[Total Revenue]]=0,0,SalesData[[#This Row],[Profit]]/SalesData[[#This Row],[Total Revenue]])</f>
        <v>0.30442593994448652</v>
      </c>
      <c r="L304" s="5" t="str">
        <f>TEXT(SalesData[[#This Row],[Date]],"mmm")</f>
        <v>Nov</v>
      </c>
      <c r="M304">
        <f>YEAR(SalesData[[#This Row],[Date]])</f>
        <v>2023</v>
      </c>
      <c r="N304">
        <f>WEEKNUM(SalesData[[#This Row],[Date]])</f>
        <v>47</v>
      </c>
      <c r="O304" t="s">
        <v>2177</v>
      </c>
      <c r="P304" t="s">
        <v>2523</v>
      </c>
      <c r="Q304" t="s">
        <v>2526</v>
      </c>
    </row>
    <row r="305" spans="1:17" x14ac:dyDescent="0.35">
      <c r="A305" t="s">
        <v>873</v>
      </c>
      <c r="B305" s="3">
        <v>45183</v>
      </c>
      <c r="C305" t="s">
        <v>2022</v>
      </c>
      <c r="D305" t="s">
        <v>2024</v>
      </c>
      <c r="E305" s="8">
        <v>4180</v>
      </c>
      <c r="F305">
        <v>1</v>
      </c>
      <c r="G305">
        <v>5</v>
      </c>
      <c r="H305" s="8">
        <v>3971</v>
      </c>
      <c r="I305">
        <v>3194.63</v>
      </c>
      <c r="J305">
        <v>776.37</v>
      </c>
      <c r="K305" s="5">
        <f>IF(SalesData[[#This Row],[Total Revenue]]=0,0,SalesData[[#This Row],[Profit]]/SalesData[[#This Row],[Total Revenue]])</f>
        <v>0.19550994711659531</v>
      </c>
      <c r="L305" s="5" t="str">
        <f>TEXT(SalesData[[#This Row],[Date]],"mmm")</f>
        <v>Sep</v>
      </c>
      <c r="M305">
        <f>YEAR(SalesData[[#This Row],[Date]])</f>
        <v>2023</v>
      </c>
      <c r="N305">
        <f>WEEKNUM(SalesData[[#This Row],[Date]])</f>
        <v>37</v>
      </c>
      <c r="O305" t="s">
        <v>2435</v>
      </c>
      <c r="P305" t="s">
        <v>2523</v>
      </c>
      <c r="Q305" t="s">
        <v>2526</v>
      </c>
    </row>
    <row r="306" spans="1:17" x14ac:dyDescent="0.35">
      <c r="A306" t="s">
        <v>1221</v>
      </c>
      <c r="B306" s="3">
        <v>45187</v>
      </c>
      <c r="C306" t="s">
        <v>2021</v>
      </c>
      <c r="D306" t="s">
        <v>2028</v>
      </c>
      <c r="E306" s="8">
        <v>4684</v>
      </c>
      <c r="F306">
        <v>1</v>
      </c>
      <c r="G306">
        <v>15</v>
      </c>
      <c r="H306" s="8">
        <v>3981.4</v>
      </c>
      <c r="I306">
        <v>2827.76</v>
      </c>
      <c r="J306">
        <v>1153.6400000000001</v>
      </c>
      <c r="K306" s="5">
        <f>IF(SalesData[[#This Row],[Total Revenue]]=0,0,SalesData[[#This Row],[Profit]]/SalesData[[#This Row],[Total Revenue]])</f>
        <v>0.28975737177877131</v>
      </c>
      <c r="L306" s="5" t="str">
        <f>TEXT(SalesData[[#This Row],[Date]],"mmm")</f>
        <v>Sep</v>
      </c>
      <c r="M306">
        <f>YEAR(SalesData[[#This Row],[Date]])</f>
        <v>2023</v>
      </c>
      <c r="N306">
        <f>WEEKNUM(SalesData[[#This Row],[Date]])</f>
        <v>38</v>
      </c>
      <c r="O306" t="s">
        <v>2467</v>
      </c>
      <c r="P306" t="s">
        <v>2523</v>
      </c>
      <c r="Q306" t="s">
        <v>2524</v>
      </c>
    </row>
    <row r="307" spans="1:17" x14ac:dyDescent="0.35">
      <c r="A307" t="s">
        <v>1052</v>
      </c>
      <c r="B307" s="3">
        <v>45248</v>
      </c>
      <c r="C307" t="s">
        <v>2021</v>
      </c>
      <c r="D307" t="s">
        <v>2028</v>
      </c>
      <c r="E307" s="8">
        <v>3982</v>
      </c>
      <c r="F307">
        <v>1</v>
      </c>
      <c r="G307">
        <v>0</v>
      </c>
      <c r="H307" s="8">
        <v>3982</v>
      </c>
      <c r="I307">
        <v>1993.17</v>
      </c>
      <c r="J307">
        <v>1988.83</v>
      </c>
      <c r="K307" s="5">
        <f>IF(SalesData[[#This Row],[Total Revenue]]=0,0,SalesData[[#This Row],[Profit]]/SalesData[[#This Row],[Total Revenue]])</f>
        <v>0.49945504771471622</v>
      </c>
      <c r="L307" s="5" t="str">
        <f>TEXT(SalesData[[#This Row],[Date]],"mmm")</f>
        <v>Nov</v>
      </c>
      <c r="M307">
        <f>YEAR(SalesData[[#This Row],[Date]])</f>
        <v>2023</v>
      </c>
      <c r="N307">
        <f>WEEKNUM(SalesData[[#This Row],[Date]])</f>
        <v>46</v>
      </c>
      <c r="O307" t="s">
        <v>2465</v>
      </c>
      <c r="P307" t="s">
        <v>2523</v>
      </c>
      <c r="Q307" t="s">
        <v>2525</v>
      </c>
    </row>
    <row r="308" spans="1:17" x14ac:dyDescent="0.35">
      <c r="A308" t="s">
        <v>840</v>
      </c>
      <c r="B308" s="3">
        <v>45162</v>
      </c>
      <c r="C308" t="s">
        <v>2019</v>
      </c>
      <c r="D308" t="s">
        <v>2027</v>
      </c>
      <c r="E308" s="8">
        <v>1426</v>
      </c>
      <c r="F308">
        <v>3</v>
      </c>
      <c r="G308">
        <v>5</v>
      </c>
      <c r="H308" s="8">
        <v>4064.1</v>
      </c>
      <c r="I308">
        <v>1013.65</v>
      </c>
      <c r="J308">
        <v>1023.16</v>
      </c>
      <c r="K308" s="5">
        <f>IF(SalesData[[#This Row],[Total Revenue]]=0,0,SalesData[[#This Row],[Profit]]/SalesData[[#This Row],[Total Revenue]])</f>
        <v>0.25175561624960013</v>
      </c>
      <c r="L308" s="5" t="str">
        <f>TEXT(SalesData[[#This Row],[Date]],"mmm")</f>
        <v>Aug</v>
      </c>
      <c r="M308">
        <f>YEAR(SalesData[[#This Row],[Date]])</f>
        <v>2023</v>
      </c>
      <c r="N308">
        <f>WEEKNUM(SalesData[[#This Row],[Date]])</f>
        <v>34</v>
      </c>
      <c r="O308" t="s">
        <v>2228</v>
      </c>
      <c r="P308" t="s">
        <v>2522</v>
      </c>
      <c r="Q308" t="s">
        <v>2525</v>
      </c>
    </row>
    <row r="309" spans="1:17" x14ac:dyDescent="0.35">
      <c r="A309" t="s">
        <v>523</v>
      </c>
      <c r="B309" s="3">
        <v>45241</v>
      </c>
      <c r="C309" t="s">
        <v>2020</v>
      </c>
      <c r="D309" t="s">
        <v>2028</v>
      </c>
      <c r="E309" s="8">
        <v>1506</v>
      </c>
      <c r="F309">
        <v>3</v>
      </c>
      <c r="G309">
        <v>10</v>
      </c>
      <c r="H309" s="8">
        <v>4066.2</v>
      </c>
      <c r="I309">
        <v>784.29</v>
      </c>
      <c r="J309">
        <v>1713.34</v>
      </c>
      <c r="K309" s="5">
        <f>IF(SalesData[[#This Row],[Total Revenue]]=0,0,SalesData[[#This Row],[Profit]]/SalesData[[#This Row],[Total Revenue]])</f>
        <v>0.4213614677094093</v>
      </c>
      <c r="L309" s="5" t="str">
        <f>TEXT(SalesData[[#This Row],[Date]],"mmm")</f>
        <v>Nov</v>
      </c>
      <c r="M309">
        <f>YEAR(SalesData[[#This Row],[Date]])</f>
        <v>2023</v>
      </c>
      <c r="N309">
        <f>WEEKNUM(SalesData[[#This Row],[Date]])</f>
        <v>45</v>
      </c>
      <c r="O309" t="s">
        <v>2200</v>
      </c>
      <c r="P309" t="s">
        <v>2523</v>
      </c>
      <c r="Q309" t="s">
        <v>2526</v>
      </c>
    </row>
    <row r="310" spans="1:17" x14ac:dyDescent="0.35">
      <c r="A310" t="s">
        <v>1020</v>
      </c>
      <c r="B310" s="3">
        <v>45116</v>
      </c>
      <c r="C310" t="s">
        <v>2016</v>
      </c>
      <c r="D310" t="s">
        <v>2025</v>
      </c>
      <c r="E310" s="8">
        <v>4535</v>
      </c>
      <c r="F310">
        <v>1</v>
      </c>
      <c r="G310">
        <v>10</v>
      </c>
      <c r="H310" s="8">
        <v>4081.5</v>
      </c>
      <c r="I310">
        <v>3617.9</v>
      </c>
      <c r="J310">
        <v>463.6</v>
      </c>
      <c r="K310" s="5">
        <f>IF(SalesData[[#This Row],[Total Revenue]]=0,0,SalesData[[#This Row],[Profit]]/SalesData[[#This Row],[Total Revenue]])</f>
        <v>0.11358569153497489</v>
      </c>
      <c r="L310" s="5" t="str">
        <f>TEXT(SalesData[[#This Row],[Date]],"mmm")</f>
        <v>Jul</v>
      </c>
      <c r="M310">
        <f>YEAR(SalesData[[#This Row],[Date]])</f>
        <v>2023</v>
      </c>
      <c r="N310">
        <f>WEEKNUM(SalesData[[#This Row],[Date]])</f>
        <v>28</v>
      </c>
      <c r="O310" t="s">
        <v>2194</v>
      </c>
      <c r="P310" t="s">
        <v>2523</v>
      </c>
      <c r="Q310" t="s">
        <v>2526</v>
      </c>
    </row>
    <row r="311" spans="1:17" x14ac:dyDescent="0.35">
      <c r="A311" t="s">
        <v>1252</v>
      </c>
      <c r="B311" s="3">
        <v>45174</v>
      </c>
      <c r="C311" t="s">
        <v>2017</v>
      </c>
      <c r="D311" t="s">
        <v>2026</v>
      </c>
      <c r="E311" s="8">
        <v>4086</v>
      </c>
      <c r="F311">
        <v>1</v>
      </c>
      <c r="G311">
        <v>0</v>
      </c>
      <c r="H311" s="8">
        <v>4086</v>
      </c>
      <c r="I311">
        <v>2995.8</v>
      </c>
      <c r="J311">
        <v>1090.2</v>
      </c>
      <c r="K311" s="5">
        <f>IF(SalesData[[#This Row],[Total Revenue]]=0,0,SalesData[[#This Row],[Profit]]/SalesData[[#This Row],[Total Revenue]])</f>
        <v>0.26681350954478711</v>
      </c>
      <c r="L311" s="5" t="str">
        <f>TEXT(SalesData[[#This Row],[Date]],"mmm")</f>
        <v>Sep</v>
      </c>
      <c r="M311">
        <f>YEAR(SalesData[[#This Row],[Date]])</f>
        <v>2023</v>
      </c>
      <c r="N311">
        <f>WEEKNUM(SalesData[[#This Row],[Date]])</f>
        <v>36</v>
      </c>
      <c r="O311" t="s">
        <v>2226</v>
      </c>
      <c r="P311" t="s">
        <v>2522</v>
      </c>
      <c r="Q311" t="s">
        <v>2527</v>
      </c>
    </row>
    <row r="312" spans="1:17" x14ac:dyDescent="0.35">
      <c r="A312" t="s">
        <v>372</v>
      </c>
      <c r="B312" s="3">
        <v>45144</v>
      </c>
      <c r="C312" t="s">
        <v>2018</v>
      </c>
      <c r="D312" t="s">
        <v>2026</v>
      </c>
      <c r="E312" s="8">
        <v>4304</v>
      </c>
      <c r="F312">
        <v>1</v>
      </c>
      <c r="G312">
        <v>5</v>
      </c>
      <c r="H312" s="8">
        <v>4088.8</v>
      </c>
      <c r="I312">
        <v>2500.5100000000002</v>
      </c>
      <c r="J312">
        <v>1588.29</v>
      </c>
      <c r="K312" s="5">
        <f>IF(SalesData[[#This Row],[Total Revenue]]=0,0,SalesData[[#This Row],[Profit]]/SalesData[[#This Row],[Total Revenue]])</f>
        <v>0.38844893367247113</v>
      </c>
      <c r="L312" s="5" t="str">
        <f>TEXT(SalesData[[#This Row],[Date]],"mmm")</f>
        <v>Aug</v>
      </c>
      <c r="M312">
        <f>YEAR(SalesData[[#This Row],[Date]])</f>
        <v>2023</v>
      </c>
      <c r="N312">
        <f>WEEKNUM(SalesData[[#This Row],[Date]])</f>
        <v>32</v>
      </c>
      <c r="O312" t="s">
        <v>2200</v>
      </c>
      <c r="P312" t="s">
        <v>2522</v>
      </c>
      <c r="Q312" t="s">
        <v>2525</v>
      </c>
    </row>
    <row r="313" spans="1:17" x14ac:dyDescent="0.35">
      <c r="A313" t="s">
        <v>1531</v>
      </c>
      <c r="B313" s="3">
        <v>45231</v>
      </c>
      <c r="C313" t="s">
        <v>2021</v>
      </c>
      <c r="D313" t="s">
        <v>2028</v>
      </c>
      <c r="E313" s="8">
        <v>1440</v>
      </c>
      <c r="F313">
        <v>3</v>
      </c>
      <c r="G313">
        <v>5</v>
      </c>
      <c r="H313" s="8">
        <v>4104</v>
      </c>
      <c r="I313">
        <v>1033.7</v>
      </c>
      <c r="J313">
        <v>1002.89</v>
      </c>
      <c r="K313" s="5">
        <f>IF(SalesData[[#This Row],[Total Revenue]]=0,0,SalesData[[#This Row],[Profit]]/SalesData[[#This Row],[Total Revenue]])</f>
        <v>0.24436890838206626</v>
      </c>
      <c r="L313" s="5" t="str">
        <f>TEXT(SalesData[[#This Row],[Date]],"mmm")</f>
        <v>Nov</v>
      </c>
      <c r="M313">
        <f>YEAR(SalesData[[#This Row],[Date]])</f>
        <v>2023</v>
      </c>
      <c r="N313">
        <f>WEEKNUM(SalesData[[#This Row],[Date]])</f>
        <v>44</v>
      </c>
      <c r="O313" t="s">
        <v>2168</v>
      </c>
      <c r="P313" t="s">
        <v>2523</v>
      </c>
      <c r="Q313" t="s">
        <v>2527</v>
      </c>
    </row>
    <row r="314" spans="1:17" x14ac:dyDescent="0.35">
      <c r="A314" t="s">
        <v>1968</v>
      </c>
      <c r="B314" s="3">
        <v>45093</v>
      </c>
      <c r="C314" t="s">
        <v>2013</v>
      </c>
      <c r="D314" t="s">
        <v>2023</v>
      </c>
      <c r="E314" s="8">
        <v>4830</v>
      </c>
      <c r="F314">
        <v>1</v>
      </c>
      <c r="G314">
        <v>15</v>
      </c>
      <c r="H314" s="8">
        <v>4105.5</v>
      </c>
      <c r="I314">
        <v>2716.52</v>
      </c>
      <c r="J314">
        <v>1388.98</v>
      </c>
      <c r="K314" s="5">
        <f>IF(SalesData[[#This Row],[Total Revenue]]=0,0,SalesData[[#This Row],[Profit]]/SalesData[[#This Row],[Total Revenue]])</f>
        <v>0.33832176348800391</v>
      </c>
      <c r="L314" s="5" t="str">
        <f>TEXT(SalesData[[#This Row],[Date]],"mmm")</f>
        <v>Jun</v>
      </c>
      <c r="M314">
        <f>YEAR(SalesData[[#This Row],[Date]])</f>
        <v>2023</v>
      </c>
      <c r="N314">
        <f>WEEKNUM(SalesData[[#This Row],[Date]])</f>
        <v>24</v>
      </c>
      <c r="O314" t="s">
        <v>2263</v>
      </c>
      <c r="P314" t="s">
        <v>2523</v>
      </c>
      <c r="Q314" t="s">
        <v>2526</v>
      </c>
    </row>
    <row r="315" spans="1:17" x14ac:dyDescent="0.35">
      <c r="A315" t="s">
        <v>599</v>
      </c>
      <c r="B315" s="3">
        <v>45126</v>
      </c>
      <c r="C315" t="s">
        <v>2017</v>
      </c>
      <c r="D315" t="s">
        <v>2026</v>
      </c>
      <c r="E315" s="8">
        <v>1441</v>
      </c>
      <c r="F315">
        <v>3</v>
      </c>
      <c r="G315">
        <v>5</v>
      </c>
      <c r="H315" s="8">
        <v>4106.8500000000004</v>
      </c>
      <c r="I315">
        <v>872.83</v>
      </c>
      <c r="J315">
        <v>1488.37</v>
      </c>
      <c r="K315" s="5">
        <f>IF(SalesData[[#This Row],[Total Revenue]]=0,0,SalesData[[#This Row],[Profit]]/SalesData[[#This Row],[Total Revenue]])</f>
        <v>0.36241158065183771</v>
      </c>
      <c r="L315" s="5" t="str">
        <f>TEXT(SalesData[[#This Row],[Date]],"mmm")</f>
        <v>Jul</v>
      </c>
      <c r="M315">
        <f>YEAR(SalesData[[#This Row],[Date]])</f>
        <v>2023</v>
      </c>
      <c r="N315">
        <f>WEEKNUM(SalesData[[#This Row],[Date]])</f>
        <v>29</v>
      </c>
      <c r="O315" t="s">
        <v>2284</v>
      </c>
      <c r="P315" t="s">
        <v>2523</v>
      </c>
      <c r="Q315" t="s">
        <v>2526</v>
      </c>
    </row>
    <row r="316" spans="1:17" x14ac:dyDescent="0.35">
      <c r="A316" t="s">
        <v>1656</v>
      </c>
      <c r="B316" s="3">
        <v>45034</v>
      </c>
      <c r="C316" t="s">
        <v>2014</v>
      </c>
      <c r="D316" t="s">
        <v>2024</v>
      </c>
      <c r="E316" s="8">
        <v>1622</v>
      </c>
      <c r="F316">
        <v>3</v>
      </c>
      <c r="G316">
        <v>15</v>
      </c>
      <c r="H316" s="8">
        <v>4136.1000000000004</v>
      </c>
      <c r="I316">
        <v>1044.1500000000001</v>
      </c>
      <c r="J316">
        <v>1003.66</v>
      </c>
      <c r="K316" s="5">
        <f>IF(SalesData[[#This Row],[Total Revenue]]=0,0,SalesData[[#This Row],[Profit]]/SalesData[[#This Row],[Total Revenue]])</f>
        <v>0.24265854307197599</v>
      </c>
      <c r="L316" s="5" t="str">
        <f>TEXT(SalesData[[#This Row],[Date]],"mmm")</f>
        <v>Apr</v>
      </c>
      <c r="M316">
        <f>YEAR(SalesData[[#This Row],[Date]])</f>
        <v>2023</v>
      </c>
      <c r="N316">
        <f>WEEKNUM(SalesData[[#This Row],[Date]])</f>
        <v>16</v>
      </c>
      <c r="O316" t="s">
        <v>2044</v>
      </c>
      <c r="P316" t="s">
        <v>2522</v>
      </c>
      <c r="Q316" t="s">
        <v>2524</v>
      </c>
    </row>
    <row r="317" spans="1:17" x14ac:dyDescent="0.35">
      <c r="A317" t="s">
        <v>916</v>
      </c>
      <c r="B317" s="3">
        <v>45136</v>
      </c>
      <c r="C317" t="s">
        <v>2022</v>
      </c>
      <c r="D317" t="s">
        <v>2024</v>
      </c>
      <c r="E317" s="8">
        <v>4356</v>
      </c>
      <c r="F317">
        <v>1</v>
      </c>
      <c r="G317">
        <v>5</v>
      </c>
      <c r="H317" s="8">
        <v>4138.2</v>
      </c>
      <c r="I317">
        <v>2646.05</v>
      </c>
      <c r="J317">
        <v>1492.15</v>
      </c>
      <c r="K317" s="5">
        <f>IF(SalesData[[#This Row],[Total Revenue]]=0,0,SalesData[[#This Row],[Profit]]/SalesData[[#This Row],[Total Revenue]])</f>
        <v>0.36057947900053167</v>
      </c>
      <c r="L317" s="5" t="str">
        <f>TEXT(SalesData[[#This Row],[Date]],"mmm")</f>
        <v>Jul</v>
      </c>
      <c r="M317">
        <f>YEAR(SalesData[[#This Row],[Date]])</f>
        <v>2023</v>
      </c>
      <c r="N317">
        <f>WEEKNUM(SalesData[[#This Row],[Date]])</f>
        <v>30</v>
      </c>
      <c r="O317" t="s">
        <v>2228</v>
      </c>
      <c r="P317" t="s">
        <v>2523</v>
      </c>
      <c r="Q317" t="s">
        <v>2524</v>
      </c>
    </row>
    <row r="318" spans="1:17" x14ac:dyDescent="0.35">
      <c r="A318" t="s">
        <v>1402</v>
      </c>
      <c r="B318" s="3">
        <v>44983</v>
      </c>
      <c r="C318" t="s">
        <v>2013</v>
      </c>
      <c r="D318" t="s">
        <v>2023</v>
      </c>
      <c r="E318" s="8">
        <v>1150</v>
      </c>
      <c r="F318">
        <v>4</v>
      </c>
      <c r="G318">
        <v>10</v>
      </c>
      <c r="H318" s="8">
        <v>4140</v>
      </c>
      <c r="I318">
        <v>778.82</v>
      </c>
      <c r="J318">
        <v>1024.74</v>
      </c>
      <c r="K318" s="5">
        <f>IF(SalesData[[#This Row],[Total Revenue]]=0,0,SalesData[[#This Row],[Profit]]/SalesData[[#This Row],[Total Revenue]])</f>
        <v>0.24752173913043479</v>
      </c>
      <c r="L318" s="5" t="str">
        <f>TEXT(SalesData[[#This Row],[Date]],"mmm")</f>
        <v>Feb</v>
      </c>
      <c r="M318">
        <f>YEAR(SalesData[[#This Row],[Date]])</f>
        <v>2023</v>
      </c>
      <c r="N318">
        <f>WEEKNUM(SalesData[[#This Row],[Date]])</f>
        <v>9</v>
      </c>
      <c r="O318" t="s">
        <v>2481</v>
      </c>
      <c r="P318" t="s">
        <v>2522</v>
      </c>
      <c r="Q318" t="s">
        <v>2527</v>
      </c>
    </row>
    <row r="319" spans="1:17" x14ac:dyDescent="0.35">
      <c r="A319" t="s">
        <v>30</v>
      </c>
      <c r="B319" s="3">
        <v>45039</v>
      </c>
      <c r="C319" t="s">
        <v>2017</v>
      </c>
      <c r="D319" t="s">
        <v>2026</v>
      </c>
      <c r="E319" s="8">
        <v>829</v>
      </c>
      <c r="F319">
        <v>5</v>
      </c>
      <c r="G319">
        <v>0</v>
      </c>
      <c r="H319" s="8">
        <v>4145</v>
      </c>
      <c r="I319">
        <v>658.46</v>
      </c>
      <c r="J319">
        <v>852.7</v>
      </c>
      <c r="K319" s="5">
        <f>IF(SalesData[[#This Row],[Total Revenue]]=0,0,SalesData[[#This Row],[Profit]]/SalesData[[#This Row],[Total Revenue]])</f>
        <v>0.20571773220747891</v>
      </c>
      <c r="L319" s="5" t="str">
        <f>TEXT(SalesData[[#This Row],[Date]],"mmm")</f>
        <v>Apr</v>
      </c>
      <c r="M319">
        <f>YEAR(SalesData[[#This Row],[Date]])</f>
        <v>2023</v>
      </c>
      <c r="N319">
        <f>WEEKNUM(SalesData[[#This Row],[Date]])</f>
        <v>17</v>
      </c>
      <c r="O319" t="s">
        <v>2046</v>
      </c>
      <c r="P319" t="s">
        <v>2522</v>
      </c>
      <c r="Q319" t="s">
        <v>2525</v>
      </c>
    </row>
    <row r="320" spans="1:17" x14ac:dyDescent="0.35">
      <c r="A320" t="s">
        <v>1113</v>
      </c>
      <c r="B320" s="3">
        <v>45241</v>
      </c>
      <c r="C320" t="s">
        <v>2017</v>
      </c>
      <c r="D320" t="s">
        <v>2026</v>
      </c>
      <c r="E320" s="8">
        <v>1459</v>
      </c>
      <c r="F320">
        <v>3</v>
      </c>
      <c r="G320">
        <v>5</v>
      </c>
      <c r="H320" s="8">
        <v>4158.1499999999996</v>
      </c>
      <c r="I320">
        <v>1078.24</v>
      </c>
      <c r="J320">
        <v>923.42</v>
      </c>
      <c r="K320" s="5">
        <f>IF(SalesData[[#This Row],[Total Revenue]]=0,0,SalesData[[#This Row],[Profit]]/SalesData[[#This Row],[Total Revenue]])</f>
        <v>0.22207472072917042</v>
      </c>
      <c r="L320" s="5" t="str">
        <f>TEXT(SalesData[[#This Row],[Date]],"mmm")</f>
        <v>Nov</v>
      </c>
      <c r="M320">
        <f>YEAR(SalesData[[#This Row],[Date]])</f>
        <v>2023</v>
      </c>
      <c r="N320">
        <f>WEEKNUM(SalesData[[#This Row],[Date]])</f>
        <v>45</v>
      </c>
      <c r="O320" t="s">
        <v>2208</v>
      </c>
      <c r="P320" t="s">
        <v>2522</v>
      </c>
      <c r="Q320" t="s">
        <v>2524</v>
      </c>
    </row>
    <row r="321" spans="1:17" x14ac:dyDescent="0.35">
      <c r="A321" t="s">
        <v>1317</v>
      </c>
      <c r="B321" s="3">
        <v>45046</v>
      </c>
      <c r="C321" t="s">
        <v>2019</v>
      </c>
      <c r="D321" t="s">
        <v>2027</v>
      </c>
      <c r="E321" s="8">
        <v>1464</v>
      </c>
      <c r="F321">
        <v>3</v>
      </c>
      <c r="G321">
        <v>5</v>
      </c>
      <c r="H321" s="8">
        <v>4172.3999999999996</v>
      </c>
      <c r="I321">
        <v>816.36</v>
      </c>
      <c r="J321">
        <v>1723.33</v>
      </c>
      <c r="K321" s="5">
        <f>IF(SalesData[[#This Row],[Total Revenue]]=0,0,SalesData[[#This Row],[Profit]]/SalesData[[#This Row],[Total Revenue]])</f>
        <v>0.41303086952353563</v>
      </c>
      <c r="L321" s="5" t="str">
        <f>TEXT(SalesData[[#This Row],[Date]],"mmm")</f>
        <v>Apr</v>
      </c>
      <c r="M321">
        <f>YEAR(SalesData[[#This Row],[Date]])</f>
        <v>2023</v>
      </c>
      <c r="N321">
        <f>WEEKNUM(SalesData[[#This Row],[Date]])</f>
        <v>18</v>
      </c>
      <c r="O321" t="s">
        <v>2168</v>
      </c>
      <c r="P321" t="s">
        <v>2523</v>
      </c>
      <c r="Q321" t="s">
        <v>2527</v>
      </c>
    </row>
    <row r="322" spans="1:17" x14ac:dyDescent="0.35">
      <c r="A322" t="s">
        <v>432</v>
      </c>
      <c r="B322" s="3">
        <v>45049</v>
      </c>
      <c r="C322" t="s">
        <v>2019</v>
      </c>
      <c r="D322" t="s">
        <v>2027</v>
      </c>
      <c r="E322" s="8">
        <v>4173</v>
      </c>
      <c r="F322">
        <v>1</v>
      </c>
      <c r="G322">
        <v>0</v>
      </c>
      <c r="H322" s="8">
        <v>4173</v>
      </c>
      <c r="I322">
        <v>2250.16</v>
      </c>
      <c r="J322">
        <v>1922.84</v>
      </c>
      <c r="K322" s="5">
        <f>IF(SalesData[[#This Row],[Total Revenue]]=0,0,SalesData[[#This Row],[Profit]]/SalesData[[#This Row],[Total Revenue]])</f>
        <v>0.46078121255691346</v>
      </c>
      <c r="L322" s="5" t="str">
        <f>TEXT(SalesData[[#This Row],[Date]],"mmm")</f>
        <v>May</v>
      </c>
      <c r="M322">
        <f>YEAR(SalesData[[#This Row],[Date]])</f>
        <v>2023</v>
      </c>
      <c r="N322">
        <f>WEEKNUM(SalesData[[#This Row],[Date]])</f>
        <v>18</v>
      </c>
      <c r="O322" t="s">
        <v>2309</v>
      </c>
      <c r="P322" t="s">
        <v>2523</v>
      </c>
      <c r="Q322" t="s">
        <v>2527</v>
      </c>
    </row>
    <row r="323" spans="1:17" x14ac:dyDescent="0.35">
      <c r="A323" t="s">
        <v>1913</v>
      </c>
      <c r="B323" s="3">
        <v>44939</v>
      </c>
      <c r="C323" t="s">
        <v>2015</v>
      </c>
      <c r="D323" t="s">
        <v>2025</v>
      </c>
      <c r="E323" s="8">
        <v>4408</v>
      </c>
      <c r="F323">
        <v>1</v>
      </c>
      <c r="G323">
        <v>5</v>
      </c>
      <c r="H323" s="8">
        <v>4187.6000000000004</v>
      </c>
      <c r="I323">
        <v>2718.81</v>
      </c>
      <c r="J323">
        <v>1468.79</v>
      </c>
      <c r="K323" s="5">
        <f>IF(SalesData[[#This Row],[Total Revenue]]=0,0,SalesData[[#This Row],[Profit]]/SalesData[[#This Row],[Total Revenue]])</f>
        <v>0.35074744483713816</v>
      </c>
      <c r="L323" s="5" t="str">
        <f>TEXT(SalesData[[#This Row],[Date]],"mmm")</f>
        <v>Jan</v>
      </c>
      <c r="M323">
        <f>YEAR(SalesData[[#This Row],[Date]])</f>
        <v>2023</v>
      </c>
      <c r="N323">
        <f>WEEKNUM(SalesData[[#This Row],[Date]])</f>
        <v>2</v>
      </c>
      <c r="O323" t="s">
        <v>2491</v>
      </c>
      <c r="P323" t="s">
        <v>2522</v>
      </c>
      <c r="Q323" t="s">
        <v>2524</v>
      </c>
    </row>
    <row r="324" spans="1:17" x14ac:dyDescent="0.35">
      <c r="A324" t="s">
        <v>534</v>
      </c>
      <c r="B324" s="3">
        <v>45220</v>
      </c>
      <c r="C324" t="s">
        <v>2016</v>
      </c>
      <c r="D324" t="s">
        <v>2025</v>
      </c>
      <c r="E324" s="8">
        <v>822</v>
      </c>
      <c r="F324">
        <v>6</v>
      </c>
      <c r="G324">
        <v>15</v>
      </c>
      <c r="H324" s="8">
        <v>4192.2</v>
      </c>
      <c r="I324">
        <v>605.09</v>
      </c>
      <c r="J324">
        <v>561.66999999999996</v>
      </c>
      <c r="K324" s="5">
        <f>IF(SalesData[[#This Row],[Total Revenue]]=0,0,SalesData[[#This Row],[Profit]]/SalesData[[#This Row],[Total Revenue]])</f>
        <v>0.13397977195744479</v>
      </c>
      <c r="L324" s="5" t="str">
        <f>TEXT(SalesData[[#This Row],[Date]],"mmm")</f>
        <v>Oct</v>
      </c>
      <c r="M324">
        <f>YEAR(SalesData[[#This Row],[Date]])</f>
        <v>2023</v>
      </c>
      <c r="N324">
        <f>WEEKNUM(SalesData[[#This Row],[Date]])</f>
        <v>42</v>
      </c>
      <c r="O324" t="s">
        <v>2036</v>
      </c>
      <c r="P324" t="s">
        <v>2523</v>
      </c>
      <c r="Q324" t="s">
        <v>2524</v>
      </c>
    </row>
    <row r="325" spans="1:17" x14ac:dyDescent="0.35">
      <c r="A325" t="s">
        <v>1110</v>
      </c>
      <c r="B325" s="3">
        <v>45089</v>
      </c>
      <c r="C325" t="s">
        <v>2018</v>
      </c>
      <c r="D325" t="s">
        <v>2026</v>
      </c>
      <c r="E325" s="8">
        <v>4436</v>
      </c>
      <c r="F325">
        <v>1</v>
      </c>
      <c r="G325">
        <v>5</v>
      </c>
      <c r="H325" s="8">
        <v>4214.2</v>
      </c>
      <c r="I325">
        <v>2524.73</v>
      </c>
      <c r="J325">
        <v>1689.47</v>
      </c>
      <c r="K325" s="5">
        <f>IF(SalesData[[#This Row],[Total Revenue]]=0,0,SalesData[[#This Row],[Profit]]/SalesData[[#This Row],[Total Revenue]])</f>
        <v>0.40089934032556596</v>
      </c>
      <c r="L325" s="5" t="str">
        <f>TEXT(SalesData[[#This Row],[Date]],"mmm")</f>
        <v>Jun</v>
      </c>
      <c r="M325">
        <f>YEAR(SalesData[[#This Row],[Date]])</f>
        <v>2023</v>
      </c>
      <c r="N325">
        <f>WEEKNUM(SalesData[[#This Row],[Date]])</f>
        <v>24</v>
      </c>
      <c r="O325" t="s">
        <v>2187</v>
      </c>
      <c r="P325" t="s">
        <v>2522</v>
      </c>
      <c r="Q325" t="s">
        <v>2524</v>
      </c>
    </row>
    <row r="326" spans="1:17" x14ac:dyDescent="0.35">
      <c r="A326" t="s">
        <v>695</v>
      </c>
      <c r="B326" s="3">
        <v>45129</v>
      </c>
      <c r="C326" t="s">
        <v>2019</v>
      </c>
      <c r="D326" t="s">
        <v>2027</v>
      </c>
      <c r="E326" s="8">
        <v>1565</v>
      </c>
      <c r="F326">
        <v>3</v>
      </c>
      <c r="G326">
        <v>10</v>
      </c>
      <c r="H326" s="8">
        <v>4225.5</v>
      </c>
      <c r="I326">
        <v>1249.6400000000001</v>
      </c>
      <c r="J326">
        <v>476.59</v>
      </c>
      <c r="K326" s="5">
        <f>IF(SalesData[[#This Row],[Total Revenue]]=0,0,SalesData[[#This Row],[Profit]]/SalesData[[#This Row],[Total Revenue]])</f>
        <v>0.11278901905099988</v>
      </c>
      <c r="L326" s="5" t="str">
        <f>TEXT(SalesData[[#This Row],[Date]],"mmm")</f>
        <v>Jul</v>
      </c>
      <c r="M326">
        <f>YEAR(SalesData[[#This Row],[Date]])</f>
        <v>2023</v>
      </c>
      <c r="N326">
        <f>WEEKNUM(SalesData[[#This Row],[Date]])</f>
        <v>29</v>
      </c>
      <c r="O326" t="s">
        <v>2107</v>
      </c>
      <c r="P326" t="s">
        <v>2523</v>
      </c>
      <c r="Q326" t="s">
        <v>2525</v>
      </c>
    </row>
    <row r="327" spans="1:17" x14ac:dyDescent="0.35">
      <c r="A327" t="s">
        <v>1981</v>
      </c>
      <c r="B327" s="3">
        <v>45166</v>
      </c>
      <c r="C327" t="s">
        <v>2016</v>
      </c>
      <c r="D327" t="s">
        <v>2025</v>
      </c>
      <c r="E327" s="8">
        <v>1112</v>
      </c>
      <c r="F327">
        <v>4</v>
      </c>
      <c r="G327">
        <v>5</v>
      </c>
      <c r="H327" s="8">
        <v>4225.6000000000004</v>
      </c>
      <c r="I327">
        <v>584.15</v>
      </c>
      <c r="J327">
        <v>1888.98</v>
      </c>
      <c r="K327" s="5">
        <f>IF(SalesData[[#This Row],[Total Revenue]]=0,0,SalesData[[#This Row],[Profit]]/SalesData[[#This Row],[Total Revenue]])</f>
        <v>0.44703237410071939</v>
      </c>
      <c r="L327" s="5" t="str">
        <f>TEXT(SalesData[[#This Row],[Date]],"mmm")</f>
        <v>Aug</v>
      </c>
      <c r="M327">
        <f>YEAR(SalesData[[#This Row],[Date]])</f>
        <v>2023</v>
      </c>
      <c r="N327">
        <f>WEEKNUM(SalesData[[#This Row],[Date]])</f>
        <v>35</v>
      </c>
      <c r="O327" t="s">
        <v>2439</v>
      </c>
      <c r="P327" t="s">
        <v>2523</v>
      </c>
      <c r="Q327" t="s">
        <v>2526</v>
      </c>
    </row>
    <row r="328" spans="1:17" x14ac:dyDescent="0.35">
      <c r="A328" t="s">
        <v>171</v>
      </c>
      <c r="B328" s="3">
        <v>45229</v>
      </c>
      <c r="C328" t="s">
        <v>2014</v>
      </c>
      <c r="D328" t="s">
        <v>2024</v>
      </c>
      <c r="E328" s="8">
        <v>4999</v>
      </c>
      <c r="F328">
        <v>1</v>
      </c>
      <c r="G328">
        <v>15</v>
      </c>
      <c r="H328" s="8">
        <v>4249.1499999999996</v>
      </c>
      <c r="I328">
        <v>3328.79</v>
      </c>
      <c r="J328">
        <v>920.36</v>
      </c>
      <c r="K328" s="5">
        <f>IF(SalesData[[#This Row],[Total Revenue]]=0,0,SalesData[[#This Row],[Profit]]/SalesData[[#This Row],[Total Revenue]])</f>
        <v>0.21659861384041518</v>
      </c>
      <c r="L328" s="5" t="str">
        <f>TEXT(SalesData[[#This Row],[Date]],"mmm")</f>
        <v>Oct</v>
      </c>
      <c r="M328">
        <f>YEAR(SalesData[[#This Row],[Date]])</f>
        <v>2023</v>
      </c>
      <c r="N328">
        <f>WEEKNUM(SalesData[[#This Row],[Date]])</f>
        <v>44</v>
      </c>
      <c r="O328" t="s">
        <v>2167</v>
      </c>
      <c r="P328" t="s">
        <v>2523</v>
      </c>
      <c r="Q328" t="s">
        <v>2524</v>
      </c>
    </row>
    <row r="329" spans="1:17" x14ac:dyDescent="0.35">
      <c r="A329" t="s">
        <v>653</v>
      </c>
      <c r="B329" s="3">
        <v>44977</v>
      </c>
      <c r="C329" t="s">
        <v>2022</v>
      </c>
      <c r="D329" t="s">
        <v>2024</v>
      </c>
      <c r="E329" s="8">
        <v>2505</v>
      </c>
      <c r="F329">
        <v>2</v>
      </c>
      <c r="G329">
        <v>15</v>
      </c>
      <c r="H329" s="8">
        <v>4258.5</v>
      </c>
      <c r="I329">
        <v>1866.48</v>
      </c>
      <c r="J329">
        <v>525.54</v>
      </c>
      <c r="K329" s="5">
        <f>IF(SalesData[[#This Row],[Total Revenue]]=0,0,SalesData[[#This Row],[Profit]]/SalesData[[#This Row],[Total Revenue]])</f>
        <v>0.12340965128566396</v>
      </c>
      <c r="L329" s="5" t="str">
        <f>TEXT(SalesData[[#This Row],[Date]],"mmm")</f>
        <v>Feb</v>
      </c>
      <c r="M329">
        <f>YEAR(SalesData[[#This Row],[Date]])</f>
        <v>2023</v>
      </c>
      <c r="N329">
        <f>WEEKNUM(SalesData[[#This Row],[Date]])</f>
        <v>8</v>
      </c>
      <c r="O329" t="s">
        <v>2390</v>
      </c>
      <c r="P329" t="s">
        <v>2522</v>
      </c>
      <c r="Q329" t="s">
        <v>2524</v>
      </c>
    </row>
    <row r="330" spans="1:17" x14ac:dyDescent="0.35">
      <c r="A330" t="s">
        <v>192</v>
      </c>
      <c r="B330" s="3">
        <v>45109</v>
      </c>
      <c r="C330" t="s">
        <v>2017</v>
      </c>
      <c r="D330" t="s">
        <v>2026</v>
      </c>
      <c r="E330" s="8">
        <v>1581</v>
      </c>
      <c r="F330">
        <v>3</v>
      </c>
      <c r="G330">
        <v>10</v>
      </c>
      <c r="H330" s="8">
        <v>4268.7</v>
      </c>
      <c r="I330">
        <v>1176.45</v>
      </c>
      <c r="J330">
        <v>739.36</v>
      </c>
      <c r="K330" s="5">
        <f>IF(SalesData[[#This Row],[Total Revenue]]=0,0,SalesData[[#This Row],[Profit]]/SalesData[[#This Row],[Total Revenue]])</f>
        <v>0.17320495701267366</v>
      </c>
      <c r="L330" s="5" t="str">
        <f>TEXT(SalesData[[#This Row],[Date]],"mmm")</f>
        <v>Jul</v>
      </c>
      <c r="M330">
        <f>YEAR(SalesData[[#This Row],[Date]])</f>
        <v>2023</v>
      </c>
      <c r="N330">
        <f>WEEKNUM(SalesData[[#This Row],[Date]])</f>
        <v>27</v>
      </c>
      <c r="O330" t="s">
        <v>2123</v>
      </c>
      <c r="P330" t="s">
        <v>2522</v>
      </c>
      <c r="Q330" t="s">
        <v>2527</v>
      </c>
    </row>
    <row r="331" spans="1:17" x14ac:dyDescent="0.35">
      <c r="A331" t="s">
        <v>308</v>
      </c>
      <c r="B331" s="3">
        <v>45276</v>
      </c>
      <c r="C331" t="s">
        <v>2017</v>
      </c>
      <c r="D331" t="s">
        <v>2026</v>
      </c>
      <c r="E331" s="8">
        <v>1425</v>
      </c>
      <c r="F331">
        <v>3</v>
      </c>
      <c r="G331">
        <v>0</v>
      </c>
      <c r="H331" s="8">
        <v>4275</v>
      </c>
      <c r="I331">
        <v>846.49</v>
      </c>
      <c r="J331">
        <v>1735.54</v>
      </c>
      <c r="K331" s="5">
        <f>IF(SalesData[[#This Row],[Total Revenue]]=0,0,SalesData[[#This Row],[Profit]]/SalesData[[#This Row],[Total Revenue]])</f>
        <v>0.40597426900584793</v>
      </c>
      <c r="L331" s="5" t="str">
        <f>TEXT(SalesData[[#This Row],[Date]],"mmm")</f>
        <v>Dec</v>
      </c>
      <c r="M331">
        <f>YEAR(SalesData[[#This Row],[Date]])</f>
        <v>2023</v>
      </c>
      <c r="N331">
        <f>WEEKNUM(SalesData[[#This Row],[Date]])</f>
        <v>50</v>
      </c>
      <c r="O331" t="s">
        <v>2089</v>
      </c>
      <c r="P331" t="s">
        <v>2523</v>
      </c>
      <c r="Q331" t="s">
        <v>2525</v>
      </c>
    </row>
    <row r="332" spans="1:17" x14ac:dyDescent="0.35">
      <c r="A332" t="s">
        <v>1643</v>
      </c>
      <c r="B332" s="3">
        <v>45056</v>
      </c>
      <c r="C332" t="s">
        <v>2017</v>
      </c>
      <c r="D332" t="s">
        <v>2026</v>
      </c>
      <c r="E332" s="8">
        <v>2518</v>
      </c>
      <c r="F332">
        <v>2</v>
      </c>
      <c r="G332">
        <v>15</v>
      </c>
      <c r="H332" s="8">
        <v>4280.6000000000004</v>
      </c>
      <c r="I332">
        <v>1384.96</v>
      </c>
      <c r="J332">
        <v>1510.68</v>
      </c>
      <c r="K332" s="5">
        <f>IF(SalesData[[#This Row],[Total Revenue]]=0,0,SalesData[[#This Row],[Profit]]/SalesData[[#This Row],[Total Revenue]])</f>
        <v>0.35291314301733401</v>
      </c>
      <c r="L332" s="5" t="str">
        <f>TEXT(SalesData[[#This Row],[Date]],"mmm")</f>
        <v>May</v>
      </c>
      <c r="M332">
        <f>YEAR(SalesData[[#This Row],[Date]])</f>
        <v>2023</v>
      </c>
      <c r="N332">
        <f>WEEKNUM(SalesData[[#This Row],[Date]])</f>
        <v>19</v>
      </c>
      <c r="O332" t="s">
        <v>2042</v>
      </c>
      <c r="P332" t="s">
        <v>2522</v>
      </c>
      <c r="Q332" t="s">
        <v>2524</v>
      </c>
    </row>
    <row r="333" spans="1:17" x14ac:dyDescent="0.35">
      <c r="A333" t="s">
        <v>1339</v>
      </c>
      <c r="B333" s="3">
        <v>45004</v>
      </c>
      <c r="C333" t="s">
        <v>2015</v>
      </c>
      <c r="D333" t="s">
        <v>2025</v>
      </c>
      <c r="E333" s="8">
        <v>2268</v>
      </c>
      <c r="F333">
        <v>2</v>
      </c>
      <c r="G333">
        <v>5</v>
      </c>
      <c r="H333" s="8">
        <v>4309.2</v>
      </c>
      <c r="I333">
        <v>1327.79</v>
      </c>
      <c r="J333">
        <v>1653.62</v>
      </c>
      <c r="K333" s="5">
        <f>IF(SalesData[[#This Row],[Total Revenue]]=0,0,SalesData[[#This Row],[Profit]]/SalesData[[#This Row],[Total Revenue]])</f>
        <v>0.38374176181193725</v>
      </c>
      <c r="L333" s="5" t="str">
        <f>TEXT(SalesData[[#This Row],[Date]],"mmm")</f>
        <v>Mar</v>
      </c>
      <c r="M333">
        <f>YEAR(SalesData[[#This Row],[Date]])</f>
        <v>2023</v>
      </c>
      <c r="N333">
        <f>WEEKNUM(SalesData[[#This Row],[Date]])</f>
        <v>12</v>
      </c>
      <c r="O333" t="s">
        <v>2161</v>
      </c>
      <c r="P333" t="s">
        <v>2523</v>
      </c>
      <c r="Q333" t="s">
        <v>2526</v>
      </c>
    </row>
    <row r="334" spans="1:17" x14ac:dyDescent="0.35">
      <c r="A334" t="s">
        <v>1916</v>
      </c>
      <c r="B334" s="3">
        <v>45104</v>
      </c>
      <c r="C334" t="s">
        <v>2022</v>
      </c>
      <c r="D334" t="s">
        <v>2024</v>
      </c>
      <c r="E334" s="8">
        <v>1199</v>
      </c>
      <c r="F334">
        <v>4</v>
      </c>
      <c r="G334">
        <v>10</v>
      </c>
      <c r="H334" s="8">
        <v>4316.3999999999996</v>
      </c>
      <c r="I334">
        <v>681.04</v>
      </c>
      <c r="J334">
        <v>1592.24</v>
      </c>
      <c r="K334" s="5">
        <f>IF(SalesData[[#This Row],[Total Revenue]]=0,0,SalesData[[#This Row],[Profit]]/SalesData[[#This Row],[Total Revenue]])</f>
        <v>0.36888147530349369</v>
      </c>
      <c r="L334" s="5" t="str">
        <f>TEXT(SalesData[[#This Row],[Date]],"mmm")</f>
        <v>Jun</v>
      </c>
      <c r="M334">
        <f>YEAR(SalesData[[#This Row],[Date]])</f>
        <v>2023</v>
      </c>
      <c r="N334">
        <f>WEEKNUM(SalesData[[#This Row],[Date]])</f>
        <v>26</v>
      </c>
      <c r="O334" t="s">
        <v>2410</v>
      </c>
      <c r="P334" t="s">
        <v>2522</v>
      </c>
      <c r="Q334" t="s">
        <v>2527</v>
      </c>
    </row>
    <row r="335" spans="1:17" x14ac:dyDescent="0.35">
      <c r="A335" t="s">
        <v>798</v>
      </c>
      <c r="B335" s="3">
        <v>45070</v>
      </c>
      <c r="C335" t="s">
        <v>2013</v>
      </c>
      <c r="D335" t="s">
        <v>2023</v>
      </c>
      <c r="E335" s="8">
        <v>2160</v>
      </c>
      <c r="F335">
        <v>2</v>
      </c>
      <c r="G335">
        <v>0</v>
      </c>
      <c r="H335" s="8">
        <v>4320</v>
      </c>
      <c r="I335">
        <v>1130.21</v>
      </c>
      <c r="J335">
        <v>2059.5700000000002</v>
      </c>
      <c r="K335" s="5">
        <f>IF(SalesData[[#This Row],[Total Revenue]]=0,0,SalesData[[#This Row],[Profit]]/SalesData[[#This Row],[Total Revenue]])</f>
        <v>0.47675231481481484</v>
      </c>
      <c r="L335" s="5" t="str">
        <f>TEXT(SalesData[[#This Row],[Date]],"mmm")</f>
        <v>May</v>
      </c>
      <c r="M335">
        <f>YEAR(SalesData[[#This Row],[Date]])</f>
        <v>2023</v>
      </c>
      <c r="N335">
        <f>WEEKNUM(SalesData[[#This Row],[Date]])</f>
        <v>21</v>
      </c>
      <c r="O335" t="s">
        <v>2423</v>
      </c>
      <c r="P335" t="s">
        <v>2522</v>
      </c>
      <c r="Q335" t="s">
        <v>2525</v>
      </c>
    </row>
    <row r="336" spans="1:17" x14ac:dyDescent="0.35">
      <c r="A336" t="s">
        <v>1755</v>
      </c>
      <c r="B336" s="3">
        <v>45214</v>
      </c>
      <c r="C336" t="s">
        <v>2021</v>
      </c>
      <c r="D336" t="s">
        <v>2028</v>
      </c>
      <c r="E336" s="8">
        <v>2274</v>
      </c>
      <c r="F336">
        <v>2</v>
      </c>
      <c r="G336">
        <v>5</v>
      </c>
      <c r="H336" s="8">
        <v>4320.6000000000004</v>
      </c>
      <c r="I336">
        <v>1182.97</v>
      </c>
      <c r="J336">
        <v>1954.66</v>
      </c>
      <c r="K336" s="5">
        <f>IF(SalesData[[#This Row],[Total Revenue]]=0,0,SalesData[[#This Row],[Profit]]/SalesData[[#This Row],[Total Revenue]])</f>
        <v>0.45240475859834278</v>
      </c>
      <c r="L336" s="5" t="str">
        <f>TEXT(SalesData[[#This Row],[Date]],"mmm")</f>
        <v>Oct</v>
      </c>
      <c r="M336">
        <f>YEAR(SalesData[[#This Row],[Date]])</f>
        <v>2023</v>
      </c>
      <c r="N336">
        <f>WEEKNUM(SalesData[[#This Row],[Date]])</f>
        <v>42</v>
      </c>
      <c r="O336" t="s">
        <v>2396</v>
      </c>
      <c r="P336" t="s">
        <v>2522</v>
      </c>
      <c r="Q336" t="s">
        <v>2524</v>
      </c>
    </row>
    <row r="337" spans="1:17" x14ac:dyDescent="0.35">
      <c r="A337" t="s">
        <v>1137</v>
      </c>
      <c r="B337" s="3">
        <v>45129</v>
      </c>
      <c r="C337" t="s">
        <v>2013</v>
      </c>
      <c r="D337" t="s">
        <v>2023</v>
      </c>
      <c r="E337" s="8">
        <v>2401</v>
      </c>
      <c r="F337">
        <v>2</v>
      </c>
      <c r="G337">
        <v>10</v>
      </c>
      <c r="H337" s="8">
        <v>4321.8</v>
      </c>
      <c r="I337">
        <v>1272.68</v>
      </c>
      <c r="J337">
        <v>1776.44</v>
      </c>
      <c r="K337" s="5">
        <f>IF(SalesData[[#This Row],[Total Revenue]]=0,0,SalesData[[#This Row],[Profit]]/SalesData[[#This Row],[Total Revenue]])</f>
        <v>0.41104169558980053</v>
      </c>
      <c r="L337" s="5" t="str">
        <f>TEXT(SalesData[[#This Row],[Date]],"mmm")</f>
        <v>Jul</v>
      </c>
      <c r="M337">
        <f>YEAR(SalesData[[#This Row],[Date]])</f>
        <v>2023</v>
      </c>
      <c r="N337">
        <f>WEEKNUM(SalesData[[#This Row],[Date]])</f>
        <v>29</v>
      </c>
      <c r="O337" t="s">
        <v>2206</v>
      </c>
      <c r="P337" t="s">
        <v>2522</v>
      </c>
      <c r="Q337" t="s">
        <v>2526</v>
      </c>
    </row>
    <row r="338" spans="1:17" x14ac:dyDescent="0.35">
      <c r="A338" t="s">
        <v>1648</v>
      </c>
      <c r="B338" s="3">
        <v>45049</v>
      </c>
      <c r="C338" t="s">
        <v>2016</v>
      </c>
      <c r="D338" t="s">
        <v>2025</v>
      </c>
      <c r="E338" s="8">
        <v>963</v>
      </c>
      <c r="F338">
        <v>5</v>
      </c>
      <c r="G338">
        <v>10</v>
      </c>
      <c r="H338" s="8">
        <v>4333.5</v>
      </c>
      <c r="I338">
        <v>733.77</v>
      </c>
      <c r="J338">
        <v>664.63</v>
      </c>
      <c r="K338" s="5">
        <f>IF(SalesData[[#This Row],[Total Revenue]]=0,0,SalesData[[#This Row],[Profit]]/SalesData[[#This Row],[Total Revenue]])</f>
        <v>0.15337025499019269</v>
      </c>
      <c r="L338" s="5" t="str">
        <f>TEXT(SalesData[[#This Row],[Date]],"mmm")</f>
        <v>May</v>
      </c>
      <c r="M338">
        <f>YEAR(SalesData[[#This Row],[Date]])</f>
        <v>2023</v>
      </c>
      <c r="N338">
        <f>WEEKNUM(SalesData[[#This Row],[Date]])</f>
        <v>18</v>
      </c>
      <c r="O338" t="s">
        <v>2115</v>
      </c>
      <c r="P338" t="s">
        <v>2523</v>
      </c>
      <c r="Q338" t="s">
        <v>2527</v>
      </c>
    </row>
    <row r="339" spans="1:17" x14ac:dyDescent="0.35">
      <c r="A339" t="s">
        <v>1542</v>
      </c>
      <c r="B339" s="3">
        <v>45240</v>
      </c>
      <c r="C339" t="s">
        <v>2022</v>
      </c>
      <c r="D339" t="s">
        <v>2024</v>
      </c>
      <c r="E339" s="8">
        <v>2553</v>
      </c>
      <c r="F339">
        <v>2</v>
      </c>
      <c r="G339">
        <v>15</v>
      </c>
      <c r="H339" s="8">
        <v>4340.1000000000004</v>
      </c>
      <c r="I339">
        <v>1885.7</v>
      </c>
      <c r="J339">
        <v>568.71</v>
      </c>
      <c r="K339" s="5">
        <f>IF(SalesData[[#This Row],[Total Revenue]]=0,0,SalesData[[#This Row],[Profit]]/SalesData[[#This Row],[Total Revenue]])</f>
        <v>0.13103615124075482</v>
      </c>
      <c r="L339" s="5" t="str">
        <f>TEXT(SalesData[[#This Row],[Date]],"mmm")</f>
        <v>Nov</v>
      </c>
      <c r="M339">
        <f>YEAR(SalesData[[#This Row],[Date]])</f>
        <v>2023</v>
      </c>
      <c r="N339">
        <f>WEEKNUM(SalesData[[#This Row],[Date]])</f>
        <v>45</v>
      </c>
      <c r="O339" t="s">
        <v>2502</v>
      </c>
      <c r="P339" t="s">
        <v>2522</v>
      </c>
      <c r="Q339" t="s">
        <v>2524</v>
      </c>
    </row>
    <row r="340" spans="1:17" x14ac:dyDescent="0.35">
      <c r="A340" t="s">
        <v>1070</v>
      </c>
      <c r="B340" s="3">
        <v>45100</v>
      </c>
      <c r="C340" t="s">
        <v>2016</v>
      </c>
      <c r="D340" t="s">
        <v>2025</v>
      </c>
      <c r="E340" s="8">
        <v>1527</v>
      </c>
      <c r="F340">
        <v>3</v>
      </c>
      <c r="G340">
        <v>5</v>
      </c>
      <c r="H340" s="8">
        <v>4351.95</v>
      </c>
      <c r="I340">
        <v>1145.52</v>
      </c>
      <c r="J340">
        <v>915.4</v>
      </c>
      <c r="K340" s="5">
        <f>IF(SalesData[[#This Row],[Total Revenue]]=0,0,SalesData[[#This Row],[Profit]]/SalesData[[#This Row],[Total Revenue]])</f>
        <v>0.21034249014809453</v>
      </c>
      <c r="L340" s="5" t="str">
        <f>TEXT(SalesData[[#This Row],[Date]],"mmm")</f>
        <v>Jun</v>
      </c>
      <c r="M340">
        <f>YEAR(SalesData[[#This Row],[Date]])</f>
        <v>2023</v>
      </c>
      <c r="N340">
        <f>WEEKNUM(SalesData[[#This Row],[Date]])</f>
        <v>25</v>
      </c>
      <c r="O340" t="s">
        <v>2367</v>
      </c>
      <c r="P340" t="s">
        <v>2523</v>
      </c>
      <c r="Q340" t="s">
        <v>2525</v>
      </c>
    </row>
    <row r="341" spans="1:17" x14ac:dyDescent="0.35">
      <c r="A341" t="s">
        <v>1526</v>
      </c>
      <c r="B341" s="3">
        <v>44953</v>
      </c>
      <c r="C341" t="s">
        <v>2021</v>
      </c>
      <c r="D341" t="s">
        <v>2028</v>
      </c>
      <c r="E341" s="8">
        <v>1529</v>
      </c>
      <c r="F341">
        <v>3</v>
      </c>
      <c r="G341">
        <v>5</v>
      </c>
      <c r="H341" s="8">
        <v>4357.6499999999996</v>
      </c>
      <c r="I341">
        <v>1189.8499999999999</v>
      </c>
      <c r="J341">
        <v>788.09</v>
      </c>
      <c r="K341" s="5">
        <f>IF(SalesData[[#This Row],[Total Revenue]]=0,0,SalesData[[#This Row],[Profit]]/SalesData[[#This Row],[Total Revenue]])</f>
        <v>0.18085206475967552</v>
      </c>
      <c r="L341" s="5" t="str">
        <f>TEXT(SalesData[[#This Row],[Date]],"mmm")</f>
        <v>Jan</v>
      </c>
      <c r="M341">
        <f>YEAR(SalesData[[#This Row],[Date]])</f>
        <v>2023</v>
      </c>
      <c r="N341">
        <f>WEEKNUM(SalesData[[#This Row],[Date]])</f>
        <v>4</v>
      </c>
      <c r="O341" t="s">
        <v>2367</v>
      </c>
      <c r="P341" t="s">
        <v>2523</v>
      </c>
      <c r="Q341" t="s">
        <v>2525</v>
      </c>
    </row>
    <row r="342" spans="1:17" x14ac:dyDescent="0.35">
      <c r="A342" t="s">
        <v>1382</v>
      </c>
      <c r="B342" s="3">
        <v>45144</v>
      </c>
      <c r="C342" t="s">
        <v>2014</v>
      </c>
      <c r="D342" t="s">
        <v>2024</v>
      </c>
      <c r="E342" s="8">
        <v>1530</v>
      </c>
      <c r="F342">
        <v>3</v>
      </c>
      <c r="G342">
        <v>5</v>
      </c>
      <c r="H342" s="8">
        <v>4360.5</v>
      </c>
      <c r="I342">
        <v>895.07</v>
      </c>
      <c r="J342">
        <v>1675.3</v>
      </c>
      <c r="K342" s="5">
        <f>IF(SalesData[[#This Row],[Total Revenue]]=0,0,SalesData[[#This Row],[Profit]]/SalesData[[#This Row],[Total Revenue]])</f>
        <v>0.38419905974085539</v>
      </c>
      <c r="L342" s="5" t="str">
        <f>TEXT(SalesData[[#This Row],[Date]],"mmm")</f>
        <v>Aug</v>
      </c>
      <c r="M342">
        <f>YEAR(SalesData[[#This Row],[Date]])</f>
        <v>2023</v>
      </c>
      <c r="N342">
        <f>WEEKNUM(SalesData[[#This Row],[Date]])</f>
        <v>32</v>
      </c>
      <c r="O342" t="s">
        <v>2269</v>
      </c>
      <c r="P342" t="s">
        <v>2522</v>
      </c>
      <c r="Q342" t="s">
        <v>2527</v>
      </c>
    </row>
    <row r="343" spans="1:17" x14ac:dyDescent="0.35">
      <c r="A343" t="s">
        <v>1925</v>
      </c>
      <c r="B343" s="3">
        <v>45062</v>
      </c>
      <c r="C343" t="s">
        <v>2014</v>
      </c>
      <c r="D343" t="s">
        <v>2024</v>
      </c>
      <c r="E343" s="8">
        <v>2565</v>
      </c>
      <c r="F343">
        <v>2</v>
      </c>
      <c r="G343">
        <v>15</v>
      </c>
      <c r="H343" s="8">
        <v>4360.5</v>
      </c>
      <c r="I343">
        <v>1528.15</v>
      </c>
      <c r="J343">
        <v>1304.19</v>
      </c>
      <c r="K343" s="5">
        <f>IF(SalesData[[#This Row],[Total Revenue]]=0,0,SalesData[[#This Row],[Profit]]/SalesData[[#This Row],[Total Revenue]])</f>
        <v>0.29909184726522187</v>
      </c>
      <c r="L343" s="5" t="str">
        <f>TEXT(SalesData[[#This Row],[Date]],"mmm")</f>
        <v>May</v>
      </c>
      <c r="M343">
        <f>YEAR(SalesData[[#This Row],[Date]])</f>
        <v>2023</v>
      </c>
      <c r="N343">
        <f>WEEKNUM(SalesData[[#This Row],[Date]])</f>
        <v>20</v>
      </c>
      <c r="O343" t="s">
        <v>2284</v>
      </c>
      <c r="P343" t="s">
        <v>2522</v>
      </c>
      <c r="Q343" t="s">
        <v>2524</v>
      </c>
    </row>
    <row r="344" spans="1:17" x14ac:dyDescent="0.35">
      <c r="A344" t="s">
        <v>505</v>
      </c>
      <c r="B344" s="3">
        <v>44969</v>
      </c>
      <c r="C344" t="s">
        <v>2015</v>
      </c>
      <c r="D344" t="s">
        <v>2025</v>
      </c>
      <c r="E344" s="8">
        <v>4847</v>
      </c>
      <c r="F344">
        <v>1</v>
      </c>
      <c r="G344">
        <v>10</v>
      </c>
      <c r="H344" s="8">
        <v>4362.3</v>
      </c>
      <c r="I344">
        <v>2976.71</v>
      </c>
      <c r="J344">
        <v>1385.59</v>
      </c>
      <c r="K344" s="5">
        <f>IF(SalesData[[#This Row],[Total Revenue]]=0,0,SalesData[[#This Row],[Profit]]/SalesData[[#This Row],[Total Revenue]])</f>
        <v>0.31762831533823899</v>
      </c>
      <c r="L344" s="5" t="str">
        <f>TEXT(SalesData[[#This Row],[Date]],"mmm")</f>
        <v>Feb</v>
      </c>
      <c r="M344">
        <f>YEAR(SalesData[[#This Row],[Date]])</f>
        <v>2023</v>
      </c>
      <c r="N344">
        <f>WEEKNUM(SalesData[[#This Row],[Date]])</f>
        <v>7</v>
      </c>
      <c r="O344" t="s">
        <v>2079</v>
      </c>
      <c r="P344" t="s">
        <v>2522</v>
      </c>
      <c r="Q344" t="s">
        <v>2526</v>
      </c>
    </row>
    <row r="345" spans="1:17" x14ac:dyDescent="0.35">
      <c r="A345" t="s">
        <v>871</v>
      </c>
      <c r="B345" s="3">
        <v>44933</v>
      </c>
      <c r="C345" t="s">
        <v>2016</v>
      </c>
      <c r="D345" t="s">
        <v>2025</v>
      </c>
      <c r="E345" s="8">
        <v>1531</v>
      </c>
      <c r="F345">
        <v>3</v>
      </c>
      <c r="G345">
        <v>5</v>
      </c>
      <c r="H345" s="8">
        <v>4363.3500000000004</v>
      </c>
      <c r="I345">
        <v>792.33</v>
      </c>
      <c r="J345">
        <v>1986.35</v>
      </c>
      <c r="K345" s="5">
        <f>IF(SalesData[[#This Row],[Total Revenue]]=0,0,SalesData[[#This Row],[Profit]]/SalesData[[#This Row],[Total Revenue]])</f>
        <v>0.45523508313566408</v>
      </c>
      <c r="L345" s="5" t="str">
        <f>TEXT(SalesData[[#This Row],[Date]],"mmm")</f>
        <v>Jan</v>
      </c>
      <c r="M345">
        <f>YEAR(SalesData[[#This Row],[Date]])</f>
        <v>2023</v>
      </c>
      <c r="N345">
        <f>WEEKNUM(SalesData[[#This Row],[Date]])</f>
        <v>1</v>
      </c>
      <c r="O345" t="s">
        <v>2102</v>
      </c>
      <c r="P345" t="s">
        <v>2523</v>
      </c>
      <c r="Q345" t="s">
        <v>2525</v>
      </c>
    </row>
    <row r="346" spans="1:17" x14ac:dyDescent="0.35">
      <c r="A346" t="s">
        <v>200</v>
      </c>
      <c r="B346" s="3">
        <v>44932</v>
      </c>
      <c r="C346" t="s">
        <v>2016</v>
      </c>
      <c r="D346" t="s">
        <v>2025</v>
      </c>
      <c r="E346" s="8">
        <v>919</v>
      </c>
      <c r="F346">
        <v>5</v>
      </c>
      <c r="G346">
        <v>5</v>
      </c>
      <c r="H346" s="8">
        <v>4365.25</v>
      </c>
      <c r="I346">
        <v>697.72</v>
      </c>
      <c r="J346">
        <v>876.67</v>
      </c>
      <c r="K346" s="5">
        <f>IF(SalesData[[#This Row],[Total Revenue]]=0,0,SalesData[[#This Row],[Profit]]/SalesData[[#This Row],[Total Revenue]])</f>
        <v>0.20082927667373002</v>
      </c>
      <c r="L346" s="5" t="str">
        <f>TEXT(SalesData[[#This Row],[Date]],"mmm")</f>
        <v>Jan</v>
      </c>
      <c r="M346">
        <f>YEAR(SalesData[[#This Row],[Date]])</f>
        <v>2023</v>
      </c>
      <c r="N346">
        <f>WEEKNUM(SalesData[[#This Row],[Date]])</f>
        <v>1</v>
      </c>
      <c r="O346" t="s">
        <v>2184</v>
      </c>
      <c r="P346" t="s">
        <v>2522</v>
      </c>
      <c r="Q346" t="s">
        <v>2526</v>
      </c>
    </row>
    <row r="347" spans="1:17" x14ac:dyDescent="0.35">
      <c r="A347" t="s">
        <v>1404</v>
      </c>
      <c r="B347" s="3">
        <v>45289</v>
      </c>
      <c r="C347" t="s">
        <v>2021</v>
      </c>
      <c r="D347" t="s">
        <v>2028</v>
      </c>
      <c r="E347" s="8">
        <v>4861</v>
      </c>
      <c r="F347">
        <v>1</v>
      </c>
      <c r="G347">
        <v>10</v>
      </c>
      <c r="H347" s="8">
        <v>4374.8999999999996</v>
      </c>
      <c r="I347">
        <v>3849.16</v>
      </c>
      <c r="J347">
        <v>525.74</v>
      </c>
      <c r="K347" s="5">
        <f>IF(SalesData[[#This Row],[Total Revenue]]=0,0,SalesData[[#This Row],[Profit]]/SalesData[[#This Row],[Total Revenue]])</f>
        <v>0.12017188964319185</v>
      </c>
      <c r="L347" s="5" t="str">
        <f>TEXT(SalesData[[#This Row],[Date]],"mmm")</f>
        <v>Dec</v>
      </c>
      <c r="M347">
        <f>YEAR(SalesData[[#This Row],[Date]])</f>
        <v>2023</v>
      </c>
      <c r="N347">
        <f>WEEKNUM(SalesData[[#This Row],[Date]])</f>
        <v>52</v>
      </c>
      <c r="O347" t="s">
        <v>2475</v>
      </c>
      <c r="P347" t="s">
        <v>2523</v>
      </c>
      <c r="Q347" t="s">
        <v>2527</v>
      </c>
    </row>
    <row r="348" spans="1:17" x14ac:dyDescent="0.35">
      <c r="A348" t="s">
        <v>892</v>
      </c>
      <c r="B348" s="3">
        <v>44935</v>
      </c>
      <c r="C348" t="s">
        <v>2016</v>
      </c>
      <c r="D348" t="s">
        <v>2025</v>
      </c>
      <c r="E348" s="8">
        <v>2434</v>
      </c>
      <c r="F348">
        <v>2</v>
      </c>
      <c r="G348">
        <v>10</v>
      </c>
      <c r="H348" s="8">
        <v>4381.2</v>
      </c>
      <c r="I348">
        <v>1227.6400000000001</v>
      </c>
      <c r="J348">
        <v>1925.93</v>
      </c>
      <c r="K348" s="5">
        <f>IF(SalesData[[#This Row],[Total Revenue]]=0,0,SalesData[[#This Row],[Profit]]/SalesData[[#This Row],[Total Revenue]])</f>
        <v>0.43958961015246967</v>
      </c>
      <c r="L348" s="5" t="str">
        <f>TEXT(SalesData[[#This Row],[Date]],"mmm")</f>
        <v>Jan</v>
      </c>
      <c r="M348">
        <f>YEAR(SalesData[[#This Row],[Date]])</f>
        <v>2023</v>
      </c>
      <c r="N348">
        <f>WEEKNUM(SalesData[[#This Row],[Date]])</f>
        <v>2</v>
      </c>
      <c r="O348" t="s">
        <v>2437</v>
      </c>
      <c r="P348" t="s">
        <v>2522</v>
      </c>
      <c r="Q348" t="s">
        <v>2525</v>
      </c>
    </row>
    <row r="349" spans="1:17" x14ac:dyDescent="0.35">
      <c r="A349" t="s">
        <v>174</v>
      </c>
      <c r="B349" s="3">
        <v>45244</v>
      </c>
      <c r="C349" t="s">
        <v>2016</v>
      </c>
      <c r="D349" t="s">
        <v>2025</v>
      </c>
      <c r="E349" s="8">
        <v>2311</v>
      </c>
      <c r="F349">
        <v>2</v>
      </c>
      <c r="G349">
        <v>5</v>
      </c>
      <c r="H349" s="8">
        <v>4390.8999999999996</v>
      </c>
      <c r="I349">
        <v>1583.46</v>
      </c>
      <c r="J349">
        <v>1223.98</v>
      </c>
      <c r="K349" s="5">
        <f>IF(SalesData[[#This Row],[Total Revenue]]=0,0,SalesData[[#This Row],[Profit]]/SalesData[[#This Row],[Total Revenue]])</f>
        <v>0.27875378623972308</v>
      </c>
      <c r="L349" s="5" t="str">
        <f>TEXT(SalesData[[#This Row],[Date]],"mmm")</f>
        <v>Nov</v>
      </c>
      <c r="M349">
        <f>YEAR(SalesData[[#This Row],[Date]])</f>
        <v>2023</v>
      </c>
      <c r="N349">
        <f>WEEKNUM(SalesData[[#This Row],[Date]])</f>
        <v>46</v>
      </c>
      <c r="O349" t="s">
        <v>2083</v>
      </c>
      <c r="P349" t="s">
        <v>2522</v>
      </c>
      <c r="Q349" t="s">
        <v>2526</v>
      </c>
    </row>
    <row r="350" spans="1:17" x14ac:dyDescent="0.35">
      <c r="A350" t="s">
        <v>1437</v>
      </c>
      <c r="B350" s="3">
        <v>45142</v>
      </c>
      <c r="C350" t="s">
        <v>2014</v>
      </c>
      <c r="D350" t="s">
        <v>2024</v>
      </c>
      <c r="E350" s="8">
        <v>1098</v>
      </c>
      <c r="F350">
        <v>4</v>
      </c>
      <c r="G350">
        <v>0</v>
      </c>
      <c r="H350" s="8">
        <v>4392</v>
      </c>
      <c r="I350">
        <v>733.66</v>
      </c>
      <c r="J350">
        <v>1457.34</v>
      </c>
      <c r="K350" s="5">
        <f>IF(SalesData[[#This Row],[Total Revenue]]=0,0,SalesData[[#This Row],[Profit]]/SalesData[[#This Row],[Total Revenue]])</f>
        <v>0.33181693989071037</v>
      </c>
      <c r="L350" s="5" t="str">
        <f>TEXT(SalesData[[#This Row],[Date]],"mmm")</f>
        <v>Aug</v>
      </c>
      <c r="M350">
        <f>YEAR(SalesData[[#This Row],[Date]])</f>
        <v>2023</v>
      </c>
      <c r="N350">
        <f>WEEKNUM(SalesData[[#This Row],[Date]])</f>
        <v>31</v>
      </c>
      <c r="O350" t="s">
        <v>2090</v>
      </c>
      <c r="P350" t="s">
        <v>2523</v>
      </c>
      <c r="Q350" t="s">
        <v>2525</v>
      </c>
    </row>
    <row r="351" spans="1:17" x14ac:dyDescent="0.35">
      <c r="A351" t="s">
        <v>224</v>
      </c>
      <c r="B351" s="3">
        <v>44946</v>
      </c>
      <c r="C351" t="s">
        <v>2019</v>
      </c>
      <c r="D351" t="s">
        <v>2027</v>
      </c>
      <c r="E351" s="8">
        <v>1222</v>
      </c>
      <c r="F351">
        <v>4</v>
      </c>
      <c r="G351">
        <v>10</v>
      </c>
      <c r="H351" s="8">
        <v>4399.2</v>
      </c>
      <c r="I351">
        <v>746.43</v>
      </c>
      <c r="J351">
        <v>1413.49</v>
      </c>
      <c r="K351" s="5">
        <f>IF(SalesData[[#This Row],[Total Revenue]]=0,0,SalesData[[#This Row],[Profit]]/SalesData[[#This Row],[Total Revenue]])</f>
        <v>0.32130614657210405</v>
      </c>
      <c r="L351" s="5" t="str">
        <f>TEXT(SalesData[[#This Row],[Date]],"mmm")</f>
        <v>Jan</v>
      </c>
      <c r="M351">
        <f>YEAR(SalesData[[#This Row],[Date]])</f>
        <v>2023</v>
      </c>
      <c r="N351">
        <f>WEEKNUM(SalesData[[#This Row],[Date]])</f>
        <v>3</v>
      </c>
      <c r="O351" t="s">
        <v>2199</v>
      </c>
      <c r="P351" t="s">
        <v>2523</v>
      </c>
      <c r="Q351" t="s">
        <v>2527</v>
      </c>
    </row>
    <row r="352" spans="1:17" x14ac:dyDescent="0.35">
      <c r="A352" t="s">
        <v>519</v>
      </c>
      <c r="B352" s="3">
        <v>45018</v>
      </c>
      <c r="C352" t="s">
        <v>2016</v>
      </c>
      <c r="D352" t="s">
        <v>2025</v>
      </c>
      <c r="E352" s="8">
        <v>4411</v>
      </c>
      <c r="F352">
        <v>1</v>
      </c>
      <c r="G352">
        <v>0</v>
      </c>
      <c r="H352" s="8">
        <v>4411</v>
      </c>
      <c r="I352">
        <v>2955.08</v>
      </c>
      <c r="J352">
        <v>1455.92</v>
      </c>
      <c r="K352" s="5">
        <f>IF(SalesData[[#This Row],[Total Revenue]]=0,0,SalesData[[#This Row],[Profit]]/SalesData[[#This Row],[Total Revenue]])</f>
        <v>0.3300657447290864</v>
      </c>
      <c r="L352" s="5" t="str">
        <f>TEXT(SalesData[[#This Row],[Date]],"mmm")</f>
        <v>Apr</v>
      </c>
      <c r="M352">
        <f>YEAR(SalesData[[#This Row],[Date]])</f>
        <v>2023</v>
      </c>
      <c r="N352">
        <f>WEEKNUM(SalesData[[#This Row],[Date]])</f>
        <v>14</v>
      </c>
      <c r="O352" t="s">
        <v>2342</v>
      </c>
      <c r="P352" t="s">
        <v>2522</v>
      </c>
      <c r="Q352" t="s">
        <v>2526</v>
      </c>
    </row>
    <row r="353" spans="1:17" x14ac:dyDescent="0.35">
      <c r="A353" t="s">
        <v>714</v>
      </c>
      <c r="B353" s="3">
        <v>45103</v>
      </c>
      <c r="C353" t="s">
        <v>2018</v>
      </c>
      <c r="D353" t="s">
        <v>2026</v>
      </c>
      <c r="E353" s="8">
        <v>1551</v>
      </c>
      <c r="F353">
        <v>3</v>
      </c>
      <c r="G353">
        <v>5</v>
      </c>
      <c r="H353" s="8">
        <v>4420.3500000000004</v>
      </c>
      <c r="I353">
        <v>850.49</v>
      </c>
      <c r="J353">
        <v>1868.89</v>
      </c>
      <c r="K353" s="5">
        <f>IF(SalesData[[#This Row],[Total Revenue]]=0,0,SalesData[[#This Row],[Profit]]/SalesData[[#This Row],[Total Revenue]])</f>
        <v>0.42279231282590746</v>
      </c>
      <c r="L353" s="5" t="str">
        <f>TEXT(SalesData[[#This Row],[Date]],"mmm")</f>
        <v>Jun</v>
      </c>
      <c r="M353">
        <f>YEAR(SalesData[[#This Row],[Date]])</f>
        <v>2023</v>
      </c>
      <c r="N353">
        <f>WEEKNUM(SalesData[[#This Row],[Date]])</f>
        <v>26</v>
      </c>
      <c r="O353" t="s">
        <v>2100</v>
      </c>
      <c r="P353" t="s">
        <v>2523</v>
      </c>
      <c r="Q353" t="s">
        <v>2525</v>
      </c>
    </row>
    <row r="354" spans="1:17" x14ac:dyDescent="0.35">
      <c r="A354" t="s">
        <v>1018</v>
      </c>
      <c r="B354" s="3">
        <v>45012</v>
      </c>
      <c r="C354" t="s">
        <v>2022</v>
      </c>
      <c r="D354" t="s">
        <v>2024</v>
      </c>
      <c r="E354" s="8">
        <v>2330</v>
      </c>
      <c r="F354">
        <v>2</v>
      </c>
      <c r="G354">
        <v>5</v>
      </c>
      <c r="H354" s="8">
        <v>4427</v>
      </c>
      <c r="I354">
        <v>1397.22</v>
      </c>
      <c r="J354">
        <v>1632.55</v>
      </c>
      <c r="K354" s="5">
        <f>IF(SalesData[[#This Row],[Total Revenue]]=0,0,SalesData[[#This Row],[Profit]]/SalesData[[#This Row],[Total Revenue]])</f>
        <v>0.36877117686921163</v>
      </c>
      <c r="L354" s="5" t="str">
        <f>TEXT(SalesData[[#This Row],[Date]],"mmm")</f>
        <v>Mar</v>
      </c>
      <c r="M354">
        <f>YEAR(SalesData[[#This Row],[Date]])</f>
        <v>2023</v>
      </c>
      <c r="N354">
        <f>WEEKNUM(SalesData[[#This Row],[Date]])</f>
        <v>13</v>
      </c>
      <c r="O354" t="s">
        <v>2162</v>
      </c>
      <c r="P354" t="s">
        <v>2523</v>
      </c>
      <c r="Q354" t="s">
        <v>2524</v>
      </c>
    </row>
    <row r="355" spans="1:17" x14ac:dyDescent="0.35">
      <c r="A355" t="s">
        <v>103</v>
      </c>
      <c r="B355" s="3">
        <v>44996</v>
      </c>
      <c r="C355" t="s">
        <v>2015</v>
      </c>
      <c r="D355" t="s">
        <v>2025</v>
      </c>
      <c r="E355" s="8">
        <v>1043</v>
      </c>
      <c r="F355">
        <v>5</v>
      </c>
      <c r="G355">
        <v>15</v>
      </c>
      <c r="H355" s="8">
        <v>4432.75</v>
      </c>
      <c r="I355">
        <v>598.77</v>
      </c>
      <c r="J355">
        <v>1438.88</v>
      </c>
      <c r="K355" s="5">
        <f>IF(SalesData[[#This Row],[Total Revenue]]=0,0,SalesData[[#This Row],[Profit]]/SalesData[[#This Row],[Total Revenue]])</f>
        <v>0.32460210930009592</v>
      </c>
      <c r="L355" s="5" t="str">
        <f>TEXT(SalesData[[#This Row],[Date]],"mmm")</f>
        <v>Mar</v>
      </c>
      <c r="M355">
        <f>YEAR(SalesData[[#This Row],[Date]])</f>
        <v>2023</v>
      </c>
      <c r="N355">
        <f>WEEKNUM(SalesData[[#This Row],[Date]])</f>
        <v>10</v>
      </c>
      <c r="O355" t="s">
        <v>2110</v>
      </c>
      <c r="P355" t="s">
        <v>2523</v>
      </c>
      <c r="Q355" t="s">
        <v>2527</v>
      </c>
    </row>
    <row r="356" spans="1:17" x14ac:dyDescent="0.35">
      <c r="A356" t="s">
        <v>710</v>
      </c>
      <c r="B356" s="3">
        <v>45207</v>
      </c>
      <c r="C356" t="s">
        <v>2021</v>
      </c>
      <c r="D356" t="s">
        <v>2028</v>
      </c>
      <c r="E356" s="8">
        <v>1234</v>
      </c>
      <c r="F356">
        <v>4</v>
      </c>
      <c r="G356">
        <v>10</v>
      </c>
      <c r="H356" s="8">
        <v>4442.3999999999996</v>
      </c>
      <c r="I356">
        <v>709.45</v>
      </c>
      <c r="J356">
        <v>1604.62</v>
      </c>
      <c r="K356" s="5">
        <f>IF(SalesData[[#This Row],[Total Revenue]]=0,0,SalesData[[#This Row],[Profit]]/SalesData[[#This Row],[Total Revenue]])</f>
        <v>0.36120565460111653</v>
      </c>
      <c r="L356" s="5" t="str">
        <f>TEXT(SalesData[[#This Row],[Date]],"mmm")</f>
        <v>Oct</v>
      </c>
      <c r="M356">
        <f>YEAR(SalesData[[#This Row],[Date]])</f>
        <v>2023</v>
      </c>
      <c r="N356">
        <f>WEEKNUM(SalesData[[#This Row],[Date]])</f>
        <v>41</v>
      </c>
      <c r="O356" t="s">
        <v>2334</v>
      </c>
      <c r="P356" t="s">
        <v>2523</v>
      </c>
      <c r="Q356" t="s">
        <v>2527</v>
      </c>
    </row>
    <row r="357" spans="1:17" x14ac:dyDescent="0.35">
      <c r="A357" t="s">
        <v>1041</v>
      </c>
      <c r="B357" s="3">
        <v>45095</v>
      </c>
      <c r="C357" t="s">
        <v>2015</v>
      </c>
      <c r="D357" t="s">
        <v>2025</v>
      </c>
      <c r="E357" s="8">
        <v>889</v>
      </c>
      <c r="F357">
        <v>5</v>
      </c>
      <c r="G357">
        <v>0</v>
      </c>
      <c r="H357" s="8">
        <v>4445</v>
      </c>
      <c r="I357">
        <v>472.68</v>
      </c>
      <c r="J357">
        <v>2081.59</v>
      </c>
      <c r="K357" s="5">
        <f>IF(SalesData[[#This Row],[Total Revenue]]=0,0,SalesData[[#This Row],[Profit]]/SalesData[[#This Row],[Total Revenue]])</f>
        <v>0.46829921259842522</v>
      </c>
      <c r="L357" s="5" t="str">
        <f>TEXT(SalesData[[#This Row],[Date]],"mmm")</f>
        <v>Jun</v>
      </c>
      <c r="M357">
        <f>YEAR(SalesData[[#This Row],[Date]])</f>
        <v>2023</v>
      </c>
      <c r="N357">
        <f>WEEKNUM(SalesData[[#This Row],[Date]])</f>
        <v>25</v>
      </c>
      <c r="O357" t="s">
        <v>2346</v>
      </c>
      <c r="P357" t="s">
        <v>2522</v>
      </c>
      <c r="Q357" t="s">
        <v>2525</v>
      </c>
    </row>
    <row r="358" spans="1:17" x14ac:dyDescent="0.35">
      <c r="A358" t="s">
        <v>1189</v>
      </c>
      <c r="B358" s="3">
        <v>45008</v>
      </c>
      <c r="C358" t="s">
        <v>2019</v>
      </c>
      <c r="D358" t="s">
        <v>2027</v>
      </c>
      <c r="E358" s="8">
        <v>2616</v>
      </c>
      <c r="F358">
        <v>2</v>
      </c>
      <c r="G358">
        <v>15</v>
      </c>
      <c r="H358" s="8">
        <v>4447.2</v>
      </c>
      <c r="I358">
        <v>1553.48</v>
      </c>
      <c r="J358">
        <v>1340.24</v>
      </c>
      <c r="K358" s="5">
        <f>IF(SalesData[[#This Row],[Total Revenue]]=0,0,SalesData[[#This Row],[Profit]]/SalesData[[#This Row],[Total Revenue]])</f>
        <v>0.30136715236553341</v>
      </c>
      <c r="L358" s="5" t="str">
        <f>TEXT(SalesData[[#This Row],[Date]],"mmm")</f>
        <v>Mar</v>
      </c>
      <c r="M358">
        <f>YEAR(SalesData[[#This Row],[Date]])</f>
        <v>2023</v>
      </c>
      <c r="N358">
        <f>WEEKNUM(SalesData[[#This Row],[Date]])</f>
        <v>12</v>
      </c>
      <c r="O358" t="s">
        <v>2340</v>
      </c>
      <c r="P358" t="s">
        <v>2522</v>
      </c>
      <c r="Q358" t="s">
        <v>2525</v>
      </c>
    </row>
    <row r="359" spans="1:17" x14ac:dyDescent="0.35">
      <c r="A359" t="s">
        <v>43</v>
      </c>
      <c r="B359" s="3">
        <v>44980</v>
      </c>
      <c r="C359" t="s">
        <v>2021</v>
      </c>
      <c r="D359" t="s">
        <v>2028</v>
      </c>
      <c r="E359" s="8">
        <v>1648</v>
      </c>
      <c r="F359">
        <v>3</v>
      </c>
      <c r="G359">
        <v>10</v>
      </c>
      <c r="H359" s="8">
        <v>4449.6000000000004</v>
      </c>
      <c r="I359">
        <v>1042.92</v>
      </c>
      <c r="J359">
        <v>1320.83</v>
      </c>
      <c r="K359" s="5">
        <f>IF(SalesData[[#This Row],[Total Revenue]]=0,0,SalesData[[#This Row],[Profit]]/SalesData[[#This Row],[Total Revenue]])</f>
        <v>0.29684241280115065</v>
      </c>
      <c r="L359" s="5" t="str">
        <f>TEXT(SalesData[[#This Row],[Date]],"mmm")</f>
        <v>Feb</v>
      </c>
      <c r="M359">
        <f>YEAR(SalesData[[#This Row],[Date]])</f>
        <v>2023</v>
      </c>
      <c r="N359">
        <f>WEEKNUM(SalesData[[#This Row],[Date]])</f>
        <v>8</v>
      </c>
      <c r="O359" t="s">
        <v>2053</v>
      </c>
      <c r="P359" t="s">
        <v>2523</v>
      </c>
      <c r="Q359" t="s">
        <v>2525</v>
      </c>
    </row>
    <row r="360" spans="1:17" x14ac:dyDescent="0.35">
      <c r="A360" t="s">
        <v>729</v>
      </c>
      <c r="B360" s="3">
        <v>44976</v>
      </c>
      <c r="C360" t="s">
        <v>2021</v>
      </c>
      <c r="D360" t="s">
        <v>2028</v>
      </c>
      <c r="E360" s="8">
        <v>4945</v>
      </c>
      <c r="F360">
        <v>1</v>
      </c>
      <c r="G360">
        <v>10</v>
      </c>
      <c r="H360" s="8">
        <v>4450.5</v>
      </c>
      <c r="I360">
        <v>3954.29</v>
      </c>
      <c r="J360">
        <v>496.21</v>
      </c>
      <c r="K360" s="5">
        <f>IF(SalesData[[#This Row],[Total Revenue]]=0,0,SalesData[[#This Row],[Profit]]/SalesData[[#This Row],[Total Revenue]])</f>
        <v>0.11149533760251656</v>
      </c>
      <c r="L360" s="5" t="str">
        <f>TEXT(SalesData[[#This Row],[Date]],"mmm")</f>
        <v>Feb</v>
      </c>
      <c r="M360">
        <f>YEAR(SalesData[[#This Row],[Date]])</f>
        <v>2023</v>
      </c>
      <c r="N360">
        <f>WEEKNUM(SalesData[[#This Row],[Date]])</f>
        <v>8</v>
      </c>
      <c r="O360" t="s">
        <v>2407</v>
      </c>
      <c r="P360" t="s">
        <v>2522</v>
      </c>
      <c r="Q360" t="s">
        <v>2526</v>
      </c>
    </row>
    <row r="361" spans="1:17" x14ac:dyDescent="0.35">
      <c r="A361" t="s">
        <v>502</v>
      </c>
      <c r="B361" s="3">
        <v>45009</v>
      </c>
      <c r="C361" t="s">
        <v>2015</v>
      </c>
      <c r="D361" t="s">
        <v>2025</v>
      </c>
      <c r="E361" s="8">
        <v>4955</v>
      </c>
      <c r="F361">
        <v>1</v>
      </c>
      <c r="G361">
        <v>10</v>
      </c>
      <c r="H361" s="8">
        <v>4459.5</v>
      </c>
      <c r="I361">
        <v>3417</v>
      </c>
      <c r="J361">
        <v>1042.5</v>
      </c>
      <c r="K361" s="5">
        <f>IF(SalesData[[#This Row],[Total Revenue]]=0,0,SalesData[[#This Row],[Profit]]/SalesData[[#This Row],[Total Revenue]])</f>
        <v>0.2337706020854356</v>
      </c>
      <c r="L361" s="5" t="str">
        <f>TEXT(SalesData[[#This Row],[Date]],"mmm")</f>
        <v>Mar</v>
      </c>
      <c r="M361">
        <f>YEAR(SalesData[[#This Row],[Date]])</f>
        <v>2023</v>
      </c>
      <c r="N361">
        <f>WEEKNUM(SalesData[[#This Row],[Date]])</f>
        <v>12</v>
      </c>
      <c r="O361" t="s">
        <v>2337</v>
      </c>
      <c r="P361" t="s">
        <v>2523</v>
      </c>
      <c r="Q361" t="s">
        <v>2525</v>
      </c>
    </row>
    <row r="362" spans="1:17" x14ac:dyDescent="0.35">
      <c r="A362" t="s">
        <v>872</v>
      </c>
      <c r="B362" s="3">
        <v>44973</v>
      </c>
      <c r="C362" t="s">
        <v>2021</v>
      </c>
      <c r="D362" t="s">
        <v>2028</v>
      </c>
      <c r="E362" s="8">
        <v>2628</v>
      </c>
      <c r="F362">
        <v>2</v>
      </c>
      <c r="G362">
        <v>15</v>
      </c>
      <c r="H362" s="8">
        <v>4467.6000000000004</v>
      </c>
      <c r="I362">
        <v>2013.18</v>
      </c>
      <c r="J362">
        <v>441.24</v>
      </c>
      <c r="K362" s="5">
        <f>IF(SalesData[[#This Row],[Total Revenue]]=0,0,SalesData[[#This Row],[Profit]]/SalesData[[#This Row],[Total Revenue]])</f>
        <v>9.8764437281762013E-2</v>
      </c>
      <c r="L362" s="5" t="str">
        <f>TEXT(SalesData[[#This Row],[Date]],"mmm")</f>
        <v>Feb</v>
      </c>
      <c r="M362">
        <f>YEAR(SalesData[[#This Row],[Date]])</f>
        <v>2023</v>
      </c>
      <c r="N362">
        <f>WEEKNUM(SalesData[[#This Row],[Date]])</f>
        <v>7</v>
      </c>
      <c r="O362" t="s">
        <v>2396</v>
      </c>
      <c r="P362" t="s">
        <v>2523</v>
      </c>
      <c r="Q362" t="s">
        <v>2524</v>
      </c>
    </row>
    <row r="363" spans="1:17" x14ac:dyDescent="0.35">
      <c r="A363" t="s">
        <v>1056</v>
      </c>
      <c r="B363" s="3">
        <v>45167</v>
      </c>
      <c r="C363" t="s">
        <v>2016</v>
      </c>
      <c r="D363" t="s">
        <v>2025</v>
      </c>
      <c r="E363" s="8">
        <v>1571</v>
      </c>
      <c r="F363">
        <v>3</v>
      </c>
      <c r="G363">
        <v>5</v>
      </c>
      <c r="H363" s="8">
        <v>4477.3500000000004</v>
      </c>
      <c r="I363">
        <v>1097.3599999999999</v>
      </c>
      <c r="J363">
        <v>1185.26</v>
      </c>
      <c r="K363" s="5">
        <f>IF(SalesData[[#This Row],[Total Revenue]]=0,0,SalesData[[#This Row],[Profit]]/SalesData[[#This Row],[Total Revenue]])</f>
        <v>0.26472355299451683</v>
      </c>
      <c r="L363" s="5" t="str">
        <f>TEXT(SalesData[[#This Row],[Date]],"mmm")</f>
        <v>Aug</v>
      </c>
      <c r="M363">
        <f>YEAR(SalesData[[#This Row],[Date]])</f>
        <v>2023</v>
      </c>
      <c r="N363">
        <f>WEEKNUM(SalesData[[#This Row],[Date]])</f>
        <v>35</v>
      </c>
      <c r="O363" t="s">
        <v>2340</v>
      </c>
      <c r="P363" t="s">
        <v>2522</v>
      </c>
      <c r="Q363" t="s">
        <v>2527</v>
      </c>
    </row>
    <row r="364" spans="1:17" x14ac:dyDescent="0.35">
      <c r="A364" t="s">
        <v>992</v>
      </c>
      <c r="B364" s="3">
        <v>44962</v>
      </c>
      <c r="C364" t="s">
        <v>2022</v>
      </c>
      <c r="D364" t="s">
        <v>2024</v>
      </c>
      <c r="E364" s="8">
        <v>896</v>
      </c>
      <c r="F364">
        <v>5</v>
      </c>
      <c r="G364">
        <v>0</v>
      </c>
      <c r="H364" s="8">
        <v>4480</v>
      </c>
      <c r="I364">
        <v>491.46</v>
      </c>
      <c r="J364">
        <v>2022.68</v>
      </c>
      <c r="K364" s="5">
        <f>IF(SalesData[[#This Row],[Total Revenue]]=0,0,SalesData[[#This Row],[Profit]]/SalesData[[#This Row],[Total Revenue]])</f>
        <v>0.45149107142857142</v>
      </c>
      <c r="L364" s="5" t="str">
        <f>TEXT(SalesData[[#This Row],[Date]],"mmm")</f>
        <v>Feb</v>
      </c>
      <c r="M364">
        <f>YEAR(SalesData[[#This Row],[Date]])</f>
        <v>2023</v>
      </c>
      <c r="N364">
        <f>WEEKNUM(SalesData[[#This Row],[Date]])</f>
        <v>6</v>
      </c>
      <c r="O364" t="s">
        <v>2105</v>
      </c>
      <c r="P364" t="s">
        <v>2523</v>
      </c>
      <c r="Q364" t="s">
        <v>2524</v>
      </c>
    </row>
    <row r="365" spans="1:17" x14ac:dyDescent="0.35">
      <c r="A365" t="s">
        <v>900</v>
      </c>
      <c r="B365" s="3">
        <v>45285</v>
      </c>
      <c r="C365" t="s">
        <v>2019</v>
      </c>
      <c r="D365" t="s">
        <v>2027</v>
      </c>
      <c r="E365" s="8">
        <v>4720</v>
      </c>
      <c r="F365">
        <v>1</v>
      </c>
      <c r="G365">
        <v>5</v>
      </c>
      <c r="H365" s="8">
        <v>4484</v>
      </c>
      <c r="I365">
        <v>2497.9299999999998</v>
      </c>
      <c r="J365">
        <v>1986.07</v>
      </c>
      <c r="K365" s="5">
        <f>IF(SalesData[[#This Row],[Total Revenue]]=0,0,SalesData[[#This Row],[Profit]]/SalesData[[#This Row],[Total Revenue]])</f>
        <v>0.44292372881355929</v>
      </c>
      <c r="L365" s="5" t="str">
        <f>TEXT(SalesData[[#This Row],[Date]],"mmm")</f>
        <v>Dec</v>
      </c>
      <c r="M365">
        <f>YEAR(SalesData[[#This Row],[Date]])</f>
        <v>2023</v>
      </c>
      <c r="N365">
        <f>WEEKNUM(SalesData[[#This Row],[Date]])</f>
        <v>52</v>
      </c>
      <c r="O365" t="s">
        <v>2190</v>
      </c>
      <c r="P365" t="s">
        <v>2522</v>
      </c>
      <c r="Q365" t="s">
        <v>2524</v>
      </c>
    </row>
    <row r="366" spans="1:17" x14ac:dyDescent="0.35">
      <c r="A366" t="s">
        <v>1799</v>
      </c>
      <c r="B366" s="3">
        <v>44966</v>
      </c>
      <c r="C366" t="s">
        <v>2014</v>
      </c>
      <c r="D366" t="s">
        <v>2024</v>
      </c>
      <c r="E366" s="8">
        <v>949</v>
      </c>
      <c r="F366">
        <v>5</v>
      </c>
      <c r="G366">
        <v>5</v>
      </c>
      <c r="H366" s="8">
        <v>4507.75</v>
      </c>
      <c r="I366">
        <v>584.01</v>
      </c>
      <c r="J366">
        <v>1587.71</v>
      </c>
      <c r="K366" s="5">
        <f>IF(SalesData[[#This Row],[Total Revenue]]=0,0,SalesData[[#This Row],[Profit]]/SalesData[[#This Row],[Total Revenue]])</f>
        <v>0.35221784704120684</v>
      </c>
      <c r="L366" s="5" t="str">
        <f>TEXT(SalesData[[#This Row],[Date]],"mmm")</f>
        <v>Feb</v>
      </c>
      <c r="M366">
        <f>YEAR(SalesData[[#This Row],[Date]])</f>
        <v>2023</v>
      </c>
      <c r="N366">
        <f>WEEKNUM(SalesData[[#This Row],[Date]])</f>
        <v>6</v>
      </c>
      <c r="O366" t="s">
        <v>2315</v>
      </c>
      <c r="P366" t="s">
        <v>2523</v>
      </c>
      <c r="Q366" t="s">
        <v>2525</v>
      </c>
    </row>
    <row r="367" spans="1:17" x14ac:dyDescent="0.35">
      <c r="A367" t="s">
        <v>322</v>
      </c>
      <c r="B367" s="3">
        <v>45172</v>
      </c>
      <c r="C367" t="s">
        <v>2013</v>
      </c>
      <c r="D367" t="s">
        <v>2023</v>
      </c>
      <c r="E367" s="8">
        <v>4530</v>
      </c>
      <c r="F367">
        <v>1</v>
      </c>
      <c r="G367">
        <v>0</v>
      </c>
      <c r="H367" s="8">
        <v>4530</v>
      </c>
      <c r="I367">
        <v>3442.42</v>
      </c>
      <c r="J367">
        <v>1087.58</v>
      </c>
      <c r="K367" s="5">
        <f>IF(SalesData[[#This Row],[Total Revenue]]=0,0,SalesData[[#This Row],[Profit]]/SalesData[[#This Row],[Total Revenue]])</f>
        <v>0.24008388520971302</v>
      </c>
      <c r="L367" s="5" t="str">
        <f>TEXT(SalesData[[#This Row],[Date]],"mmm")</f>
        <v>Sep</v>
      </c>
      <c r="M367">
        <f>YEAR(SalesData[[#This Row],[Date]])</f>
        <v>2023</v>
      </c>
      <c r="N367">
        <f>WEEKNUM(SalesData[[#This Row],[Date]])</f>
        <v>36</v>
      </c>
      <c r="O367" t="s">
        <v>2258</v>
      </c>
      <c r="P367" t="s">
        <v>2523</v>
      </c>
      <c r="Q367" t="s">
        <v>2527</v>
      </c>
    </row>
    <row r="368" spans="1:17" x14ac:dyDescent="0.35">
      <c r="A368" t="s">
        <v>771</v>
      </c>
      <c r="B368" s="3">
        <v>45108</v>
      </c>
      <c r="C368" t="s">
        <v>2022</v>
      </c>
      <c r="D368" t="s">
        <v>2024</v>
      </c>
      <c r="E368" s="8">
        <v>907</v>
      </c>
      <c r="F368">
        <v>5</v>
      </c>
      <c r="G368">
        <v>0</v>
      </c>
      <c r="H368" s="8">
        <v>4535</v>
      </c>
      <c r="I368">
        <v>491.47</v>
      </c>
      <c r="J368">
        <v>2077.63</v>
      </c>
      <c r="K368" s="5">
        <f>IF(SalesData[[#This Row],[Total Revenue]]=0,0,SalesData[[#This Row],[Profit]]/SalesData[[#This Row],[Total Revenue]])</f>
        <v>0.45813230429988977</v>
      </c>
      <c r="L368" s="5" t="str">
        <f>TEXT(SalesData[[#This Row],[Date]],"mmm")</f>
        <v>Jul</v>
      </c>
      <c r="M368">
        <f>YEAR(SalesData[[#This Row],[Date]])</f>
        <v>2023</v>
      </c>
      <c r="N368">
        <f>WEEKNUM(SalesData[[#This Row],[Date]])</f>
        <v>26</v>
      </c>
      <c r="O368" t="s">
        <v>2064</v>
      </c>
      <c r="P368" t="s">
        <v>2523</v>
      </c>
      <c r="Q368" t="s">
        <v>2526</v>
      </c>
    </row>
    <row r="369" spans="1:17" x14ac:dyDescent="0.35">
      <c r="A369" t="s">
        <v>1304</v>
      </c>
      <c r="B369" s="3">
        <v>45052</v>
      </c>
      <c r="C369" t="s">
        <v>2018</v>
      </c>
      <c r="D369" t="s">
        <v>2026</v>
      </c>
      <c r="E369" s="8">
        <v>4794</v>
      </c>
      <c r="F369">
        <v>1</v>
      </c>
      <c r="G369">
        <v>5</v>
      </c>
      <c r="H369" s="8">
        <v>4554.3</v>
      </c>
      <c r="I369">
        <v>2785.98</v>
      </c>
      <c r="J369">
        <v>1768.32</v>
      </c>
      <c r="K369" s="5">
        <f>IF(SalesData[[#This Row],[Total Revenue]]=0,0,SalesData[[#This Row],[Profit]]/SalesData[[#This Row],[Total Revenue]])</f>
        <v>0.38827481720571766</v>
      </c>
      <c r="L369" s="5" t="str">
        <f>TEXT(SalesData[[#This Row],[Date]],"mmm")</f>
        <v>May</v>
      </c>
      <c r="M369">
        <f>YEAR(SalesData[[#This Row],[Date]])</f>
        <v>2023</v>
      </c>
      <c r="N369">
        <f>WEEKNUM(SalesData[[#This Row],[Date]])</f>
        <v>18</v>
      </c>
      <c r="O369" t="s">
        <v>2462</v>
      </c>
      <c r="P369" t="s">
        <v>2523</v>
      </c>
      <c r="Q369" t="s">
        <v>2525</v>
      </c>
    </row>
    <row r="370" spans="1:17" x14ac:dyDescent="0.35">
      <c r="A370" t="s">
        <v>1527</v>
      </c>
      <c r="B370" s="3">
        <v>45027</v>
      </c>
      <c r="C370" t="s">
        <v>2022</v>
      </c>
      <c r="D370" t="s">
        <v>2024</v>
      </c>
      <c r="E370" s="8">
        <v>1199</v>
      </c>
      <c r="F370">
        <v>4</v>
      </c>
      <c r="G370">
        <v>5</v>
      </c>
      <c r="H370" s="8">
        <v>4556.2</v>
      </c>
      <c r="I370">
        <v>813.05</v>
      </c>
      <c r="J370">
        <v>1303.99</v>
      </c>
      <c r="K370" s="5">
        <f>IF(SalesData[[#This Row],[Total Revenue]]=0,0,SalesData[[#This Row],[Profit]]/SalesData[[#This Row],[Total Revenue]])</f>
        <v>0.28620122031517492</v>
      </c>
      <c r="L370" s="5" t="str">
        <f>TEXT(SalesData[[#This Row],[Date]],"mmm")</f>
        <v>Apr</v>
      </c>
      <c r="M370">
        <f>YEAR(SalesData[[#This Row],[Date]])</f>
        <v>2023</v>
      </c>
      <c r="N370">
        <f>WEEKNUM(SalesData[[#This Row],[Date]])</f>
        <v>15</v>
      </c>
      <c r="O370" t="s">
        <v>2507</v>
      </c>
      <c r="P370" t="s">
        <v>2523</v>
      </c>
      <c r="Q370" t="s">
        <v>2526</v>
      </c>
    </row>
    <row r="371" spans="1:17" x14ac:dyDescent="0.35">
      <c r="A371" t="s">
        <v>1371</v>
      </c>
      <c r="B371" s="3">
        <v>44950</v>
      </c>
      <c r="C371" t="s">
        <v>2014</v>
      </c>
      <c r="D371" t="s">
        <v>2024</v>
      </c>
      <c r="E371" s="8">
        <v>4803</v>
      </c>
      <c r="F371">
        <v>1</v>
      </c>
      <c r="G371">
        <v>5</v>
      </c>
      <c r="H371" s="8">
        <v>4562.8500000000004</v>
      </c>
      <c r="I371">
        <v>3410.47</v>
      </c>
      <c r="J371">
        <v>1152.3800000000001</v>
      </c>
      <c r="K371" s="5">
        <f>IF(SalesData[[#This Row],[Total Revenue]]=0,0,SalesData[[#This Row],[Profit]]/SalesData[[#This Row],[Total Revenue]])</f>
        <v>0.2525570641156295</v>
      </c>
      <c r="L371" s="5" t="str">
        <f>TEXT(SalesData[[#This Row],[Date]],"mmm")</f>
        <v>Jan</v>
      </c>
      <c r="M371">
        <f>YEAR(SalesData[[#This Row],[Date]])</f>
        <v>2023</v>
      </c>
      <c r="N371">
        <f>WEEKNUM(SalesData[[#This Row],[Date]])</f>
        <v>4</v>
      </c>
      <c r="O371" t="s">
        <v>2112</v>
      </c>
      <c r="P371" t="s">
        <v>2522</v>
      </c>
      <c r="Q371" t="s">
        <v>2524</v>
      </c>
    </row>
    <row r="372" spans="1:17" x14ac:dyDescent="0.35">
      <c r="A372" t="s">
        <v>576</v>
      </c>
      <c r="B372" s="3">
        <v>45026</v>
      </c>
      <c r="C372" t="s">
        <v>2014</v>
      </c>
      <c r="D372" t="s">
        <v>2024</v>
      </c>
      <c r="E372" s="8">
        <v>1793</v>
      </c>
      <c r="F372">
        <v>3</v>
      </c>
      <c r="G372">
        <v>15</v>
      </c>
      <c r="H372" s="8">
        <v>4572.1499999999996</v>
      </c>
      <c r="I372">
        <v>1228.57</v>
      </c>
      <c r="J372">
        <v>886.44</v>
      </c>
      <c r="K372" s="5">
        <f>IF(SalesData[[#This Row],[Total Revenue]]=0,0,SalesData[[#This Row],[Profit]]/SalesData[[#This Row],[Total Revenue]])</f>
        <v>0.19387815360388441</v>
      </c>
      <c r="L372" s="5" t="str">
        <f>TEXT(SalesData[[#This Row],[Date]],"mmm")</f>
        <v>Apr</v>
      </c>
      <c r="M372">
        <f>YEAR(SalesData[[#This Row],[Date]])</f>
        <v>2023</v>
      </c>
      <c r="N372">
        <f>WEEKNUM(SalesData[[#This Row],[Date]])</f>
        <v>15</v>
      </c>
      <c r="O372" t="s">
        <v>2363</v>
      </c>
      <c r="P372" t="s">
        <v>2522</v>
      </c>
      <c r="Q372" t="s">
        <v>2525</v>
      </c>
    </row>
    <row r="373" spans="1:17" x14ac:dyDescent="0.35">
      <c r="A373" t="s">
        <v>87</v>
      </c>
      <c r="B373" s="3">
        <v>45050</v>
      </c>
      <c r="C373" t="s">
        <v>2018</v>
      </c>
      <c r="D373" t="s">
        <v>2026</v>
      </c>
      <c r="E373" s="8">
        <v>2545</v>
      </c>
      <c r="F373">
        <v>2</v>
      </c>
      <c r="G373">
        <v>10</v>
      </c>
      <c r="H373" s="8">
        <v>4581</v>
      </c>
      <c r="I373">
        <v>1633.85</v>
      </c>
      <c r="J373">
        <v>1313.31</v>
      </c>
      <c r="K373" s="5">
        <f>IF(SalesData[[#This Row],[Total Revenue]]=0,0,SalesData[[#This Row],[Profit]]/SalesData[[#This Row],[Total Revenue]])</f>
        <v>0.28668631303208902</v>
      </c>
      <c r="L373" s="5" t="str">
        <f>TEXT(SalesData[[#This Row],[Date]],"mmm")</f>
        <v>May</v>
      </c>
      <c r="M373">
        <f>YEAR(SalesData[[#This Row],[Date]])</f>
        <v>2023</v>
      </c>
      <c r="N373">
        <f>WEEKNUM(SalesData[[#This Row],[Date]])</f>
        <v>18</v>
      </c>
      <c r="O373" t="s">
        <v>2095</v>
      </c>
      <c r="P373" t="s">
        <v>2522</v>
      </c>
      <c r="Q373" t="s">
        <v>2527</v>
      </c>
    </row>
    <row r="374" spans="1:17" x14ac:dyDescent="0.35">
      <c r="A374" t="s">
        <v>1485</v>
      </c>
      <c r="B374" s="3">
        <v>45227</v>
      </c>
      <c r="C374" t="s">
        <v>2019</v>
      </c>
      <c r="D374" t="s">
        <v>2027</v>
      </c>
      <c r="E374" s="8">
        <v>1080</v>
      </c>
      <c r="F374">
        <v>5</v>
      </c>
      <c r="G374">
        <v>15</v>
      </c>
      <c r="H374" s="8">
        <v>4590</v>
      </c>
      <c r="I374">
        <v>706.29</v>
      </c>
      <c r="J374">
        <v>1058.54</v>
      </c>
      <c r="K374" s="5">
        <f>IF(SalesData[[#This Row],[Total Revenue]]=0,0,SalesData[[#This Row],[Profit]]/SalesData[[#This Row],[Total Revenue]])</f>
        <v>0.23061873638344227</v>
      </c>
      <c r="L374" s="5" t="str">
        <f>TEXT(SalesData[[#This Row],[Date]],"mmm")</f>
        <v>Oct</v>
      </c>
      <c r="M374">
        <f>YEAR(SalesData[[#This Row],[Date]])</f>
        <v>2023</v>
      </c>
      <c r="N374">
        <f>WEEKNUM(SalesData[[#This Row],[Date]])</f>
        <v>43</v>
      </c>
      <c r="O374" t="s">
        <v>2190</v>
      </c>
      <c r="P374" t="s">
        <v>2522</v>
      </c>
      <c r="Q374" t="s">
        <v>2524</v>
      </c>
    </row>
    <row r="375" spans="1:17" x14ac:dyDescent="0.35">
      <c r="A375" t="s">
        <v>605</v>
      </c>
      <c r="B375" s="3">
        <v>45189</v>
      </c>
      <c r="C375" t="s">
        <v>2013</v>
      </c>
      <c r="D375" t="s">
        <v>2023</v>
      </c>
      <c r="E375" s="8">
        <v>4591</v>
      </c>
      <c r="F375">
        <v>1</v>
      </c>
      <c r="G375">
        <v>0</v>
      </c>
      <c r="H375" s="8">
        <v>4591</v>
      </c>
      <c r="I375">
        <v>3608.67</v>
      </c>
      <c r="J375">
        <v>982.33</v>
      </c>
      <c r="K375" s="5">
        <f>IF(SalesData[[#This Row],[Total Revenue]]=0,0,SalesData[[#This Row],[Profit]]/SalesData[[#This Row],[Total Revenue]])</f>
        <v>0.21396863428446963</v>
      </c>
      <c r="L375" s="5" t="str">
        <f>TEXT(SalesData[[#This Row],[Date]],"mmm")</f>
        <v>Sep</v>
      </c>
      <c r="M375">
        <f>YEAR(SalesData[[#This Row],[Date]])</f>
        <v>2023</v>
      </c>
      <c r="N375">
        <f>WEEKNUM(SalesData[[#This Row],[Date]])</f>
        <v>38</v>
      </c>
      <c r="O375" t="s">
        <v>2320</v>
      </c>
      <c r="P375" t="s">
        <v>2523</v>
      </c>
      <c r="Q375" t="s">
        <v>2525</v>
      </c>
    </row>
    <row r="376" spans="1:17" x14ac:dyDescent="0.35">
      <c r="A376" t="s">
        <v>1423</v>
      </c>
      <c r="B376" s="3">
        <v>45088</v>
      </c>
      <c r="C376" t="s">
        <v>2020</v>
      </c>
      <c r="D376" t="s">
        <v>2028</v>
      </c>
      <c r="E376" s="8">
        <v>2420</v>
      </c>
      <c r="F376">
        <v>2</v>
      </c>
      <c r="G376">
        <v>5</v>
      </c>
      <c r="H376" s="8">
        <v>4598</v>
      </c>
      <c r="I376">
        <v>1480.84</v>
      </c>
      <c r="J376">
        <v>1636.32</v>
      </c>
      <c r="K376" s="5">
        <f>IF(SalesData[[#This Row],[Total Revenue]]=0,0,SalesData[[#This Row],[Profit]]/SalesData[[#This Row],[Total Revenue]])</f>
        <v>0.35587646802957806</v>
      </c>
      <c r="L376" s="5" t="str">
        <f>TEXT(SalesData[[#This Row],[Date]],"mmm")</f>
        <v>Jun</v>
      </c>
      <c r="M376">
        <f>YEAR(SalesData[[#This Row],[Date]])</f>
        <v>2023</v>
      </c>
      <c r="N376">
        <f>WEEKNUM(SalesData[[#This Row],[Date]])</f>
        <v>24</v>
      </c>
      <c r="O376" t="s">
        <v>2438</v>
      </c>
      <c r="P376" t="s">
        <v>2522</v>
      </c>
      <c r="Q376" t="s">
        <v>2525</v>
      </c>
    </row>
    <row r="377" spans="1:17" x14ac:dyDescent="0.35">
      <c r="A377" t="s">
        <v>1655</v>
      </c>
      <c r="B377" s="3">
        <v>45272</v>
      </c>
      <c r="C377" t="s">
        <v>2018</v>
      </c>
      <c r="D377" t="s">
        <v>2026</v>
      </c>
      <c r="E377" s="8">
        <v>4619</v>
      </c>
      <c r="F377">
        <v>1</v>
      </c>
      <c r="G377">
        <v>0</v>
      </c>
      <c r="H377" s="8">
        <v>4619</v>
      </c>
      <c r="I377">
        <v>3434.16</v>
      </c>
      <c r="J377">
        <v>1184.8399999999999</v>
      </c>
      <c r="K377" s="5">
        <f>IF(SalesData[[#This Row],[Total Revenue]]=0,0,SalesData[[#This Row],[Profit]]/SalesData[[#This Row],[Total Revenue]])</f>
        <v>0.25651439705563972</v>
      </c>
      <c r="L377" s="5" t="str">
        <f>TEXT(SalesData[[#This Row],[Date]],"mmm")</f>
        <v>Dec</v>
      </c>
      <c r="M377">
        <f>YEAR(SalesData[[#This Row],[Date]])</f>
        <v>2023</v>
      </c>
      <c r="N377">
        <f>WEEKNUM(SalesData[[#This Row],[Date]])</f>
        <v>50</v>
      </c>
      <c r="O377" t="s">
        <v>2414</v>
      </c>
      <c r="P377" t="s">
        <v>2522</v>
      </c>
      <c r="Q377" t="s">
        <v>2524</v>
      </c>
    </row>
    <row r="378" spans="1:17" x14ac:dyDescent="0.35">
      <c r="A378" t="s">
        <v>65</v>
      </c>
      <c r="B378" s="3">
        <v>45102</v>
      </c>
      <c r="C378" t="s">
        <v>2020</v>
      </c>
      <c r="D378" t="s">
        <v>2028</v>
      </c>
      <c r="E378" s="8">
        <v>4626</v>
      </c>
      <c r="F378">
        <v>1</v>
      </c>
      <c r="G378">
        <v>0</v>
      </c>
      <c r="H378" s="8">
        <v>4626</v>
      </c>
      <c r="I378">
        <v>2495.9699999999998</v>
      </c>
      <c r="J378">
        <v>2130.0300000000002</v>
      </c>
      <c r="K378" s="5">
        <f>IF(SalesData[[#This Row],[Total Revenue]]=0,0,SalesData[[#This Row],[Profit]]/SalesData[[#This Row],[Total Revenue]])</f>
        <v>0.46044747081712067</v>
      </c>
      <c r="L378" s="5" t="str">
        <f>TEXT(SalesData[[#This Row],[Date]],"mmm")</f>
        <v>Jun</v>
      </c>
      <c r="M378">
        <f>YEAR(SalesData[[#This Row],[Date]])</f>
        <v>2023</v>
      </c>
      <c r="N378">
        <f>WEEKNUM(SalesData[[#This Row],[Date]])</f>
        <v>26</v>
      </c>
      <c r="O378" t="s">
        <v>2076</v>
      </c>
      <c r="P378" t="s">
        <v>2522</v>
      </c>
      <c r="Q378" t="s">
        <v>2527</v>
      </c>
    </row>
    <row r="379" spans="1:17" x14ac:dyDescent="0.35">
      <c r="A379" t="s">
        <v>763</v>
      </c>
      <c r="B379" s="3">
        <v>45017</v>
      </c>
      <c r="C379" t="s">
        <v>2022</v>
      </c>
      <c r="D379" t="s">
        <v>2024</v>
      </c>
      <c r="E379" s="8">
        <v>2580</v>
      </c>
      <c r="F379">
        <v>2</v>
      </c>
      <c r="G379">
        <v>10</v>
      </c>
      <c r="H379" s="8">
        <v>4644</v>
      </c>
      <c r="I379">
        <v>1529.55</v>
      </c>
      <c r="J379">
        <v>1584.9</v>
      </c>
      <c r="K379" s="5">
        <f>IF(SalesData[[#This Row],[Total Revenue]]=0,0,SalesData[[#This Row],[Profit]]/SalesData[[#This Row],[Total Revenue]])</f>
        <v>0.34127906976744188</v>
      </c>
      <c r="L379" s="5" t="str">
        <f>TEXT(SalesData[[#This Row],[Date]],"mmm")</f>
        <v>Apr</v>
      </c>
      <c r="M379">
        <f>YEAR(SalesData[[#This Row],[Date]])</f>
        <v>2023</v>
      </c>
      <c r="N379">
        <f>WEEKNUM(SalesData[[#This Row],[Date]])</f>
        <v>13</v>
      </c>
      <c r="O379" t="s">
        <v>2221</v>
      </c>
      <c r="P379" t="s">
        <v>2523</v>
      </c>
      <c r="Q379" t="s">
        <v>2524</v>
      </c>
    </row>
    <row r="380" spans="1:17" x14ac:dyDescent="0.35">
      <c r="A380" t="s">
        <v>1677</v>
      </c>
      <c r="B380" s="3">
        <v>45047</v>
      </c>
      <c r="C380" t="s">
        <v>2013</v>
      </c>
      <c r="D380" t="s">
        <v>2023</v>
      </c>
      <c r="E380" s="8">
        <v>4893</v>
      </c>
      <c r="F380">
        <v>1</v>
      </c>
      <c r="G380">
        <v>5</v>
      </c>
      <c r="H380" s="8">
        <v>4648.3500000000004</v>
      </c>
      <c r="I380">
        <v>3180.94</v>
      </c>
      <c r="J380">
        <v>1467.41</v>
      </c>
      <c r="K380" s="5">
        <f>IF(SalesData[[#This Row],[Total Revenue]]=0,0,SalesData[[#This Row],[Profit]]/SalesData[[#This Row],[Total Revenue]])</f>
        <v>0.31568405993524584</v>
      </c>
      <c r="L380" s="5" t="str">
        <f>TEXT(SalesData[[#This Row],[Date]],"mmm")</f>
        <v>May</v>
      </c>
      <c r="M380">
        <f>YEAR(SalesData[[#This Row],[Date]])</f>
        <v>2023</v>
      </c>
      <c r="N380">
        <f>WEEKNUM(SalesData[[#This Row],[Date]])</f>
        <v>18</v>
      </c>
      <c r="O380" t="s">
        <v>2514</v>
      </c>
      <c r="P380" t="s">
        <v>2522</v>
      </c>
      <c r="Q380" t="s">
        <v>2527</v>
      </c>
    </row>
    <row r="381" spans="1:17" x14ac:dyDescent="0.35">
      <c r="A381" t="s">
        <v>1271</v>
      </c>
      <c r="B381" s="3">
        <v>44951</v>
      </c>
      <c r="C381" t="s">
        <v>2019</v>
      </c>
      <c r="D381" t="s">
        <v>2027</v>
      </c>
      <c r="E381" s="8">
        <v>1823</v>
      </c>
      <c r="F381">
        <v>3</v>
      </c>
      <c r="G381">
        <v>15</v>
      </c>
      <c r="H381" s="8">
        <v>4648.6499999999996</v>
      </c>
      <c r="I381">
        <v>1438.74</v>
      </c>
      <c r="J381">
        <v>332.42</v>
      </c>
      <c r="K381" s="5">
        <f>IF(SalesData[[#This Row],[Total Revenue]]=0,0,SalesData[[#This Row],[Profit]]/SalesData[[#This Row],[Total Revenue]])</f>
        <v>7.1508932700891661E-2</v>
      </c>
      <c r="L381" s="5" t="str">
        <f>TEXT(SalesData[[#This Row],[Date]],"mmm")</f>
        <v>Jan</v>
      </c>
      <c r="M381">
        <f>YEAR(SalesData[[#This Row],[Date]])</f>
        <v>2023</v>
      </c>
      <c r="N381">
        <f>WEEKNUM(SalesData[[#This Row],[Date]])</f>
        <v>4</v>
      </c>
      <c r="O381" t="s">
        <v>2126</v>
      </c>
      <c r="P381" t="s">
        <v>2523</v>
      </c>
      <c r="Q381" t="s">
        <v>2526</v>
      </c>
    </row>
    <row r="382" spans="1:17" x14ac:dyDescent="0.35">
      <c r="A382" t="s">
        <v>1535</v>
      </c>
      <c r="B382" s="3">
        <v>45068</v>
      </c>
      <c r="C382" t="s">
        <v>2017</v>
      </c>
      <c r="D382" t="s">
        <v>2026</v>
      </c>
      <c r="E382" s="8">
        <v>2735</v>
      </c>
      <c r="F382">
        <v>2</v>
      </c>
      <c r="G382">
        <v>15</v>
      </c>
      <c r="H382" s="8">
        <v>4649.5</v>
      </c>
      <c r="I382">
        <v>1817.2</v>
      </c>
      <c r="J382">
        <v>1015.1</v>
      </c>
      <c r="K382" s="5">
        <f>IF(SalesData[[#This Row],[Total Revenue]]=0,0,SalesData[[#This Row],[Profit]]/SalesData[[#This Row],[Total Revenue]])</f>
        <v>0.21832455102699216</v>
      </c>
      <c r="L382" s="5" t="str">
        <f>TEXT(SalesData[[#This Row],[Date]],"mmm")</f>
        <v>May</v>
      </c>
      <c r="M382">
        <f>YEAR(SalesData[[#This Row],[Date]])</f>
        <v>2023</v>
      </c>
      <c r="N382">
        <f>WEEKNUM(SalesData[[#This Row],[Date]])</f>
        <v>21</v>
      </c>
      <c r="O382" t="s">
        <v>2104</v>
      </c>
      <c r="P382" t="s">
        <v>2523</v>
      </c>
      <c r="Q382" t="s">
        <v>2526</v>
      </c>
    </row>
    <row r="383" spans="1:17" x14ac:dyDescent="0.35">
      <c r="A383" t="s">
        <v>1259</v>
      </c>
      <c r="B383" s="3">
        <v>45099</v>
      </c>
      <c r="C383" t="s">
        <v>2019</v>
      </c>
      <c r="D383" t="s">
        <v>2027</v>
      </c>
      <c r="E383" s="8">
        <v>2742</v>
      </c>
      <c r="F383">
        <v>2</v>
      </c>
      <c r="G383">
        <v>15</v>
      </c>
      <c r="H383" s="8">
        <v>4661.3999999999996</v>
      </c>
      <c r="I383">
        <v>1507</v>
      </c>
      <c r="J383">
        <v>1647.41</v>
      </c>
      <c r="K383" s="5">
        <f>IF(SalesData[[#This Row],[Total Revenue]]=0,0,SalesData[[#This Row],[Profit]]/SalesData[[#This Row],[Total Revenue]])</f>
        <v>0.35341528296220026</v>
      </c>
      <c r="L383" s="5" t="str">
        <f>TEXT(SalesData[[#This Row],[Date]],"mmm")</f>
        <v>Jun</v>
      </c>
      <c r="M383">
        <f>YEAR(SalesData[[#This Row],[Date]])</f>
        <v>2023</v>
      </c>
      <c r="N383">
        <f>WEEKNUM(SalesData[[#This Row],[Date]])</f>
        <v>25</v>
      </c>
      <c r="O383" t="s">
        <v>2393</v>
      </c>
      <c r="P383" t="s">
        <v>2522</v>
      </c>
      <c r="Q383" t="s">
        <v>2524</v>
      </c>
    </row>
    <row r="384" spans="1:17" x14ac:dyDescent="0.35">
      <c r="A384" t="s">
        <v>496</v>
      </c>
      <c r="B384" s="3">
        <v>44935</v>
      </c>
      <c r="C384" t="s">
        <v>2017</v>
      </c>
      <c r="D384" t="s">
        <v>2026</v>
      </c>
      <c r="E384" s="8">
        <v>4686</v>
      </c>
      <c r="F384">
        <v>1</v>
      </c>
      <c r="G384">
        <v>0</v>
      </c>
      <c r="H384" s="8">
        <v>4686</v>
      </c>
      <c r="I384">
        <v>2813.01</v>
      </c>
      <c r="J384">
        <v>1872.99</v>
      </c>
      <c r="K384" s="5">
        <f>IF(SalesData[[#This Row],[Total Revenue]]=0,0,SalesData[[#This Row],[Profit]]/SalesData[[#This Row],[Total Revenue]])</f>
        <v>0.39969910371318823</v>
      </c>
      <c r="L384" s="5" t="str">
        <f>TEXT(SalesData[[#This Row],[Date]],"mmm")</f>
        <v>Jan</v>
      </c>
      <c r="M384">
        <f>YEAR(SalesData[[#This Row],[Date]])</f>
        <v>2023</v>
      </c>
      <c r="N384">
        <f>WEEKNUM(SalesData[[#This Row],[Date]])</f>
        <v>2</v>
      </c>
      <c r="O384" t="s">
        <v>2034</v>
      </c>
      <c r="P384" t="s">
        <v>2522</v>
      </c>
      <c r="Q384" t="s">
        <v>2526</v>
      </c>
    </row>
    <row r="385" spans="1:17" x14ac:dyDescent="0.35">
      <c r="A385" t="s">
        <v>1844</v>
      </c>
      <c r="B385" s="3">
        <v>45080</v>
      </c>
      <c r="C385" t="s">
        <v>2016</v>
      </c>
      <c r="D385" t="s">
        <v>2025</v>
      </c>
      <c r="E385" s="8">
        <v>2354</v>
      </c>
      <c r="F385">
        <v>2</v>
      </c>
      <c r="G385">
        <v>0</v>
      </c>
      <c r="H385" s="8">
        <v>4708</v>
      </c>
      <c r="I385">
        <v>1735.15</v>
      </c>
      <c r="J385">
        <v>1237.7</v>
      </c>
      <c r="K385" s="5">
        <f>IF(SalesData[[#This Row],[Total Revenue]]=0,0,SalesData[[#This Row],[Profit]]/SalesData[[#This Row],[Total Revenue]])</f>
        <v>0.26289294817332204</v>
      </c>
      <c r="L385" s="5" t="str">
        <f>TEXT(SalesData[[#This Row],[Date]],"mmm")</f>
        <v>Jun</v>
      </c>
      <c r="M385">
        <f>YEAR(SalesData[[#This Row],[Date]])</f>
        <v>2023</v>
      </c>
      <c r="N385">
        <f>WEEKNUM(SalesData[[#This Row],[Date]])</f>
        <v>22</v>
      </c>
      <c r="O385" t="s">
        <v>2290</v>
      </c>
      <c r="P385" t="s">
        <v>2523</v>
      </c>
      <c r="Q385" t="s">
        <v>2527</v>
      </c>
    </row>
    <row r="386" spans="1:17" x14ac:dyDescent="0.35">
      <c r="A386" t="s">
        <v>1555</v>
      </c>
      <c r="B386" s="3">
        <v>45220</v>
      </c>
      <c r="C386" t="s">
        <v>2022</v>
      </c>
      <c r="D386" t="s">
        <v>2024</v>
      </c>
      <c r="E386" s="8">
        <v>1652</v>
      </c>
      <c r="F386">
        <v>3</v>
      </c>
      <c r="G386">
        <v>5</v>
      </c>
      <c r="H386" s="8">
        <v>4708.2</v>
      </c>
      <c r="I386">
        <v>1242.3900000000001</v>
      </c>
      <c r="J386">
        <v>981.02</v>
      </c>
      <c r="K386" s="5">
        <f>IF(SalesData[[#This Row],[Total Revenue]]=0,0,SalesData[[#This Row],[Profit]]/SalesData[[#This Row],[Total Revenue]])</f>
        <v>0.20836413066564718</v>
      </c>
      <c r="L386" s="5" t="str">
        <f>TEXT(SalesData[[#This Row],[Date]],"mmm")</f>
        <v>Oct</v>
      </c>
      <c r="M386">
        <f>YEAR(SalesData[[#This Row],[Date]])</f>
        <v>2023</v>
      </c>
      <c r="N386">
        <f>WEEKNUM(SalesData[[#This Row],[Date]])</f>
        <v>42</v>
      </c>
      <c r="O386" t="s">
        <v>2266</v>
      </c>
      <c r="P386" t="s">
        <v>2523</v>
      </c>
      <c r="Q386" t="s">
        <v>2527</v>
      </c>
    </row>
    <row r="387" spans="1:17" x14ac:dyDescent="0.35">
      <c r="A387" t="s">
        <v>48</v>
      </c>
      <c r="B387" s="3">
        <v>45078</v>
      </c>
      <c r="C387" t="s">
        <v>2015</v>
      </c>
      <c r="D387" t="s">
        <v>2025</v>
      </c>
      <c r="E387" s="8">
        <v>1570</v>
      </c>
      <c r="F387">
        <v>3</v>
      </c>
      <c r="G387">
        <v>0</v>
      </c>
      <c r="H387" s="8">
        <v>4710</v>
      </c>
      <c r="I387">
        <v>1132.3900000000001</v>
      </c>
      <c r="J387">
        <v>1312.84</v>
      </c>
      <c r="K387" s="5">
        <f>IF(SalesData[[#This Row],[Total Revenue]]=0,0,SalesData[[#This Row],[Profit]]/SalesData[[#This Row],[Total Revenue]])</f>
        <v>0.27873460721868365</v>
      </c>
      <c r="L387" s="5" t="str">
        <f>TEXT(SalesData[[#This Row],[Date]],"mmm")</f>
        <v>Jun</v>
      </c>
      <c r="M387">
        <f>YEAR(SalesData[[#This Row],[Date]])</f>
        <v>2023</v>
      </c>
      <c r="N387">
        <f>WEEKNUM(SalesData[[#This Row],[Date]])</f>
        <v>22</v>
      </c>
      <c r="O387" t="s">
        <v>2060</v>
      </c>
      <c r="P387" t="s">
        <v>2522</v>
      </c>
      <c r="Q387" t="s">
        <v>2525</v>
      </c>
    </row>
    <row r="388" spans="1:17" x14ac:dyDescent="0.35">
      <c r="A388" t="s">
        <v>1011</v>
      </c>
      <c r="B388" s="3">
        <v>45009</v>
      </c>
      <c r="C388" t="s">
        <v>2019</v>
      </c>
      <c r="D388" t="s">
        <v>2027</v>
      </c>
      <c r="E388" s="8">
        <v>4964</v>
      </c>
      <c r="F388">
        <v>1</v>
      </c>
      <c r="G388">
        <v>5</v>
      </c>
      <c r="H388" s="8">
        <v>4715.8</v>
      </c>
      <c r="I388">
        <v>2725.03</v>
      </c>
      <c r="J388">
        <v>1990.77</v>
      </c>
      <c r="K388" s="5">
        <f>IF(SalesData[[#This Row],[Total Revenue]]=0,0,SalesData[[#This Row],[Profit]]/SalesData[[#This Row],[Total Revenue]])</f>
        <v>0.42214894609610243</v>
      </c>
      <c r="L388" s="5" t="str">
        <f>TEXT(SalesData[[#This Row],[Date]],"mmm")</f>
        <v>Mar</v>
      </c>
      <c r="M388">
        <f>YEAR(SalesData[[#This Row],[Date]])</f>
        <v>2023</v>
      </c>
      <c r="N388">
        <f>WEEKNUM(SalesData[[#This Row],[Date]])</f>
        <v>12</v>
      </c>
      <c r="O388" t="s">
        <v>2037</v>
      </c>
      <c r="P388" t="s">
        <v>2523</v>
      </c>
      <c r="Q388" t="s">
        <v>2527</v>
      </c>
    </row>
    <row r="389" spans="1:17" x14ac:dyDescent="0.35">
      <c r="A389" t="s">
        <v>1008</v>
      </c>
      <c r="B389" s="3">
        <v>45198</v>
      </c>
      <c r="C389" t="s">
        <v>2018</v>
      </c>
      <c r="D389" t="s">
        <v>2026</v>
      </c>
      <c r="E389" s="8">
        <v>4732</v>
      </c>
      <c r="F389">
        <v>1</v>
      </c>
      <c r="G389">
        <v>0</v>
      </c>
      <c r="H389" s="8">
        <v>4732</v>
      </c>
      <c r="I389">
        <v>2748.48</v>
      </c>
      <c r="J389">
        <v>1983.52</v>
      </c>
      <c r="K389" s="5">
        <f>IF(SalesData[[#This Row],[Total Revenue]]=0,0,SalesData[[#This Row],[Profit]]/SalesData[[#This Row],[Total Revenue]])</f>
        <v>0.41917159763313611</v>
      </c>
      <c r="L389" s="5" t="str">
        <f>TEXT(SalesData[[#This Row],[Date]],"mmm")</f>
        <v>Sep</v>
      </c>
      <c r="M389">
        <f>YEAR(SalesData[[#This Row],[Date]])</f>
        <v>2023</v>
      </c>
      <c r="N389">
        <f>WEEKNUM(SalesData[[#This Row],[Date]])</f>
        <v>39</v>
      </c>
      <c r="O389" t="s">
        <v>2295</v>
      </c>
      <c r="P389" t="s">
        <v>2523</v>
      </c>
      <c r="Q389" t="s">
        <v>2525</v>
      </c>
    </row>
    <row r="390" spans="1:17" x14ac:dyDescent="0.35">
      <c r="A390" t="s">
        <v>1541</v>
      </c>
      <c r="B390" s="3">
        <v>45263</v>
      </c>
      <c r="C390" t="s">
        <v>2013</v>
      </c>
      <c r="D390" t="s">
        <v>2023</v>
      </c>
      <c r="E390" s="8">
        <v>4734</v>
      </c>
      <c r="F390">
        <v>1</v>
      </c>
      <c r="G390">
        <v>0</v>
      </c>
      <c r="H390" s="8">
        <v>4734</v>
      </c>
      <c r="I390">
        <v>3479.44</v>
      </c>
      <c r="J390">
        <v>1254.56</v>
      </c>
      <c r="K390" s="5">
        <f>IF(SalesData[[#This Row],[Total Revenue]]=0,0,SalesData[[#This Row],[Profit]]/SalesData[[#This Row],[Total Revenue]])</f>
        <v>0.26501056189269118</v>
      </c>
      <c r="L390" s="5" t="str">
        <f>TEXT(SalesData[[#This Row],[Date]],"mmm")</f>
        <v>Dec</v>
      </c>
      <c r="M390">
        <f>YEAR(SalesData[[#This Row],[Date]])</f>
        <v>2023</v>
      </c>
      <c r="N390">
        <f>WEEKNUM(SalesData[[#This Row],[Date]])</f>
        <v>49</v>
      </c>
      <c r="O390" t="s">
        <v>2216</v>
      </c>
      <c r="P390" t="s">
        <v>2522</v>
      </c>
      <c r="Q390" t="s">
        <v>2527</v>
      </c>
    </row>
    <row r="391" spans="1:17" x14ac:dyDescent="0.35">
      <c r="A391" t="s">
        <v>770</v>
      </c>
      <c r="B391" s="3">
        <v>45228</v>
      </c>
      <c r="C391" t="s">
        <v>2019</v>
      </c>
      <c r="D391" t="s">
        <v>2027</v>
      </c>
      <c r="E391" s="8">
        <v>4735</v>
      </c>
      <c r="F391">
        <v>1</v>
      </c>
      <c r="G391">
        <v>0</v>
      </c>
      <c r="H391" s="8">
        <v>4735</v>
      </c>
      <c r="I391">
        <v>2855.84</v>
      </c>
      <c r="J391">
        <v>1879.16</v>
      </c>
      <c r="K391" s="5">
        <f>IF(SalesData[[#This Row],[Total Revenue]]=0,0,SalesData[[#This Row],[Profit]]/SalesData[[#This Row],[Total Revenue]])</f>
        <v>0.3968658922914467</v>
      </c>
      <c r="L391" s="5" t="str">
        <f>TEXT(SalesData[[#This Row],[Date]],"mmm")</f>
        <v>Oct</v>
      </c>
      <c r="M391">
        <f>YEAR(SalesData[[#This Row],[Date]])</f>
        <v>2023</v>
      </c>
      <c r="N391">
        <f>WEEKNUM(SalesData[[#This Row],[Date]])</f>
        <v>44</v>
      </c>
      <c r="O391" t="s">
        <v>2097</v>
      </c>
      <c r="P391" t="s">
        <v>2523</v>
      </c>
      <c r="Q391" t="s">
        <v>2526</v>
      </c>
    </row>
    <row r="392" spans="1:17" x14ac:dyDescent="0.35">
      <c r="A392" t="s">
        <v>1756</v>
      </c>
      <c r="B392" s="3">
        <v>44932</v>
      </c>
      <c r="C392" t="s">
        <v>2013</v>
      </c>
      <c r="D392" t="s">
        <v>2023</v>
      </c>
      <c r="E392" s="8">
        <v>1756</v>
      </c>
      <c r="F392">
        <v>3</v>
      </c>
      <c r="G392">
        <v>10</v>
      </c>
      <c r="H392" s="8">
        <v>4741.2</v>
      </c>
      <c r="I392">
        <v>1367.32</v>
      </c>
      <c r="J392">
        <v>639.23</v>
      </c>
      <c r="K392" s="5">
        <f>IF(SalesData[[#This Row],[Total Revenue]]=0,0,SalesData[[#This Row],[Profit]]/SalesData[[#This Row],[Total Revenue]])</f>
        <v>0.13482451699991566</v>
      </c>
      <c r="L392" s="5" t="str">
        <f>TEXT(SalesData[[#This Row],[Date]],"mmm")</f>
        <v>Jan</v>
      </c>
      <c r="M392">
        <f>YEAR(SalesData[[#This Row],[Date]])</f>
        <v>2023</v>
      </c>
      <c r="N392">
        <f>WEEKNUM(SalesData[[#This Row],[Date]])</f>
        <v>1</v>
      </c>
      <c r="O392" t="s">
        <v>2048</v>
      </c>
      <c r="P392" t="s">
        <v>2523</v>
      </c>
      <c r="Q392" t="s">
        <v>2524</v>
      </c>
    </row>
    <row r="393" spans="1:17" x14ac:dyDescent="0.35">
      <c r="A393" t="s">
        <v>1010</v>
      </c>
      <c r="B393" s="3">
        <v>45202</v>
      </c>
      <c r="C393" t="s">
        <v>2014</v>
      </c>
      <c r="D393" t="s">
        <v>2024</v>
      </c>
      <c r="E393" s="8">
        <v>2386</v>
      </c>
      <c r="F393">
        <v>2</v>
      </c>
      <c r="G393">
        <v>0</v>
      </c>
      <c r="H393" s="8">
        <v>4772</v>
      </c>
      <c r="I393">
        <v>1819.6</v>
      </c>
      <c r="J393">
        <v>1132.79</v>
      </c>
      <c r="K393" s="5">
        <f>IF(SalesData[[#This Row],[Total Revenue]]=0,0,SalesData[[#This Row],[Profit]]/SalesData[[#This Row],[Total Revenue]])</f>
        <v>0.23738264878457668</v>
      </c>
      <c r="L393" s="5" t="str">
        <f>TEXT(SalesData[[#This Row],[Date]],"mmm")</f>
        <v>Oct</v>
      </c>
      <c r="M393">
        <f>YEAR(SalesData[[#This Row],[Date]])</f>
        <v>2023</v>
      </c>
      <c r="N393">
        <f>WEEKNUM(SalesData[[#This Row],[Date]])</f>
        <v>40</v>
      </c>
      <c r="O393" t="s">
        <v>2101</v>
      </c>
      <c r="P393" t="s">
        <v>2522</v>
      </c>
      <c r="Q393" t="s">
        <v>2525</v>
      </c>
    </row>
    <row r="394" spans="1:17" x14ac:dyDescent="0.35">
      <c r="A394" t="s">
        <v>1185</v>
      </c>
      <c r="B394" s="3">
        <v>45072</v>
      </c>
      <c r="C394" t="s">
        <v>2013</v>
      </c>
      <c r="D394" t="s">
        <v>2023</v>
      </c>
      <c r="E394" s="8">
        <v>1123</v>
      </c>
      <c r="F394">
        <v>5</v>
      </c>
      <c r="G394">
        <v>15</v>
      </c>
      <c r="H394" s="8">
        <v>4772.75</v>
      </c>
      <c r="I394">
        <v>814.6</v>
      </c>
      <c r="J394">
        <v>699.73</v>
      </c>
      <c r="K394" s="5">
        <f>IF(SalesData[[#This Row],[Total Revenue]]=0,0,SalesData[[#This Row],[Profit]]/SalesData[[#This Row],[Total Revenue]])</f>
        <v>0.14660939709810905</v>
      </c>
      <c r="L394" s="5" t="str">
        <f>TEXT(SalesData[[#This Row],[Date]],"mmm")</f>
        <v>May</v>
      </c>
      <c r="M394">
        <f>YEAR(SalesData[[#This Row],[Date]])</f>
        <v>2023</v>
      </c>
      <c r="N394">
        <f>WEEKNUM(SalesData[[#This Row],[Date]])</f>
        <v>21</v>
      </c>
      <c r="O394" t="s">
        <v>2428</v>
      </c>
      <c r="P394" t="s">
        <v>2523</v>
      </c>
      <c r="Q394" t="s">
        <v>2525</v>
      </c>
    </row>
    <row r="395" spans="1:17" x14ac:dyDescent="0.35">
      <c r="A395" t="s">
        <v>948</v>
      </c>
      <c r="B395" s="3">
        <v>44944</v>
      </c>
      <c r="C395" t="s">
        <v>2016</v>
      </c>
      <c r="D395" t="s">
        <v>2025</v>
      </c>
      <c r="E395" s="8">
        <v>2393</v>
      </c>
      <c r="F395">
        <v>2</v>
      </c>
      <c r="G395">
        <v>0</v>
      </c>
      <c r="H395" s="8">
        <v>4786</v>
      </c>
      <c r="I395">
        <v>1754.19</v>
      </c>
      <c r="J395">
        <v>1277.6300000000001</v>
      </c>
      <c r="K395" s="5">
        <f>IF(SalesData[[#This Row],[Total Revenue]]=0,0,SalesData[[#This Row],[Profit]]/SalesData[[#This Row],[Total Revenue]])</f>
        <v>0.26695152528207272</v>
      </c>
      <c r="L395" s="5" t="str">
        <f>TEXT(SalesData[[#This Row],[Date]],"mmm")</f>
        <v>Jan</v>
      </c>
      <c r="M395">
        <f>YEAR(SalesData[[#This Row],[Date]])</f>
        <v>2023</v>
      </c>
      <c r="N395">
        <f>WEEKNUM(SalesData[[#This Row],[Date]])</f>
        <v>3</v>
      </c>
      <c r="O395" t="s">
        <v>2244</v>
      </c>
      <c r="P395" t="s">
        <v>2523</v>
      </c>
      <c r="Q395" t="s">
        <v>2525</v>
      </c>
    </row>
    <row r="396" spans="1:17" x14ac:dyDescent="0.35">
      <c r="A396" t="s">
        <v>1767</v>
      </c>
      <c r="B396" s="3">
        <v>45286</v>
      </c>
      <c r="C396" t="s">
        <v>2016</v>
      </c>
      <c r="D396" t="s">
        <v>2025</v>
      </c>
      <c r="E396" s="8">
        <v>2822</v>
      </c>
      <c r="F396">
        <v>2</v>
      </c>
      <c r="G396">
        <v>15</v>
      </c>
      <c r="H396" s="8">
        <v>4797.3999999999996</v>
      </c>
      <c r="I396">
        <v>1794.67</v>
      </c>
      <c r="J396">
        <v>1208.06</v>
      </c>
      <c r="K396" s="5">
        <f>IF(SalesData[[#This Row],[Total Revenue]]=0,0,SalesData[[#This Row],[Profit]]/SalesData[[#This Row],[Total Revenue]])</f>
        <v>0.25181556676533123</v>
      </c>
      <c r="L396" s="5" t="str">
        <f>TEXT(SalesData[[#This Row],[Date]],"mmm")</f>
        <v>Dec</v>
      </c>
      <c r="M396">
        <f>YEAR(SalesData[[#This Row],[Date]])</f>
        <v>2023</v>
      </c>
      <c r="N396">
        <f>WEEKNUM(SalesData[[#This Row],[Date]])</f>
        <v>52</v>
      </c>
      <c r="O396" t="s">
        <v>2283</v>
      </c>
      <c r="P396" t="s">
        <v>2523</v>
      </c>
      <c r="Q396" t="s">
        <v>2525</v>
      </c>
    </row>
    <row r="397" spans="1:17" x14ac:dyDescent="0.35">
      <c r="A397" t="s">
        <v>1642</v>
      </c>
      <c r="B397" s="3">
        <v>44945</v>
      </c>
      <c r="C397" t="s">
        <v>2014</v>
      </c>
      <c r="D397" t="s">
        <v>2024</v>
      </c>
      <c r="E397" s="8">
        <v>1601</v>
      </c>
      <c r="F397">
        <v>3</v>
      </c>
      <c r="G397">
        <v>0</v>
      </c>
      <c r="H397" s="8">
        <v>4803</v>
      </c>
      <c r="I397">
        <v>1100.77</v>
      </c>
      <c r="J397">
        <v>1500.7</v>
      </c>
      <c r="K397" s="5">
        <f>IF(SalesData[[#This Row],[Total Revenue]]=0,0,SalesData[[#This Row],[Profit]]/SalesData[[#This Row],[Total Revenue]])</f>
        <v>0.31245055173849678</v>
      </c>
      <c r="L397" s="5" t="str">
        <f>TEXT(SalesData[[#This Row],[Date]],"mmm")</f>
        <v>Jan</v>
      </c>
      <c r="M397">
        <f>YEAR(SalesData[[#This Row],[Date]])</f>
        <v>2023</v>
      </c>
      <c r="N397">
        <f>WEEKNUM(SalesData[[#This Row],[Date]])</f>
        <v>3</v>
      </c>
      <c r="O397" t="s">
        <v>2212</v>
      </c>
      <c r="P397" t="s">
        <v>2523</v>
      </c>
      <c r="Q397" t="s">
        <v>2525</v>
      </c>
    </row>
    <row r="398" spans="1:17" x14ac:dyDescent="0.35">
      <c r="A398" t="s">
        <v>1588</v>
      </c>
      <c r="B398" s="3">
        <v>45282</v>
      </c>
      <c r="C398" t="s">
        <v>2022</v>
      </c>
      <c r="D398" t="s">
        <v>2024</v>
      </c>
      <c r="E398" s="8">
        <v>1018</v>
      </c>
      <c r="F398">
        <v>5</v>
      </c>
      <c r="G398">
        <v>5</v>
      </c>
      <c r="H398" s="8">
        <v>4835.5</v>
      </c>
      <c r="I398">
        <v>551.54999999999995</v>
      </c>
      <c r="J398">
        <v>2077.7600000000002</v>
      </c>
      <c r="K398" s="5">
        <f>IF(SalesData[[#This Row],[Total Revenue]]=0,0,SalesData[[#This Row],[Profit]]/SalesData[[#This Row],[Total Revenue]])</f>
        <v>0.42968876021093999</v>
      </c>
      <c r="L398" s="5" t="str">
        <f>TEXT(SalesData[[#This Row],[Date]],"mmm")</f>
        <v>Dec</v>
      </c>
      <c r="M398">
        <f>YEAR(SalesData[[#This Row],[Date]])</f>
        <v>2023</v>
      </c>
      <c r="N398">
        <f>WEEKNUM(SalesData[[#This Row],[Date]])</f>
        <v>51</v>
      </c>
      <c r="O398" t="s">
        <v>2230</v>
      </c>
      <c r="P398" t="s">
        <v>2522</v>
      </c>
      <c r="Q398" t="s">
        <v>2524</v>
      </c>
    </row>
    <row r="399" spans="1:17" x14ac:dyDescent="0.35">
      <c r="A399" t="s">
        <v>190</v>
      </c>
      <c r="B399" s="3">
        <v>45247</v>
      </c>
      <c r="C399" t="s">
        <v>2019</v>
      </c>
      <c r="D399" t="s">
        <v>2027</v>
      </c>
      <c r="E399" s="8">
        <v>1077</v>
      </c>
      <c r="F399">
        <v>5</v>
      </c>
      <c r="G399">
        <v>10</v>
      </c>
      <c r="H399" s="8">
        <v>4846.5</v>
      </c>
      <c r="I399">
        <v>785.22</v>
      </c>
      <c r="J399">
        <v>920.39</v>
      </c>
      <c r="K399" s="5">
        <f>IF(SalesData[[#This Row],[Total Revenue]]=0,0,SalesData[[#This Row],[Profit]]/SalesData[[#This Row],[Total Revenue]])</f>
        <v>0.18990818116166305</v>
      </c>
      <c r="L399" s="5" t="str">
        <f>TEXT(SalesData[[#This Row],[Date]],"mmm")</f>
        <v>Nov</v>
      </c>
      <c r="M399">
        <f>YEAR(SalesData[[#This Row],[Date]])</f>
        <v>2023</v>
      </c>
      <c r="N399">
        <f>WEEKNUM(SalesData[[#This Row],[Date]])</f>
        <v>46</v>
      </c>
      <c r="O399" t="s">
        <v>2165</v>
      </c>
      <c r="P399" t="s">
        <v>2523</v>
      </c>
      <c r="Q399" t="s">
        <v>2525</v>
      </c>
    </row>
    <row r="400" spans="1:17" x14ac:dyDescent="0.35">
      <c r="A400" t="s">
        <v>804</v>
      </c>
      <c r="B400" s="3">
        <v>45116</v>
      </c>
      <c r="C400" t="s">
        <v>2020</v>
      </c>
      <c r="D400" t="s">
        <v>2028</v>
      </c>
      <c r="E400" s="8">
        <v>4847</v>
      </c>
      <c r="F400">
        <v>1</v>
      </c>
      <c r="G400">
        <v>0</v>
      </c>
      <c r="H400" s="8">
        <v>4847</v>
      </c>
      <c r="I400">
        <v>3140.25</v>
      </c>
      <c r="J400">
        <v>1706.75</v>
      </c>
      <c r="K400" s="5">
        <f>IF(SalesData[[#This Row],[Total Revenue]]=0,0,SalesData[[#This Row],[Profit]]/SalesData[[#This Row],[Total Revenue]])</f>
        <v>0.35212502578914795</v>
      </c>
      <c r="L400" s="5" t="str">
        <f>TEXT(SalesData[[#This Row],[Date]],"mmm")</f>
        <v>Jul</v>
      </c>
      <c r="M400">
        <f>YEAR(SalesData[[#This Row],[Date]])</f>
        <v>2023</v>
      </c>
      <c r="N400">
        <f>WEEKNUM(SalesData[[#This Row],[Date]])</f>
        <v>28</v>
      </c>
      <c r="O400" t="s">
        <v>2424</v>
      </c>
      <c r="P400" t="s">
        <v>2523</v>
      </c>
      <c r="Q400" t="s">
        <v>2526</v>
      </c>
    </row>
    <row r="401" spans="1:17" x14ac:dyDescent="0.35">
      <c r="A401" t="s">
        <v>1260</v>
      </c>
      <c r="B401" s="3">
        <v>45224</v>
      </c>
      <c r="C401" t="s">
        <v>2021</v>
      </c>
      <c r="D401" t="s">
        <v>2028</v>
      </c>
      <c r="E401" s="8">
        <v>1797</v>
      </c>
      <c r="F401">
        <v>3</v>
      </c>
      <c r="G401">
        <v>10</v>
      </c>
      <c r="H401" s="8">
        <v>4851.8999999999996</v>
      </c>
      <c r="I401">
        <v>1192.01</v>
      </c>
      <c r="J401">
        <v>1275.8800000000001</v>
      </c>
      <c r="K401" s="5">
        <f>IF(SalesData[[#This Row],[Total Revenue]]=0,0,SalesData[[#This Row],[Profit]]/SalesData[[#This Row],[Total Revenue]])</f>
        <v>0.26296502401121213</v>
      </c>
      <c r="L401" s="5" t="str">
        <f>TEXT(SalesData[[#This Row],[Date]],"mmm")</f>
        <v>Oct</v>
      </c>
      <c r="M401">
        <f>YEAR(SalesData[[#This Row],[Date]])</f>
        <v>2023</v>
      </c>
      <c r="N401">
        <f>WEEKNUM(SalesData[[#This Row],[Date]])</f>
        <v>43</v>
      </c>
      <c r="O401" t="s">
        <v>2153</v>
      </c>
      <c r="P401" t="s">
        <v>2523</v>
      </c>
      <c r="Q401" t="s">
        <v>2525</v>
      </c>
    </row>
    <row r="402" spans="1:17" x14ac:dyDescent="0.35">
      <c r="A402" t="s">
        <v>247</v>
      </c>
      <c r="B402" s="3">
        <v>44939</v>
      </c>
      <c r="C402" t="s">
        <v>2014</v>
      </c>
      <c r="D402" t="s">
        <v>2024</v>
      </c>
      <c r="E402" s="8">
        <v>2699</v>
      </c>
      <c r="F402">
        <v>2</v>
      </c>
      <c r="G402">
        <v>10</v>
      </c>
      <c r="H402" s="8">
        <v>4858.2</v>
      </c>
      <c r="I402">
        <v>1516.46</v>
      </c>
      <c r="J402">
        <v>1825.27</v>
      </c>
      <c r="K402" s="5">
        <f>IF(SalesData[[#This Row],[Total Revenue]]=0,0,SalesData[[#This Row],[Profit]]/SalesData[[#This Row],[Total Revenue]])</f>
        <v>0.37570911037009591</v>
      </c>
      <c r="L402" s="5" t="str">
        <f>TEXT(SalesData[[#This Row],[Date]],"mmm")</f>
        <v>Jan</v>
      </c>
      <c r="M402">
        <f>YEAR(SalesData[[#This Row],[Date]])</f>
        <v>2023</v>
      </c>
      <c r="N402">
        <f>WEEKNUM(SalesData[[#This Row],[Date]])</f>
        <v>2</v>
      </c>
      <c r="O402" t="s">
        <v>2216</v>
      </c>
      <c r="P402" t="s">
        <v>2523</v>
      </c>
      <c r="Q402" t="s">
        <v>2525</v>
      </c>
    </row>
    <row r="403" spans="1:17" x14ac:dyDescent="0.35">
      <c r="A403" t="s">
        <v>1312</v>
      </c>
      <c r="B403" s="3">
        <v>45127</v>
      </c>
      <c r="C403" t="s">
        <v>2022</v>
      </c>
      <c r="D403" t="s">
        <v>2024</v>
      </c>
      <c r="E403" s="8">
        <v>2559</v>
      </c>
      <c r="F403">
        <v>2</v>
      </c>
      <c r="G403">
        <v>5</v>
      </c>
      <c r="H403" s="8">
        <v>4862.1000000000004</v>
      </c>
      <c r="I403">
        <v>1325</v>
      </c>
      <c r="J403">
        <v>2212.11</v>
      </c>
      <c r="K403" s="5">
        <f>IF(SalesData[[#This Row],[Total Revenue]]=0,0,SalesData[[#This Row],[Profit]]/SalesData[[#This Row],[Total Revenue]])</f>
        <v>0.45497007465909789</v>
      </c>
      <c r="L403" s="5" t="str">
        <f>TEXT(SalesData[[#This Row],[Date]],"mmm")</f>
        <v>Jul</v>
      </c>
      <c r="M403">
        <f>YEAR(SalesData[[#This Row],[Date]])</f>
        <v>2023</v>
      </c>
      <c r="N403">
        <f>WEEKNUM(SalesData[[#This Row],[Date]])</f>
        <v>29</v>
      </c>
      <c r="O403" t="s">
        <v>2116</v>
      </c>
      <c r="P403" t="s">
        <v>2522</v>
      </c>
      <c r="Q403" t="s">
        <v>2525</v>
      </c>
    </row>
    <row r="404" spans="1:17" x14ac:dyDescent="0.35">
      <c r="A404" t="s">
        <v>1706</v>
      </c>
      <c r="B404" s="3">
        <v>44982</v>
      </c>
      <c r="C404" t="s">
        <v>2014</v>
      </c>
      <c r="D404" t="s">
        <v>2024</v>
      </c>
      <c r="E404" s="8">
        <v>1621</v>
      </c>
      <c r="F404">
        <v>3</v>
      </c>
      <c r="G404">
        <v>0</v>
      </c>
      <c r="H404" s="8">
        <v>4863</v>
      </c>
      <c r="I404">
        <v>882.32</v>
      </c>
      <c r="J404">
        <v>2216.0300000000002</v>
      </c>
      <c r="K404" s="5">
        <f>IF(SalesData[[#This Row],[Total Revenue]]=0,0,SalesData[[#This Row],[Profit]]/SalesData[[#This Row],[Total Revenue]])</f>
        <v>0.45569195969566118</v>
      </c>
      <c r="L404" s="5" t="str">
        <f>TEXT(SalesData[[#This Row],[Date]],"mmm")</f>
        <v>Feb</v>
      </c>
      <c r="M404">
        <f>YEAR(SalesData[[#This Row],[Date]])</f>
        <v>2023</v>
      </c>
      <c r="N404">
        <f>WEEKNUM(SalesData[[#This Row],[Date]])</f>
        <v>8</v>
      </c>
      <c r="O404" t="s">
        <v>2509</v>
      </c>
      <c r="P404" t="s">
        <v>2523</v>
      </c>
      <c r="Q404" t="s">
        <v>2525</v>
      </c>
    </row>
    <row r="405" spans="1:17" x14ac:dyDescent="0.35">
      <c r="A405" t="s">
        <v>1039</v>
      </c>
      <c r="B405" s="3">
        <v>44955</v>
      </c>
      <c r="C405" t="s">
        <v>2014</v>
      </c>
      <c r="D405" t="s">
        <v>2024</v>
      </c>
      <c r="E405" s="8">
        <v>4872</v>
      </c>
      <c r="F405">
        <v>1</v>
      </c>
      <c r="G405">
        <v>0</v>
      </c>
      <c r="H405" s="8">
        <v>4872</v>
      </c>
      <c r="I405">
        <v>2531.6999999999998</v>
      </c>
      <c r="J405">
        <v>2340.3000000000002</v>
      </c>
      <c r="K405" s="5">
        <f>IF(SalesData[[#This Row],[Total Revenue]]=0,0,SalesData[[#This Row],[Profit]]/SalesData[[#This Row],[Total Revenue]])</f>
        <v>0.48035714285714287</v>
      </c>
      <c r="L405" s="5" t="str">
        <f>TEXT(SalesData[[#This Row],[Date]],"mmm")</f>
        <v>Jan</v>
      </c>
      <c r="M405">
        <f>YEAR(SalesData[[#This Row],[Date]])</f>
        <v>2023</v>
      </c>
      <c r="N405">
        <f>WEEKNUM(SalesData[[#This Row],[Date]])</f>
        <v>5</v>
      </c>
      <c r="O405" t="s">
        <v>2462</v>
      </c>
      <c r="P405" t="s">
        <v>2523</v>
      </c>
      <c r="Q405" t="s">
        <v>2524</v>
      </c>
    </row>
    <row r="406" spans="1:17" x14ac:dyDescent="0.35">
      <c r="A406" t="s">
        <v>1895</v>
      </c>
      <c r="B406" s="3">
        <v>45158</v>
      </c>
      <c r="C406" t="s">
        <v>2015</v>
      </c>
      <c r="D406" t="s">
        <v>2025</v>
      </c>
      <c r="E406" s="8">
        <v>1147</v>
      </c>
      <c r="F406">
        <v>5</v>
      </c>
      <c r="G406">
        <v>15</v>
      </c>
      <c r="H406" s="8">
        <v>4874.75</v>
      </c>
      <c r="I406">
        <v>852.31</v>
      </c>
      <c r="J406">
        <v>613.20000000000005</v>
      </c>
      <c r="K406" s="5">
        <f>IF(SalesData[[#This Row],[Total Revenue]]=0,0,SalesData[[#This Row],[Profit]]/SalesData[[#This Row],[Total Revenue]])</f>
        <v>0.12579106620852351</v>
      </c>
      <c r="L406" s="5" t="str">
        <f>TEXT(SalesData[[#This Row],[Date]],"mmm")</f>
        <v>Aug</v>
      </c>
      <c r="M406">
        <f>YEAR(SalesData[[#This Row],[Date]])</f>
        <v>2023</v>
      </c>
      <c r="N406">
        <f>WEEKNUM(SalesData[[#This Row],[Date]])</f>
        <v>34</v>
      </c>
      <c r="O406" t="s">
        <v>2399</v>
      </c>
      <c r="P406" t="s">
        <v>2523</v>
      </c>
      <c r="Q406" t="s">
        <v>2525</v>
      </c>
    </row>
    <row r="407" spans="1:17" x14ac:dyDescent="0.35">
      <c r="A407" t="s">
        <v>1239</v>
      </c>
      <c r="B407" s="3">
        <v>45089</v>
      </c>
      <c r="C407" t="s">
        <v>2014</v>
      </c>
      <c r="D407" t="s">
        <v>2024</v>
      </c>
      <c r="E407" s="8">
        <v>1029</v>
      </c>
      <c r="F407">
        <v>5</v>
      </c>
      <c r="G407">
        <v>5</v>
      </c>
      <c r="H407" s="8">
        <v>4887.75</v>
      </c>
      <c r="I407">
        <v>652.05999999999995</v>
      </c>
      <c r="J407">
        <v>1627.45</v>
      </c>
      <c r="K407" s="5">
        <f>IF(SalesData[[#This Row],[Total Revenue]]=0,0,SalesData[[#This Row],[Profit]]/SalesData[[#This Row],[Total Revenue]])</f>
        <v>0.33296506572553836</v>
      </c>
      <c r="L407" s="5" t="str">
        <f>TEXT(SalesData[[#This Row],[Date]],"mmm")</f>
        <v>Jun</v>
      </c>
      <c r="M407">
        <f>YEAR(SalesData[[#This Row],[Date]])</f>
        <v>2023</v>
      </c>
      <c r="N407">
        <f>WEEKNUM(SalesData[[#This Row],[Date]])</f>
        <v>24</v>
      </c>
      <c r="O407" t="s">
        <v>2442</v>
      </c>
      <c r="P407" t="s">
        <v>2522</v>
      </c>
      <c r="Q407" t="s">
        <v>2524</v>
      </c>
    </row>
    <row r="408" spans="1:17" x14ac:dyDescent="0.35">
      <c r="A408" t="s">
        <v>282</v>
      </c>
      <c r="B408" s="3">
        <v>45277</v>
      </c>
      <c r="C408" t="s">
        <v>2018</v>
      </c>
      <c r="D408" t="s">
        <v>2026</v>
      </c>
      <c r="E408" s="8">
        <v>4902</v>
      </c>
      <c r="F408">
        <v>1</v>
      </c>
      <c r="G408">
        <v>0</v>
      </c>
      <c r="H408" s="8">
        <v>4902</v>
      </c>
      <c r="I408">
        <v>3012.9</v>
      </c>
      <c r="J408">
        <v>1889.1</v>
      </c>
      <c r="K408" s="5">
        <f>IF(SalesData[[#This Row],[Total Revenue]]=0,0,SalesData[[#This Row],[Profit]]/SalesData[[#This Row],[Total Revenue]])</f>
        <v>0.38537331701346389</v>
      </c>
      <c r="L408" s="5" t="str">
        <f>TEXT(SalesData[[#This Row],[Date]],"mmm")</f>
        <v>Dec</v>
      </c>
      <c r="M408">
        <f>YEAR(SalesData[[#This Row],[Date]])</f>
        <v>2023</v>
      </c>
      <c r="N408">
        <f>WEEKNUM(SalesData[[#This Row],[Date]])</f>
        <v>51</v>
      </c>
      <c r="O408" t="s">
        <v>2236</v>
      </c>
      <c r="P408" t="s">
        <v>2522</v>
      </c>
      <c r="Q408" t="s">
        <v>2526</v>
      </c>
    </row>
    <row r="409" spans="1:17" x14ac:dyDescent="0.35">
      <c r="A409" t="s">
        <v>1440</v>
      </c>
      <c r="B409" s="3">
        <v>45010</v>
      </c>
      <c r="C409" t="s">
        <v>2021</v>
      </c>
      <c r="D409" t="s">
        <v>2028</v>
      </c>
      <c r="E409" s="8">
        <v>2884</v>
      </c>
      <c r="F409">
        <v>2</v>
      </c>
      <c r="G409">
        <v>15</v>
      </c>
      <c r="H409" s="8">
        <v>4902.8</v>
      </c>
      <c r="I409">
        <v>1990.03</v>
      </c>
      <c r="J409">
        <v>922.74</v>
      </c>
      <c r="K409" s="5">
        <f>IF(SalesData[[#This Row],[Total Revenue]]=0,0,SalesData[[#This Row],[Profit]]/SalesData[[#This Row],[Total Revenue]])</f>
        <v>0.18820673900628213</v>
      </c>
      <c r="L409" s="5" t="str">
        <f>TEXT(SalesData[[#This Row],[Date]],"mmm")</f>
        <v>Mar</v>
      </c>
      <c r="M409">
        <f>YEAR(SalesData[[#This Row],[Date]])</f>
        <v>2023</v>
      </c>
      <c r="N409">
        <f>WEEKNUM(SalesData[[#This Row],[Date]])</f>
        <v>12</v>
      </c>
      <c r="O409" t="s">
        <v>2092</v>
      </c>
      <c r="P409" t="s">
        <v>2523</v>
      </c>
      <c r="Q409" t="s">
        <v>2526</v>
      </c>
    </row>
    <row r="410" spans="1:17" x14ac:dyDescent="0.35">
      <c r="A410" t="s">
        <v>452</v>
      </c>
      <c r="B410" s="3">
        <v>45161</v>
      </c>
      <c r="C410" t="s">
        <v>2018</v>
      </c>
      <c r="D410" t="s">
        <v>2026</v>
      </c>
      <c r="E410" s="8">
        <v>1365</v>
      </c>
      <c r="F410">
        <v>4</v>
      </c>
      <c r="G410">
        <v>10</v>
      </c>
      <c r="H410" s="8">
        <v>4914</v>
      </c>
      <c r="I410">
        <v>722.03</v>
      </c>
      <c r="J410">
        <v>2025.9</v>
      </c>
      <c r="K410" s="5">
        <f>IF(SalesData[[#This Row],[Total Revenue]]=0,0,SalesData[[#This Row],[Profit]]/SalesData[[#This Row],[Total Revenue]])</f>
        <v>0.41227106227106231</v>
      </c>
      <c r="L410" s="5" t="str">
        <f>TEXT(SalesData[[#This Row],[Date]],"mmm")</f>
        <v>Aug</v>
      </c>
      <c r="M410">
        <f>YEAR(SalesData[[#This Row],[Date]])</f>
        <v>2023</v>
      </c>
      <c r="N410">
        <f>WEEKNUM(SalesData[[#This Row],[Date]])</f>
        <v>34</v>
      </c>
      <c r="O410" t="s">
        <v>2316</v>
      </c>
      <c r="P410" t="s">
        <v>2522</v>
      </c>
      <c r="Q410" t="s">
        <v>2526</v>
      </c>
    </row>
    <row r="411" spans="1:17" x14ac:dyDescent="0.35">
      <c r="A411" t="s">
        <v>130</v>
      </c>
      <c r="B411" s="3">
        <v>45055</v>
      </c>
      <c r="C411" t="s">
        <v>2018</v>
      </c>
      <c r="D411" t="s">
        <v>2026</v>
      </c>
      <c r="E411" s="8">
        <v>1825</v>
      </c>
      <c r="F411">
        <v>3</v>
      </c>
      <c r="G411">
        <v>10</v>
      </c>
      <c r="H411" s="8">
        <v>4927.5</v>
      </c>
      <c r="I411">
        <v>1208.8499999999999</v>
      </c>
      <c r="J411">
        <v>1300.96</v>
      </c>
      <c r="K411" s="5">
        <f>IF(SalesData[[#This Row],[Total Revenue]]=0,0,SalesData[[#This Row],[Profit]]/SalesData[[#This Row],[Total Revenue]])</f>
        <v>0.26402029426686963</v>
      </c>
      <c r="L411" s="5" t="str">
        <f>TEXT(SalesData[[#This Row],[Date]],"mmm")</f>
        <v>May</v>
      </c>
      <c r="M411">
        <f>YEAR(SalesData[[#This Row],[Date]])</f>
        <v>2023</v>
      </c>
      <c r="N411">
        <f>WEEKNUM(SalesData[[#This Row],[Date]])</f>
        <v>19</v>
      </c>
      <c r="O411" t="s">
        <v>2133</v>
      </c>
      <c r="P411" t="s">
        <v>2523</v>
      </c>
      <c r="Q411" t="s">
        <v>2527</v>
      </c>
    </row>
    <row r="412" spans="1:17" x14ac:dyDescent="0.35">
      <c r="A412" t="s">
        <v>1406</v>
      </c>
      <c r="B412" s="3">
        <v>45169</v>
      </c>
      <c r="C412" t="s">
        <v>2021</v>
      </c>
      <c r="D412" t="s">
        <v>2028</v>
      </c>
      <c r="E412" s="8">
        <v>2760</v>
      </c>
      <c r="F412">
        <v>2</v>
      </c>
      <c r="G412">
        <v>10</v>
      </c>
      <c r="H412" s="8">
        <v>4968</v>
      </c>
      <c r="I412">
        <v>1643.69</v>
      </c>
      <c r="J412">
        <v>1680.61</v>
      </c>
      <c r="K412" s="5">
        <f>IF(SalesData[[#This Row],[Total Revenue]]=0,0,SalesData[[#This Row],[Profit]]/SalesData[[#This Row],[Total Revenue]])</f>
        <v>0.338287037037037</v>
      </c>
      <c r="L412" s="5" t="str">
        <f>TEXT(SalesData[[#This Row],[Date]],"mmm")</f>
        <v>Aug</v>
      </c>
      <c r="M412">
        <f>YEAR(SalesData[[#This Row],[Date]])</f>
        <v>2023</v>
      </c>
      <c r="N412">
        <f>WEEKNUM(SalesData[[#This Row],[Date]])</f>
        <v>35</v>
      </c>
      <c r="O412" t="s">
        <v>2032</v>
      </c>
      <c r="P412" t="s">
        <v>2523</v>
      </c>
      <c r="Q412" t="s">
        <v>2524</v>
      </c>
    </row>
    <row r="413" spans="1:17" x14ac:dyDescent="0.35">
      <c r="A413" t="s">
        <v>1298</v>
      </c>
      <c r="B413" s="3">
        <v>44939</v>
      </c>
      <c r="C413" t="s">
        <v>2019</v>
      </c>
      <c r="D413" t="s">
        <v>2027</v>
      </c>
      <c r="E413" s="8">
        <v>4979</v>
      </c>
      <c r="F413">
        <v>1</v>
      </c>
      <c r="G413">
        <v>0</v>
      </c>
      <c r="H413" s="8">
        <v>4979</v>
      </c>
      <c r="I413">
        <v>2727.17</v>
      </c>
      <c r="J413">
        <v>2251.83</v>
      </c>
      <c r="K413" s="5">
        <f>IF(SalesData[[#This Row],[Total Revenue]]=0,0,SalesData[[#This Row],[Profit]]/SalesData[[#This Row],[Total Revenue]])</f>
        <v>0.45226551516368746</v>
      </c>
      <c r="L413" s="5" t="str">
        <f>TEXT(SalesData[[#This Row],[Date]],"mmm")</f>
        <v>Jan</v>
      </c>
      <c r="M413">
        <f>YEAR(SalesData[[#This Row],[Date]])</f>
        <v>2023</v>
      </c>
      <c r="N413">
        <f>WEEKNUM(SalesData[[#This Row],[Date]])</f>
        <v>2</v>
      </c>
      <c r="O413" t="s">
        <v>2202</v>
      </c>
      <c r="P413" t="s">
        <v>2523</v>
      </c>
      <c r="Q413" t="s">
        <v>2527</v>
      </c>
    </row>
    <row r="414" spans="1:17" x14ac:dyDescent="0.35">
      <c r="A414" t="s">
        <v>211</v>
      </c>
      <c r="B414" s="3">
        <v>44965</v>
      </c>
      <c r="C414" t="s">
        <v>2021</v>
      </c>
      <c r="D414" t="s">
        <v>2028</v>
      </c>
      <c r="E414" s="8">
        <v>4993</v>
      </c>
      <c r="F414">
        <v>1</v>
      </c>
      <c r="G414">
        <v>0</v>
      </c>
      <c r="H414" s="8">
        <v>4993</v>
      </c>
      <c r="I414">
        <v>2823.8</v>
      </c>
      <c r="J414">
        <v>2169.1999999999998</v>
      </c>
      <c r="K414" s="5">
        <f>IF(SalesData[[#This Row],[Total Revenue]]=0,0,SalesData[[#This Row],[Profit]]/SalesData[[#This Row],[Total Revenue]])</f>
        <v>0.43444822751852591</v>
      </c>
      <c r="L414" s="5" t="str">
        <f>TEXT(SalesData[[#This Row],[Date]],"mmm")</f>
        <v>Feb</v>
      </c>
      <c r="M414">
        <f>YEAR(SalesData[[#This Row],[Date]])</f>
        <v>2023</v>
      </c>
      <c r="N414">
        <f>WEEKNUM(SalesData[[#This Row],[Date]])</f>
        <v>6</v>
      </c>
      <c r="O414" t="s">
        <v>2125</v>
      </c>
      <c r="P414" t="s">
        <v>2523</v>
      </c>
      <c r="Q414" t="s">
        <v>2524</v>
      </c>
    </row>
    <row r="415" spans="1:17" x14ac:dyDescent="0.35">
      <c r="A415" t="s">
        <v>1199</v>
      </c>
      <c r="B415" s="3">
        <v>45235</v>
      </c>
      <c r="C415" t="s">
        <v>2019</v>
      </c>
      <c r="D415" t="s">
        <v>2027</v>
      </c>
      <c r="E415" s="8">
        <v>2944</v>
      </c>
      <c r="F415">
        <v>2</v>
      </c>
      <c r="G415">
        <v>15</v>
      </c>
      <c r="H415" s="8">
        <v>5004.8</v>
      </c>
      <c r="I415">
        <v>1814.56</v>
      </c>
      <c r="J415">
        <v>1375.68</v>
      </c>
      <c r="K415" s="5">
        <f>IF(SalesData[[#This Row],[Total Revenue]]=0,0,SalesData[[#This Row],[Profit]]/SalesData[[#This Row],[Total Revenue]])</f>
        <v>0.27487212276214834</v>
      </c>
      <c r="L415" s="5" t="str">
        <f>TEXT(SalesData[[#This Row],[Date]],"mmm")</f>
        <v>Nov</v>
      </c>
      <c r="M415">
        <f>YEAR(SalesData[[#This Row],[Date]])</f>
        <v>2023</v>
      </c>
      <c r="N415">
        <f>WEEKNUM(SalesData[[#This Row],[Date]])</f>
        <v>45</v>
      </c>
      <c r="O415" t="s">
        <v>2201</v>
      </c>
      <c r="P415" t="s">
        <v>2523</v>
      </c>
      <c r="Q415" t="s">
        <v>2524</v>
      </c>
    </row>
    <row r="416" spans="1:17" x14ac:dyDescent="0.35">
      <c r="A416" t="s">
        <v>999</v>
      </c>
      <c r="B416" s="3">
        <v>45006</v>
      </c>
      <c r="C416" t="s">
        <v>2014</v>
      </c>
      <c r="D416" t="s">
        <v>2024</v>
      </c>
      <c r="E416" s="8">
        <v>2948</v>
      </c>
      <c r="F416">
        <v>2</v>
      </c>
      <c r="G416">
        <v>15</v>
      </c>
      <c r="H416" s="8">
        <v>5011.6000000000004</v>
      </c>
      <c r="I416">
        <v>1571.53</v>
      </c>
      <c r="J416">
        <v>1868.54</v>
      </c>
      <c r="K416" s="5">
        <f>IF(SalesData[[#This Row],[Total Revenue]]=0,0,SalesData[[#This Row],[Profit]]/SalesData[[#This Row],[Total Revenue]])</f>
        <v>0.37284300423018596</v>
      </c>
      <c r="L416" s="5" t="str">
        <f>TEXT(SalesData[[#This Row],[Date]],"mmm")</f>
        <v>Mar</v>
      </c>
      <c r="M416">
        <f>YEAR(SalesData[[#This Row],[Date]])</f>
        <v>2023</v>
      </c>
      <c r="N416">
        <f>WEEKNUM(SalesData[[#This Row],[Date]])</f>
        <v>12</v>
      </c>
      <c r="O416" t="s">
        <v>2334</v>
      </c>
      <c r="P416" t="s">
        <v>2522</v>
      </c>
      <c r="Q416" t="s">
        <v>2525</v>
      </c>
    </row>
    <row r="417" spans="1:17" x14ac:dyDescent="0.35">
      <c r="A417" t="s">
        <v>1332</v>
      </c>
      <c r="B417" s="3">
        <v>45048</v>
      </c>
      <c r="C417" t="s">
        <v>2019</v>
      </c>
      <c r="D417" t="s">
        <v>2027</v>
      </c>
      <c r="E417" s="8">
        <v>2948</v>
      </c>
      <c r="F417">
        <v>2</v>
      </c>
      <c r="G417">
        <v>15</v>
      </c>
      <c r="H417" s="8">
        <v>5011.6000000000004</v>
      </c>
      <c r="I417">
        <v>1875.49</v>
      </c>
      <c r="J417">
        <v>1260.6199999999999</v>
      </c>
      <c r="K417" s="5">
        <f>IF(SalesData[[#This Row],[Total Revenue]]=0,0,SalesData[[#This Row],[Profit]]/SalesData[[#This Row],[Total Revenue]])</f>
        <v>0.25154042621118999</v>
      </c>
      <c r="L417" s="5" t="str">
        <f>TEXT(SalesData[[#This Row],[Date]],"mmm")</f>
        <v>May</v>
      </c>
      <c r="M417">
        <f>YEAR(SalesData[[#This Row],[Date]])</f>
        <v>2023</v>
      </c>
      <c r="N417">
        <f>WEEKNUM(SalesData[[#This Row],[Date]])</f>
        <v>18</v>
      </c>
      <c r="O417" t="s">
        <v>2043</v>
      </c>
      <c r="P417" t="s">
        <v>2523</v>
      </c>
      <c r="Q417" t="s">
        <v>2527</v>
      </c>
    </row>
    <row r="418" spans="1:17" x14ac:dyDescent="0.35">
      <c r="A418" t="s">
        <v>853</v>
      </c>
      <c r="B418" s="3">
        <v>45054</v>
      </c>
      <c r="C418" t="s">
        <v>2019</v>
      </c>
      <c r="D418" t="s">
        <v>2027</v>
      </c>
      <c r="E418" s="8">
        <v>2523</v>
      </c>
      <c r="F418">
        <v>2</v>
      </c>
      <c r="G418">
        <v>0</v>
      </c>
      <c r="H418" s="8">
        <v>5046</v>
      </c>
      <c r="I418">
        <v>1920.73</v>
      </c>
      <c r="J418">
        <v>1204.54</v>
      </c>
      <c r="K418" s="5">
        <f>IF(SalesData[[#This Row],[Total Revenue]]=0,0,SalesData[[#This Row],[Profit]]/SalesData[[#This Row],[Total Revenue]])</f>
        <v>0.23871185097106618</v>
      </c>
      <c r="L418" s="5" t="str">
        <f>TEXT(SalesData[[#This Row],[Date]],"mmm")</f>
        <v>May</v>
      </c>
      <c r="M418">
        <f>YEAR(SalesData[[#This Row],[Date]])</f>
        <v>2023</v>
      </c>
      <c r="N418">
        <f>WEEKNUM(SalesData[[#This Row],[Date]])</f>
        <v>19</v>
      </c>
      <c r="O418" t="s">
        <v>2431</v>
      </c>
      <c r="P418" t="s">
        <v>2523</v>
      </c>
      <c r="Q418" t="s">
        <v>2524</v>
      </c>
    </row>
    <row r="419" spans="1:17" x14ac:dyDescent="0.35">
      <c r="A419" t="s">
        <v>977</v>
      </c>
      <c r="B419" s="3">
        <v>45038</v>
      </c>
      <c r="C419" t="s">
        <v>2015</v>
      </c>
      <c r="D419" t="s">
        <v>2025</v>
      </c>
      <c r="E419" s="8">
        <v>1011</v>
      </c>
      <c r="F419">
        <v>5</v>
      </c>
      <c r="G419">
        <v>0</v>
      </c>
      <c r="H419" s="8">
        <v>5055</v>
      </c>
      <c r="I419">
        <v>723.97</v>
      </c>
      <c r="J419">
        <v>1435.14</v>
      </c>
      <c r="K419" s="5">
        <f>IF(SalesData[[#This Row],[Total Revenue]]=0,0,SalesData[[#This Row],[Profit]]/SalesData[[#This Row],[Total Revenue]])</f>
        <v>0.28390504451038578</v>
      </c>
      <c r="L419" s="5" t="str">
        <f>TEXT(SalesData[[#This Row],[Date]],"mmm")</f>
        <v>Apr</v>
      </c>
      <c r="M419">
        <f>YEAR(SalesData[[#This Row],[Date]])</f>
        <v>2023</v>
      </c>
      <c r="N419">
        <f>WEEKNUM(SalesData[[#This Row],[Date]])</f>
        <v>16</v>
      </c>
      <c r="O419" t="s">
        <v>2396</v>
      </c>
      <c r="P419" t="s">
        <v>2522</v>
      </c>
      <c r="Q419" t="s">
        <v>2527</v>
      </c>
    </row>
    <row r="420" spans="1:17" x14ac:dyDescent="0.35">
      <c r="A420" t="s">
        <v>1660</v>
      </c>
      <c r="B420" s="3">
        <v>44958</v>
      </c>
      <c r="C420" t="s">
        <v>2020</v>
      </c>
      <c r="D420" t="s">
        <v>2028</v>
      </c>
      <c r="E420" s="8">
        <v>2979</v>
      </c>
      <c r="F420">
        <v>2</v>
      </c>
      <c r="G420">
        <v>15</v>
      </c>
      <c r="H420" s="8">
        <v>5064.3</v>
      </c>
      <c r="I420">
        <v>2167.77</v>
      </c>
      <c r="J420">
        <v>728.76</v>
      </c>
      <c r="K420" s="5">
        <f>IF(SalesData[[#This Row],[Total Revenue]]=0,0,SalesData[[#This Row],[Profit]]/SalesData[[#This Row],[Total Revenue]])</f>
        <v>0.14390142764054262</v>
      </c>
      <c r="L420" s="5" t="str">
        <f>TEXT(SalesData[[#This Row],[Date]],"mmm")</f>
        <v>Feb</v>
      </c>
      <c r="M420">
        <f>YEAR(SalesData[[#This Row],[Date]])</f>
        <v>2023</v>
      </c>
      <c r="N420">
        <f>WEEKNUM(SalesData[[#This Row],[Date]])</f>
        <v>5</v>
      </c>
      <c r="O420" t="s">
        <v>2155</v>
      </c>
      <c r="P420" t="s">
        <v>2523</v>
      </c>
      <c r="Q420" t="s">
        <v>2524</v>
      </c>
    </row>
    <row r="421" spans="1:17" x14ac:dyDescent="0.35">
      <c r="A421" t="s">
        <v>263</v>
      </c>
      <c r="B421" s="3">
        <v>45198</v>
      </c>
      <c r="C421" t="s">
        <v>2017</v>
      </c>
      <c r="D421" t="s">
        <v>2026</v>
      </c>
      <c r="E421" s="8">
        <v>1988</v>
      </c>
      <c r="F421">
        <v>3</v>
      </c>
      <c r="G421">
        <v>15</v>
      </c>
      <c r="H421" s="8">
        <v>5069.3999999999996</v>
      </c>
      <c r="I421">
        <v>1043.69</v>
      </c>
      <c r="J421">
        <v>1938.34</v>
      </c>
      <c r="K421" s="5">
        <f>IF(SalesData[[#This Row],[Total Revenue]]=0,0,SalesData[[#This Row],[Profit]]/SalesData[[#This Row],[Total Revenue]])</f>
        <v>0.38236083165660634</v>
      </c>
      <c r="L421" s="5" t="str">
        <f>TEXT(SalesData[[#This Row],[Date]],"mmm")</f>
        <v>Sep</v>
      </c>
      <c r="M421">
        <f>YEAR(SalesData[[#This Row],[Date]])</f>
        <v>2023</v>
      </c>
      <c r="N421">
        <f>WEEKNUM(SalesData[[#This Row],[Date]])</f>
        <v>39</v>
      </c>
      <c r="O421" t="s">
        <v>2042</v>
      </c>
      <c r="P421" t="s">
        <v>2522</v>
      </c>
      <c r="Q421" t="s">
        <v>2526</v>
      </c>
    </row>
    <row r="422" spans="1:17" x14ac:dyDescent="0.35">
      <c r="A422" t="s">
        <v>930</v>
      </c>
      <c r="B422" s="3">
        <v>45109</v>
      </c>
      <c r="C422" t="s">
        <v>2021</v>
      </c>
      <c r="D422" t="s">
        <v>2028</v>
      </c>
      <c r="E422" s="8">
        <v>2982</v>
      </c>
      <c r="F422">
        <v>2</v>
      </c>
      <c r="G422">
        <v>15</v>
      </c>
      <c r="H422" s="8">
        <v>5069.3999999999996</v>
      </c>
      <c r="I422">
        <v>2090.7800000000002</v>
      </c>
      <c r="J422">
        <v>887.85</v>
      </c>
      <c r="K422" s="5">
        <f>IF(SalesData[[#This Row],[Total Revenue]]=0,0,SalesData[[#This Row],[Profit]]/SalesData[[#This Row],[Total Revenue]])</f>
        <v>0.17513906971239201</v>
      </c>
      <c r="L422" s="5" t="str">
        <f>TEXT(SalesData[[#This Row],[Date]],"mmm")</f>
        <v>Jul</v>
      </c>
      <c r="M422">
        <f>YEAR(SalesData[[#This Row],[Date]])</f>
        <v>2023</v>
      </c>
      <c r="N422">
        <f>WEEKNUM(SalesData[[#This Row],[Date]])</f>
        <v>27</v>
      </c>
      <c r="O422" t="s">
        <v>2445</v>
      </c>
      <c r="P422" t="s">
        <v>2523</v>
      </c>
      <c r="Q422" t="s">
        <v>2525</v>
      </c>
    </row>
    <row r="423" spans="1:17" x14ac:dyDescent="0.35">
      <c r="A423" t="s">
        <v>23</v>
      </c>
      <c r="B423" s="3">
        <v>45040</v>
      </c>
      <c r="C423" t="s">
        <v>2019</v>
      </c>
      <c r="D423" t="s">
        <v>2027</v>
      </c>
      <c r="E423" s="8">
        <v>2544</v>
      </c>
      <c r="F423">
        <v>2</v>
      </c>
      <c r="G423">
        <v>0</v>
      </c>
      <c r="H423" s="8">
        <v>5088</v>
      </c>
      <c r="I423">
        <v>1762.98</v>
      </c>
      <c r="J423">
        <v>1562.04</v>
      </c>
      <c r="K423" s="5">
        <f>IF(SalesData[[#This Row],[Total Revenue]]=0,0,SalesData[[#This Row],[Profit]]/SalesData[[#This Row],[Total Revenue]])</f>
        <v>0.30700471698113208</v>
      </c>
      <c r="L423" s="5" t="str">
        <f>TEXT(SalesData[[#This Row],[Date]],"mmm")</f>
        <v>Apr</v>
      </c>
      <c r="M423">
        <f>YEAR(SalesData[[#This Row],[Date]])</f>
        <v>2023</v>
      </c>
      <c r="N423">
        <f>WEEKNUM(SalesData[[#This Row],[Date]])</f>
        <v>17</v>
      </c>
      <c r="O423" t="s">
        <v>2039</v>
      </c>
      <c r="P423" t="s">
        <v>2522</v>
      </c>
      <c r="Q423" t="s">
        <v>2526</v>
      </c>
    </row>
    <row r="424" spans="1:17" x14ac:dyDescent="0.35">
      <c r="A424" t="s">
        <v>441</v>
      </c>
      <c r="B424" s="3">
        <v>44989</v>
      </c>
      <c r="C424" t="s">
        <v>2013</v>
      </c>
      <c r="D424" t="s">
        <v>2023</v>
      </c>
      <c r="E424" s="8">
        <v>1018</v>
      </c>
      <c r="F424">
        <v>5</v>
      </c>
      <c r="G424">
        <v>0</v>
      </c>
      <c r="H424" s="8">
        <v>5090</v>
      </c>
      <c r="I424">
        <v>641.16</v>
      </c>
      <c r="J424">
        <v>1884.22</v>
      </c>
      <c r="K424" s="5">
        <f>IF(SalesData[[#This Row],[Total Revenue]]=0,0,SalesData[[#This Row],[Profit]]/SalesData[[#This Row],[Total Revenue]])</f>
        <v>0.37018074656188604</v>
      </c>
      <c r="L424" s="5" t="str">
        <f>TEXT(SalesData[[#This Row],[Date]],"mmm")</f>
        <v>Mar</v>
      </c>
      <c r="M424">
        <f>YEAR(SalesData[[#This Row],[Date]])</f>
        <v>2023</v>
      </c>
      <c r="N424">
        <f>WEEKNUM(SalesData[[#This Row],[Date]])</f>
        <v>9</v>
      </c>
      <c r="O424" t="s">
        <v>2313</v>
      </c>
      <c r="P424" t="s">
        <v>2523</v>
      </c>
      <c r="Q424" t="s">
        <v>2526</v>
      </c>
    </row>
    <row r="425" spans="1:17" x14ac:dyDescent="0.35">
      <c r="A425" t="s">
        <v>1615</v>
      </c>
      <c r="B425" s="3">
        <v>45092</v>
      </c>
      <c r="C425" t="s">
        <v>2016</v>
      </c>
      <c r="D425" t="s">
        <v>2025</v>
      </c>
      <c r="E425" s="8">
        <v>1786</v>
      </c>
      <c r="F425">
        <v>3</v>
      </c>
      <c r="G425">
        <v>5</v>
      </c>
      <c r="H425" s="8">
        <v>5090.1000000000004</v>
      </c>
      <c r="I425">
        <v>1090.6099999999999</v>
      </c>
      <c r="J425">
        <v>1818.28</v>
      </c>
      <c r="K425" s="5">
        <f>IF(SalesData[[#This Row],[Total Revenue]]=0,0,SalesData[[#This Row],[Profit]]/SalesData[[#This Row],[Total Revenue]])</f>
        <v>0.35721891514901472</v>
      </c>
      <c r="L425" s="5" t="str">
        <f>TEXT(SalesData[[#This Row],[Date]],"mmm")</f>
        <v>Jun</v>
      </c>
      <c r="M425">
        <f>YEAR(SalesData[[#This Row],[Date]])</f>
        <v>2023</v>
      </c>
      <c r="N425">
        <f>WEEKNUM(SalesData[[#This Row],[Date]])</f>
        <v>24</v>
      </c>
      <c r="O425" t="s">
        <v>2444</v>
      </c>
      <c r="P425" t="s">
        <v>2522</v>
      </c>
      <c r="Q425" t="s">
        <v>2526</v>
      </c>
    </row>
    <row r="426" spans="1:17" x14ac:dyDescent="0.35">
      <c r="A426" t="s">
        <v>1585</v>
      </c>
      <c r="B426" s="3">
        <v>45129</v>
      </c>
      <c r="C426" t="s">
        <v>2021</v>
      </c>
      <c r="D426" t="s">
        <v>2028</v>
      </c>
      <c r="E426" s="8">
        <v>2686</v>
      </c>
      <c r="F426">
        <v>2</v>
      </c>
      <c r="G426">
        <v>5</v>
      </c>
      <c r="H426" s="8">
        <v>5103.3999999999996</v>
      </c>
      <c r="I426">
        <v>1674.5</v>
      </c>
      <c r="J426">
        <v>1754.4</v>
      </c>
      <c r="K426" s="5">
        <f>IF(SalesData[[#This Row],[Total Revenue]]=0,0,SalesData[[#This Row],[Profit]]/SalesData[[#This Row],[Total Revenue]])</f>
        <v>0.34377081945369758</v>
      </c>
      <c r="L426" s="5" t="str">
        <f>TEXT(SalesData[[#This Row],[Date]],"mmm")</f>
        <v>Jul</v>
      </c>
      <c r="M426">
        <f>YEAR(SalesData[[#This Row],[Date]])</f>
        <v>2023</v>
      </c>
      <c r="N426">
        <f>WEEKNUM(SalesData[[#This Row],[Date]])</f>
        <v>29</v>
      </c>
      <c r="O426" t="s">
        <v>2065</v>
      </c>
      <c r="P426" t="s">
        <v>2523</v>
      </c>
      <c r="Q426" t="s">
        <v>2527</v>
      </c>
    </row>
    <row r="427" spans="1:17" x14ac:dyDescent="0.35">
      <c r="A427" t="s">
        <v>76</v>
      </c>
      <c r="B427" s="3">
        <v>45270</v>
      </c>
      <c r="C427" t="s">
        <v>2019</v>
      </c>
      <c r="D427" t="s">
        <v>2027</v>
      </c>
      <c r="E427" s="8">
        <v>2837</v>
      </c>
      <c r="F427">
        <v>2</v>
      </c>
      <c r="G427">
        <v>10</v>
      </c>
      <c r="H427" s="8">
        <v>5106.6000000000004</v>
      </c>
      <c r="I427">
        <v>2104.04</v>
      </c>
      <c r="J427">
        <v>898.52</v>
      </c>
      <c r="K427" s="5">
        <f>IF(SalesData[[#This Row],[Total Revenue]]=0,0,SalesData[[#This Row],[Profit]]/SalesData[[#This Row],[Total Revenue]])</f>
        <v>0.17595268867739786</v>
      </c>
      <c r="L427" s="5" t="str">
        <f>TEXT(SalesData[[#This Row],[Date]],"mmm")</f>
        <v>Dec</v>
      </c>
      <c r="M427">
        <f>YEAR(SalesData[[#This Row],[Date]])</f>
        <v>2023</v>
      </c>
      <c r="N427">
        <f>WEEKNUM(SalesData[[#This Row],[Date]])</f>
        <v>50</v>
      </c>
      <c r="O427" t="s">
        <v>2082</v>
      </c>
      <c r="P427" t="s">
        <v>2523</v>
      </c>
      <c r="Q427" t="s">
        <v>2527</v>
      </c>
    </row>
    <row r="428" spans="1:17" x14ac:dyDescent="0.35">
      <c r="A428" t="s">
        <v>511</v>
      </c>
      <c r="B428" s="3">
        <v>45227</v>
      </c>
      <c r="C428" t="s">
        <v>2016</v>
      </c>
      <c r="D428" t="s">
        <v>2025</v>
      </c>
      <c r="E428" s="8">
        <v>861</v>
      </c>
      <c r="F428">
        <v>7</v>
      </c>
      <c r="G428">
        <v>15</v>
      </c>
      <c r="H428" s="8">
        <v>5122.95</v>
      </c>
      <c r="I428">
        <v>476.69</v>
      </c>
      <c r="J428">
        <v>1786.13</v>
      </c>
      <c r="K428" s="5">
        <f>IF(SalesData[[#This Row],[Total Revenue]]=0,0,SalesData[[#This Row],[Profit]]/SalesData[[#This Row],[Total Revenue]])</f>
        <v>0.34865263178442113</v>
      </c>
      <c r="L428" s="5" t="str">
        <f>TEXT(SalesData[[#This Row],[Date]],"mmm")</f>
        <v>Oct</v>
      </c>
      <c r="M428">
        <f>YEAR(SalesData[[#This Row],[Date]])</f>
        <v>2023</v>
      </c>
      <c r="N428">
        <f>WEEKNUM(SalesData[[#This Row],[Date]])</f>
        <v>43</v>
      </c>
      <c r="O428" t="s">
        <v>2338</v>
      </c>
      <c r="P428" t="s">
        <v>2522</v>
      </c>
      <c r="Q428" t="s">
        <v>2527</v>
      </c>
    </row>
    <row r="429" spans="1:17" x14ac:dyDescent="0.35">
      <c r="A429" t="s">
        <v>1240</v>
      </c>
      <c r="B429" s="3">
        <v>45056</v>
      </c>
      <c r="C429" t="s">
        <v>2021</v>
      </c>
      <c r="D429" t="s">
        <v>2028</v>
      </c>
      <c r="E429" s="8">
        <v>899</v>
      </c>
      <c r="F429">
        <v>6</v>
      </c>
      <c r="G429">
        <v>5</v>
      </c>
      <c r="H429" s="8">
        <v>5124.3</v>
      </c>
      <c r="I429">
        <v>697.12</v>
      </c>
      <c r="J429">
        <v>941.56</v>
      </c>
      <c r="K429" s="5">
        <f>IF(SalesData[[#This Row],[Total Revenue]]=0,0,SalesData[[#This Row],[Profit]]/SalesData[[#This Row],[Total Revenue]])</f>
        <v>0.18374412114825439</v>
      </c>
      <c r="L429" s="5" t="str">
        <f>TEXT(SalesData[[#This Row],[Date]],"mmm")</f>
        <v>May</v>
      </c>
      <c r="M429">
        <f>YEAR(SalesData[[#This Row],[Date]])</f>
        <v>2023</v>
      </c>
      <c r="N429">
        <f>WEEKNUM(SalesData[[#This Row],[Date]])</f>
        <v>19</v>
      </c>
      <c r="O429" t="s">
        <v>2387</v>
      </c>
      <c r="P429" t="s">
        <v>2523</v>
      </c>
      <c r="Q429" t="s">
        <v>2527</v>
      </c>
    </row>
    <row r="430" spans="1:17" x14ac:dyDescent="0.35">
      <c r="A430" t="s">
        <v>847</v>
      </c>
      <c r="B430" s="3">
        <v>45277</v>
      </c>
      <c r="C430" t="s">
        <v>2013</v>
      </c>
      <c r="D430" t="s">
        <v>2023</v>
      </c>
      <c r="E430" s="8">
        <v>1509</v>
      </c>
      <c r="F430">
        <v>4</v>
      </c>
      <c r="G430">
        <v>15</v>
      </c>
      <c r="H430" s="8">
        <v>5130.6000000000004</v>
      </c>
      <c r="I430">
        <v>1110.6199999999999</v>
      </c>
      <c r="J430">
        <v>688.13</v>
      </c>
      <c r="K430" s="5">
        <f>IF(SalesData[[#This Row],[Total Revenue]]=0,0,SalesData[[#This Row],[Profit]]/SalesData[[#This Row],[Total Revenue]])</f>
        <v>0.13412271469223871</v>
      </c>
      <c r="L430" s="5" t="str">
        <f>TEXT(SalesData[[#This Row],[Date]],"mmm")</f>
        <v>Dec</v>
      </c>
      <c r="M430">
        <f>YEAR(SalesData[[#This Row],[Date]])</f>
        <v>2023</v>
      </c>
      <c r="N430">
        <f>WEEKNUM(SalesData[[#This Row],[Date]])</f>
        <v>51</v>
      </c>
      <c r="O430" t="s">
        <v>2358</v>
      </c>
      <c r="P430" t="s">
        <v>2522</v>
      </c>
      <c r="Q430" t="s">
        <v>2526</v>
      </c>
    </row>
    <row r="431" spans="1:17" x14ac:dyDescent="0.35">
      <c r="A431" t="s">
        <v>956</v>
      </c>
      <c r="B431" s="3">
        <v>45279</v>
      </c>
      <c r="C431" t="s">
        <v>2014</v>
      </c>
      <c r="D431" t="s">
        <v>2024</v>
      </c>
      <c r="E431" s="8">
        <v>3018</v>
      </c>
      <c r="F431">
        <v>2</v>
      </c>
      <c r="G431">
        <v>15</v>
      </c>
      <c r="H431" s="8">
        <v>5130.6000000000004</v>
      </c>
      <c r="I431">
        <v>2230.91</v>
      </c>
      <c r="J431">
        <v>668.78</v>
      </c>
      <c r="K431" s="5">
        <f>IF(SalesData[[#This Row],[Total Revenue]]=0,0,SalesData[[#This Row],[Profit]]/SalesData[[#This Row],[Total Revenue]])</f>
        <v>0.13035122597746851</v>
      </c>
      <c r="L431" s="5" t="str">
        <f>TEXT(SalesData[[#This Row],[Date]],"mmm")</f>
        <v>Dec</v>
      </c>
      <c r="M431">
        <f>YEAR(SalesData[[#This Row],[Date]])</f>
        <v>2023</v>
      </c>
      <c r="N431">
        <f>WEEKNUM(SalesData[[#This Row],[Date]])</f>
        <v>51</v>
      </c>
      <c r="O431" t="s">
        <v>2182</v>
      </c>
      <c r="P431" t="s">
        <v>2523</v>
      </c>
      <c r="Q431" t="s">
        <v>2524</v>
      </c>
    </row>
    <row r="432" spans="1:17" x14ac:dyDescent="0.35">
      <c r="A432" t="s">
        <v>557</v>
      </c>
      <c r="B432" s="3">
        <v>45085</v>
      </c>
      <c r="C432" t="s">
        <v>2022</v>
      </c>
      <c r="D432" t="s">
        <v>2024</v>
      </c>
      <c r="E432" s="8">
        <v>2585</v>
      </c>
      <c r="F432">
        <v>2</v>
      </c>
      <c r="G432">
        <v>0</v>
      </c>
      <c r="H432" s="8">
        <v>5170</v>
      </c>
      <c r="I432">
        <v>1889.41</v>
      </c>
      <c r="J432">
        <v>1391.17</v>
      </c>
      <c r="K432" s="5">
        <f>IF(SalesData[[#This Row],[Total Revenue]]=0,0,SalesData[[#This Row],[Profit]]/SalesData[[#This Row],[Total Revenue]])</f>
        <v>0.26908510638297872</v>
      </c>
      <c r="L432" s="5" t="str">
        <f>TEXT(SalesData[[#This Row],[Date]],"mmm")</f>
        <v>Jun</v>
      </c>
      <c r="M432">
        <f>YEAR(SalesData[[#This Row],[Date]])</f>
        <v>2023</v>
      </c>
      <c r="N432">
        <f>WEEKNUM(SalesData[[#This Row],[Date]])</f>
        <v>23</v>
      </c>
      <c r="O432" t="s">
        <v>2147</v>
      </c>
      <c r="P432" t="s">
        <v>2522</v>
      </c>
      <c r="Q432" t="s">
        <v>2524</v>
      </c>
    </row>
    <row r="433" spans="1:17" x14ac:dyDescent="0.35">
      <c r="A433" t="s">
        <v>251</v>
      </c>
      <c r="B433" s="3">
        <v>45137</v>
      </c>
      <c r="C433" t="s">
        <v>2017</v>
      </c>
      <c r="D433" t="s">
        <v>2026</v>
      </c>
      <c r="E433" s="8">
        <v>1090</v>
      </c>
      <c r="F433">
        <v>5</v>
      </c>
      <c r="G433">
        <v>5</v>
      </c>
      <c r="H433" s="8">
        <v>5177.5</v>
      </c>
      <c r="I433">
        <v>776.09</v>
      </c>
      <c r="J433">
        <v>1297.04</v>
      </c>
      <c r="K433" s="5">
        <f>IF(SalesData[[#This Row],[Total Revenue]]=0,0,SalesData[[#This Row],[Profit]]/SalesData[[#This Row],[Total Revenue]])</f>
        <v>0.25051472718493478</v>
      </c>
      <c r="L433" s="5" t="str">
        <f>TEXT(SalesData[[#This Row],[Date]],"mmm")</f>
        <v>Jul</v>
      </c>
      <c r="M433">
        <f>YEAR(SalesData[[#This Row],[Date]])</f>
        <v>2023</v>
      </c>
      <c r="N433">
        <f>WEEKNUM(SalesData[[#This Row],[Date]])</f>
        <v>31</v>
      </c>
      <c r="O433" t="s">
        <v>2103</v>
      </c>
      <c r="P433" t="s">
        <v>2523</v>
      </c>
      <c r="Q433" t="s">
        <v>2527</v>
      </c>
    </row>
    <row r="434" spans="1:17" x14ac:dyDescent="0.35">
      <c r="A434" t="s">
        <v>1955</v>
      </c>
      <c r="B434" s="3">
        <v>45088</v>
      </c>
      <c r="C434" t="s">
        <v>2017</v>
      </c>
      <c r="D434" t="s">
        <v>2026</v>
      </c>
      <c r="E434" s="8">
        <v>873</v>
      </c>
      <c r="F434">
        <v>7</v>
      </c>
      <c r="G434">
        <v>15</v>
      </c>
      <c r="H434" s="8">
        <v>5194.3500000000004</v>
      </c>
      <c r="I434">
        <v>564.38</v>
      </c>
      <c r="J434">
        <v>1243.71</v>
      </c>
      <c r="K434" s="5">
        <f>IF(SalesData[[#This Row],[Total Revenue]]=0,0,SalesData[[#This Row],[Profit]]/SalesData[[#This Row],[Total Revenue]])</f>
        <v>0.23943515550550115</v>
      </c>
      <c r="L434" s="5" t="str">
        <f>TEXT(SalesData[[#This Row],[Date]],"mmm")</f>
        <v>Jun</v>
      </c>
      <c r="M434">
        <f>YEAR(SalesData[[#This Row],[Date]])</f>
        <v>2023</v>
      </c>
      <c r="N434">
        <f>WEEKNUM(SalesData[[#This Row],[Date]])</f>
        <v>24</v>
      </c>
      <c r="O434" t="s">
        <v>2502</v>
      </c>
      <c r="P434" t="s">
        <v>2523</v>
      </c>
      <c r="Q434" t="s">
        <v>2527</v>
      </c>
    </row>
    <row r="435" spans="1:17" x14ac:dyDescent="0.35">
      <c r="A435" t="s">
        <v>1722</v>
      </c>
      <c r="B435" s="3">
        <v>45289</v>
      </c>
      <c r="C435" t="s">
        <v>2020</v>
      </c>
      <c r="D435" t="s">
        <v>2028</v>
      </c>
      <c r="E435" s="8">
        <v>1111</v>
      </c>
      <c r="F435">
        <v>5</v>
      </c>
      <c r="G435">
        <v>5</v>
      </c>
      <c r="H435" s="8">
        <v>5277.25</v>
      </c>
      <c r="I435">
        <v>848.32</v>
      </c>
      <c r="J435">
        <v>1035.67</v>
      </c>
      <c r="K435" s="5">
        <f>IF(SalesData[[#This Row],[Total Revenue]]=0,0,SalesData[[#This Row],[Profit]]/SalesData[[#This Row],[Total Revenue]])</f>
        <v>0.1962518357098868</v>
      </c>
      <c r="L435" s="5" t="str">
        <f>TEXT(SalesData[[#This Row],[Date]],"mmm")</f>
        <v>Dec</v>
      </c>
      <c r="M435">
        <f>YEAR(SalesData[[#This Row],[Date]])</f>
        <v>2023</v>
      </c>
      <c r="N435">
        <f>WEEKNUM(SalesData[[#This Row],[Date]])</f>
        <v>52</v>
      </c>
      <c r="O435" t="s">
        <v>2421</v>
      </c>
      <c r="P435" t="s">
        <v>2523</v>
      </c>
      <c r="Q435" t="s">
        <v>2527</v>
      </c>
    </row>
    <row r="436" spans="1:17" x14ac:dyDescent="0.35">
      <c r="A436" t="s">
        <v>1299</v>
      </c>
      <c r="B436" s="3">
        <v>45205</v>
      </c>
      <c r="C436" t="s">
        <v>2019</v>
      </c>
      <c r="D436" t="s">
        <v>2027</v>
      </c>
      <c r="E436" s="8">
        <v>1173</v>
      </c>
      <c r="F436">
        <v>5</v>
      </c>
      <c r="G436">
        <v>10</v>
      </c>
      <c r="H436" s="8">
        <v>5278.5</v>
      </c>
      <c r="I436">
        <v>830.59</v>
      </c>
      <c r="J436">
        <v>1125.55</v>
      </c>
      <c r="K436" s="5">
        <f>IF(SalesData[[#This Row],[Total Revenue]]=0,0,SalesData[[#This Row],[Profit]]/SalesData[[#This Row],[Total Revenue]])</f>
        <v>0.2132329260206498</v>
      </c>
      <c r="L436" s="5" t="str">
        <f>TEXT(SalesData[[#This Row],[Date]],"mmm")</f>
        <v>Oct</v>
      </c>
      <c r="M436">
        <f>YEAR(SalesData[[#This Row],[Date]])</f>
        <v>2023</v>
      </c>
      <c r="N436">
        <f>WEEKNUM(SalesData[[#This Row],[Date]])</f>
        <v>40</v>
      </c>
      <c r="O436" t="s">
        <v>2050</v>
      </c>
      <c r="P436" t="s">
        <v>2523</v>
      </c>
      <c r="Q436" t="s">
        <v>2527</v>
      </c>
    </row>
    <row r="437" spans="1:17" x14ac:dyDescent="0.35">
      <c r="A437" t="s">
        <v>1127</v>
      </c>
      <c r="B437" s="3">
        <v>45177</v>
      </c>
      <c r="C437" t="s">
        <v>2020</v>
      </c>
      <c r="D437" t="s">
        <v>2028</v>
      </c>
      <c r="E437" s="8">
        <v>2935</v>
      </c>
      <c r="F437">
        <v>2</v>
      </c>
      <c r="G437">
        <v>10</v>
      </c>
      <c r="H437" s="8">
        <v>5283</v>
      </c>
      <c r="I437">
        <v>2090.58</v>
      </c>
      <c r="J437">
        <v>1101.8399999999999</v>
      </c>
      <c r="K437" s="5">
        <f>IF(SalesData[[#This Row],[Total Revenue]]=0,0,SalesData[[#This Row],[Profit]]/SalesData[[#This Row],[Total Revenue]])</f>
        <v>0.2085633162975582</v>
      </c>
      <c r="L437" s="5" t="str">
        <f>TEXT(SalesData[[#This Row],[Date]],"mmm")</f>
        <v>Sep</v>
      </c>
      <c r="M437">
        <f>YEAR(SalesData[[#This Row],[Date]])</f>
        <v>2023</v>
      </c>
      <c r="N437">
        <f>WEEKNUM(SalesData[[#This Row],[Date]])</f>
        <v>36</v>
      </c>
      <c r="O437" t="s">
        <v>2116</v>
      </c>
      <c r="P437" t="s">
        <v>2522</v>
      </c>
      <c r="Q437" t="s">
        <v>2524</v>
      </c>
    </row>
    <row r="438" spans="1:17" x14ac:dyDescent="0.35">
      <c r="A438" t="s">
        <v>1295</v>
      </c>
      <c r="B438" s="3">
        <v>45123</v>
      </c>
      <c r="C438" t="s">
        <v>2014</v>
      </c>
      <c r="D438" t="s">
        <v>2024</v>
      </c>
      <c r="E438" s="8">
        <v>2936</v>
      </c>
      <c r="F438">
        <v>2</v>
      </c>
      <c r="G438">
        <v>10</v>
      </c>
      <c r="H438" s="8">
        <v>5284.8</v>
      </c>
      <c r="I438">
        <v>1832.12</v>
      </c>
      <c r="J438">
        <v>1620.56</v>
      </c>
      <c r="K438" s="5">
        <f>IF(SalesData[[#This Row],[Total Revenue]]=0,0,SalesData[[#This Row],[Profit]]/SalesData[[#This Row],[Total Revenue]])</f>
        <v>0.30664547381168633</v>
      </c>
      <c r="L438" s="5" t="str">
        <f>TEXT(SalesData[[#This Row],[Date]],"mmm")</f>
        <v>Jul</v>
      </c>
      <c r="M438">
        <f>YEAR(SalesData[[#This Row],[Date]])</f>
        <v>2023</v>
      </c>
      <c r="N438">
        <f>WEEKNUM(SalesData[[#This Row],[Date]])</f>
        <v>29</v>
      </c>
      <c r="O438" t="s">
        <v>2431</v>
      </c>
      <c r="P438" t="s">
        <v>2522</v>
      </c>
      <c r="Q438" t="s">
        <v>2526</v>
      </c>
    </row>
    <row r="439" spans="1:17" x14ac:dyDescent="0.35">
      <c r="A439" t="s">
        <v>1748</v>
      </c>
      <c r="B439" s="3">
        <v>45243</v>
      </c>
      <c r="C439" t="s">
        <v>2022</v>
      </c>
      <c r="D439" t="s">
        <v>2024</v>
      </c>
      <c r="E439" s="8">
        <v>2940</v>
      </c>
      <c r="F439">
        <v>2</v>
      </c>
      <c r="G439">
        <v>10</v>
      </c>
      <c r="H439" s="8">
        <v>5292</v>
      </c>
      <c r="I439">
        <v>2103.61</v>
      </c>
      <c r="J439">
        <v>1084.77</v>
      </c>
      <c r="K439" s="5">
        <f>IF(SalesData[[#This Row],[Total Revenue]]=0,0,SalesData[[#This Row],[Profit]]/SalesData[[#This Row],[Total Revenue]])</f>
        <v>0.20498299319727892</v>
      </c>
      <c r="L439" s="5" t="str">
        <f>TEXT(SalesData[[#This Row],[Date]],"mmm")</f>
        <v>Nov</v>
      </c>
      <c r="M439">
        <f>YEAR(SalesData[[#This Row],[Date]])</f>
        <v>2023</v>
      </c>
      <c r="N439">
        <f>WEEKNUM(SalesData[[#This Row],[Date]])</f>
        <v>46</v>
      </c>
      <c r="O439" t="s">
        <v>2387</v>
      </c>
      <c r="P439" t="s">
        <v>2523</v>
      </c>
      <c r="Q439" t="s">
        <v>2525</v>
      </c>
    </row>
    <row r="440" spans="1:17" x14ac:dyDescent="0.35">
      <c r="A440" t="s">
        <v>107</v>
      </c>
      <c r="B440" s="3">
        <v>45016</v>
      </c>
      <c r="C440" t="s">
        <v>2015</v>
      </c>
      <c r="D440" t="s">
        <v>2025</v>
      </c>
      <c r="E440" s="8">
        <v>2652</v>
      </c>
      <c r="F440">
        <v>2</v>
      </c>
      <c r="G440">
        <v>0</v>
      </c>
      <c r="H440" s="8">
        <v>5304</v>
      </c>
      <c r="I440">
        <v>1590.91</v>
      </c>
      <c r="J440">
        <v>2122.19</v>
      </c>
      <c r="K440" s="5">
        <f>IF(SalesData[[#This Row],[Total Revenue]]=0,0,SalesData[[#This Row],[Profit]]/SalesData[[#This Row],[Total Revenue]])</f>
        <v>0.40011123680241328</v>
      </c>
      <c r="L440" s="5" t="str">
        <f>TEXT(SalesData[[#This Row],[Date]],"mmm")</f>
        <v>Mar</v>
      </c>
      <c r="M440">
        <f>YEAR(SalesData[[#This Row],[Date]])</f>
        <v>2023</v>
      </c>
      <c r="N440">
        <f>WEEKNUM(SalesData[[#This Row],[Date]])</f>
        <v>13</v>
      </c>
      <c r="O440" t="s">
        <v>2113</v>
      </c>
      <c r="P440" t="s">
        <v>2522</v>
      </c>
      <c r="Q440" t="s">
        <v>2524</v>
      </c>
    </row>
    <row r="441" spans="1:17" x14ac:dyDescent="0.35">
      <c r="A441" t="s">
        <v>1850</v>
      </c>
      <c r="B441" s="3">
        <v>44995</v>
      </c>
      <c r="C441" t="s">
        <v>2013</v>
      </c>
      <c r="D441" t="s">
        <v>2023</v>
      </c>
      <c r="E441" s="8">
        <v>1187</v>
      </c>
      <c r="F441">
        <v>5</v>
      </c>
      <c r="G441">
        <v>10</v>
      </c>
      <c r="H441" s="8">
        <v>5341.5</v>
      </c>
      <c r="I441">
        <v>809.59</v>
      </c>
      <c r="J441">
        <v>1293.53</v>
      </c>
      <c r="K441" s="5">
        <f>IF(SalesData[[#This Row],[Total Revenue]]=0,0,SalesData[[#This Row],[Profit]]/SalesData[[#This Row],[Total Revenue]])</f>
        <v>0.2421660582233455</v>
      </c>
      <c r="L441" s="5" t="str">
        <f>TEXT(SalesData[[#This Row],[Date]],"mmm")</f>
        <v>Mar</v>
      </c>
      <c r="M441">
        <f>YEAR(SalesData[[#This Row],[Date]])</f>
        <v>2023</v>
      </c>
      <c r="N441">
        <f>WEEKNUM(SalesData[[#This Row],[Date]])</f>
        <v>10</v>
      </c>
      <c r="O441" t="s">
        <v>2098</v>
      </c>
      <c r="P441" t="s">
        <v>2523</v>
      </c>
      <c r="Q441" t="s">
        <v>2526</v>
      </c>
    </row>
    <row r="442" spans="1:17" x14ac:dyDescent="0.35">
      <c r="A442" t="s">
        <v>1494</v>
      </c>
      <c r="B442" s="3">
        <v>45189</v>
      </c>
      <c r="C442" t="s">
        <v>2018</v>
      </c>
      <c r="D442" t="s">
        <v>2026</v>
      </c>
      <c r="E442" s="8">
        <v>1336</v>
      </c>
      <c r="F442">
        <v>4</v>
      </c>
      <c r="G442">
        <v>0</v>
      </c>
      <c r="H442" s="8">
        <v>5344</v>
      </c>
      <c r="I442">
        <v>1066.04</v>
      </c>
      <c r="J442">
        <v>1079.8599999999999</v>
      </c>
      <c r="K442" s="5">
        <f>IF(SalesData[[#This Row],[Total Revenue]]=0,0,SalesData[[#This Row],[Profit]]/SalesData[[#This Row],[Total Revenue]])</f>
        <v>0.2020696107784431</v>
      </c>
      <c r="L442" s="5" t="str">
        <f>TEXT(SalesData[[#This Row],[Date]],"mmm")</f>
        <v>Sep</v>
      </c>
      <c r="M442">
        <f>YEAR(SalesData[[#This Row],[Date]])</f>
        <v>2023</v>
      </c>
      <c r="N442">
        <f>WEEKNUM(SalesData[[#This Row],[Date]])</f>
        <v>38</v>
      </c>
      <c r="O442" t="s">
        <v>2466</v>
      </c>
      <c r="P442" t="s">
        <v>2522</v>
      </c>
      <c r="Q442" t="s">
        <v>2525</v>
      </c>
    </row>
    <row r="443" spans="1:17" x14ac:dyDescent="0.35">
      <c r="A443" t="s">
        <v>59</v>
      </c>
      <c r="B443" s="3">
        <v>45164</v>
      </c>
      <c r="C443" t="s">
        <v>2019</v>
      </c>
      <c r="D443" t="s">
        <v>2027</v>
      </c>
      <c r="E443" s="8">
        <v>1408</v>
      </c>
      <c r="F443">
        <v>4</v>
      </c>
      <c r="G443">
        <v>5</v>
      </c>
      <c r="H443" s="8">
        <v>5350.4</v>
      </c>
      <c r="I443">
        <v>1045.1099999999999</v>
      </c>
      <c r="J443">
        <v>1169.94</v>
      </c>
      <c r="K443" s="5">
        <f>IF(SalesData[[#This Row],[Total Revenue]]=0,0,SalesData[[#This Row],[Profit]]/SalesData[[#This Row],[Total Revenue]])</f>
        <v>0.21866402511961724</v>
      </c>
      <c r="L443" s="5" t="str">
        <f>TEXT(SalesData[[#This Row],[Date]],"mmm")</f>
        <v>Aug</v>
      </c>
      <c r="M443">
        <f>YEAR(SalesData[[#This Row],[Date]])</f>
        <v>2023</v>
      </c>
      <c r="N443">
        <f>WEEKNUM(SalesData[[#This Row],[Date]])</f>
        <v>34</v>
      </c>
      <c r="O443" t="s">
        <v>2070</v>
      </c>
      <c r="P443" t="s">
        <v>2523</v>
      </c>
      <c r="Q443" t="s">
        <v>2526</v>
      </c>
    </row>
    <row r="444" spans="1:17" x14ac:dyDescent="0.35">
      <c r="A444" t="s">
        <v>1414</v>
      </c>
      <c r="B444" s="3">
        <v>45173</v>
      </c>
      <c r="C444" t="s">
        <v>2015</v>
      </c>
      <c r="D444" t="s">
        <v>2025</v>
      </c>
      <c r="E444" s="8">
        <v>1879</v>
      </c>
      <c r="F444">
        <v>3</v>
      </c>
      <c r="G444">
        <v>5</v>
      </c>
      <c r="H444" s="8">
        <v>5355.15</v>
      </c>
      <c r="I444">
        <v>1485.89</v>
      </c>
      <c r="J444">
        <v>897.49</v>
      </c>
      <c r="K444" s="5">
        <f>IF(SalesData[[#This Row],[Total Revenue]]=0,0,SalesData[[#This Row],[Profit]]/SalesData[[#This Row],[Total Revenue]])</f>
        <v>0.16759381156456871</v>
      </c>
      <c r="L444" s="5" t="str">
        <f>TEXT(SalesData[[#This Row],[Date]],"mmm")</f>
        <v>Sep</v>
      </c>
      <c r="M444">
        <f>YEAR(SalesData[[#This Row],[Date]])</f>
        <v>2023</v>
      </c>
      <c r="N444">
        <f>WEEKNUM(SalesData[[#This Row],[Date]])</f>
        <v>36</v>
      </c>
      <c r="O444" t="s">
        <v>2327</v>
      </c>
      <c r="P444" t="s">
        <v>2523</v>
      </c>
      <c r="Q444" t="s">
        <v>2525</v>
      </c>
    </row>
    <row r="445" spans="1:17" x14ac:dyDescent="0.35">
      <c r="A445" t="s">
        <v>1905</v>
      </c>
      <c r="B445" s="3">
        <v>45116</v>
      </c>
      <c r="C445" t="s">
        <v>2022</v>
      </c>
      <c r="D445" t="s">
        <v>2024</v>
      </c>
      <c r="E445" s="8">
        <v>994</v>
      </c>
      <c r="F445">
        <v>6</v>
      </c>
      <c r="G445">
        <v>10</v>
      </c>
      <c r="H445" s="8">
        <v>5367.6</v>
      </c>
      <c r="I445">
        <v>654.12</v>
      </c>
      <c r="J445">
        <v>1442.9</v>
      </c>
      <c r="K445" s="5">
        <f>IF(SalesData[[#This Row],[Total Revenue]]=0,0,SalesData[[#This Row],[Profit]]/SalesData[[#This Row],[Total Revenue]])</f>
        <v>0.2688166033236456</v>
      </c>
      <c r="L445" s="5" t="str">
        <f>TEXT(SalesData[[#This Row],[Date]],"mmm")</f>
        <v>Jul</v>
      </c>
      <c r="M445">
        <f>YEAR(SalesData[[#This Row],[Date]])</f>
        <v>2023</v>
      </c>
      <c r="N445">
        <f>WEEKNUM(SalesData[[#This Row],[Date]])</f>
        <v>28</v>
      </c>
      <c r="O445" t="s">
        <v>2254</v>
      </c>
      <c r="P445" t="s">
        <v>2523</v>
      </c>
      <c r="Q445" t="s">
        <v>2524</v>
      </c>
    </row>
    <row r="446" spans="1:17" x14ac:dyDescent="0.35">
      <c r="A446" t="s">
        <v>1886</v>
      </c>
      <c r="B446" s="3">
        <v>45260</v>
      </c>
      <c r="C446" t="s">
        <v>2020</v>
      </c>
      <c r="D446" t="s">
        <v>2028</v>
      </c>
      <c r="E446" s="8">
        <v>1793</v>
      </c>
      <c r="F446">
        <v>3</v>
      </c>
      <c r="G446">
        <v>0</v>
      </c>
      <c r="H446" s="8">
        <v>5379</v>
      </c>
      <c r="I446">
        <v>1072.52</v>
      </c>
      <c r="J446">
        <v>2161.44</v>
      </c>
      <c r="K446" s="5">
        <f>IF(SalesData[[#This Row],[Total Revenue]]=0,0,SalesData[[#This Row],[Profit]]/SalesData[[#This Row],[Total Revenue]])</f>
        <v>0.40182933630786394</v>
      </c>
      <c r="L446" s="5" t="str">
        <f>TEXT(SalesData[[#This Row],[Date]],"mmm")</f>
        <v>Nov</v>
      </c>
      <c r="M446">
        <f>YEAR(SalesData[[#This Row],[Date]])</f>
        <v>2023</v>
      </c>
      <c r="N446">
        <f>WEEKNUM(SalesData[[#This Row],[Date]])</f>
        <v>48</v>
      </c>
      <c r="O446" t="s">
        <v>2464</v>
      </c>
      <c r="P446" t="s">
        <v>2522</v>
      </c>
      <c r="Q446" t="s">
        <v>2526</v>
      </c>
    </row>
    <row r="447" spans="1:17" x14ac:dyDescent="0.35">
      <c r="A447" t="s">
        <v>1532</v>
      </c>
      <c r="B447" s="3">
        <v>44928</v>
      </c>
      <c r="C447" t="s">
        <v>2013</v>
      </c>
      <c r="D447" t="s">
        <v>2023</v>
      </c>
      <c r="E447" s="8">
        <v>2114</v>
      </c>
      <c r="F447">
        <v>3</v>
      </c>
      <c r="G447">
        <v>15</v>
      </c>
      <c r="H447" s="8">
        <v>5390.7</v>
      </c>
      <c r="I447">
        <v>1441.47</v>
      </c>
      <c r="J447">
        <v>1066.28</v>
      </c>
      <c r="K447" s="5">
        <f>IF(SalesData[[#This Row],[Total Revenue]]=0,0,SalesData[[#This Row],[Profit]]/SalesData[[#This Row],[Total Revenue]])</f>
        <v>0.1977999146678539</v>
      </c>
      <c r="L447" s="5" t="str">
        <f>TEXT(SalesData[[#This Row],[Date]],"mmm")</f>
        <v>Jan</v>
      </c>
      <c r="M447">
        <f>YEAR(SalesData[[#This Row],[Date]])</f>
        <v>2023</v>
      </c>
      <c r="N447">
        <f>WEEKNUM(SalesData[[#This Row],[Date]])</f>
        <v>1</v>
      </c>
      <c r="O447" t="s">
        <v>2071</v>
      </c>
      <c r="P447" t="s">
        <v>2523</v>
      </c>
      <c r="Q447" t="s">
        <v>2527</v>
      </c>
    </row>
    <row r="448" spans="1:17" x14ac:dyDescent="0.35">
      <c r="A448" t="s">
        <v>256</v>
      </c>
      <c r="B448" s="3">
        <v>45239</v>
      </c>
      <c r="C448" t="s">
        <v>2016</v>
      </c>
      <c r="D448" t="s">
        <v>2025</v>
      </c>
      <c r="E448" s="8">
        <v>1083</v>
      </c>
      <c r="F448">
        <v>5</v>
      </c>
      <c r="G448">
        <v>0</v>
      </c>
      <c r="H448" s="8">
        <v>5415</v>
      </c>
      <c r="I448">
        <v>780.42</v>
      </c>
      <c r="J448">
        <v>1512.9</v>
      </c>
      <c r="K448" s="5">
        <f>IF(SalesData[[#This Row],[Total Revenue]]=0,0,SalesData[[#This Row],[Profit]]/SalesData[[#This Row],[Total Revenue]])</f>
        <v>0.27939058171745151</v>
      </c>
      <c r="L448" s="5" t="str">
        <f>TEXT(SalesData[[#This Row],[Date]],"mmm")</f>
        <v>Nov</v>
      </c>
      <c r="M448">
        <f>YEAR(SalesData[[#This Row],[Date]])</f>
        <v>2023</v>
      </c>
      <c r="N448">
        <f>WEEKNUM(SalesData[[#This Row],[Date]])</f>
        <v>45</v>
      </c>
      <c r="O448" t="s">
        <v>2222</v>
      </c>
      <c r="P448" t="s">
        <v>2523</v>
      </c>
      <c r="Q448" t="s">
        <v>2524</v>
      </c>
    </row>
    <row r="449" spans="1:17" x14ac:dyDescent="0.35">
      <c r="A449" t="s">
        <v>462</v>
      </c>
      <c r="B449" s="3">
        <v>45180</v>
      </c>
      <c r="C449" t="s">
        <v>2015</v>
      </c>
      <c r="D449" t="s">
        <v>2025</v>
      </c>
      <c r="E449" s="8">
        <v>3190</v>
      </c>
      <c r="F449">
        <v>2</v>
      </c>
      <c r="G449">
        <v>15</v>
      </c>
      <c r="H449" s="8">
        <v>5423</v>
      </c>
      <c r="I449">
        <v>1780.45</v>
      </c>
      <c r="J449">
        <v>1862.1</v>
      </c>
      <c r="K449" s="5">
        <f>IF(SalesData[[#This Row],[Total Revenue]]=0,0,SalesData[[#This Row],[Profit]]/SalesData[[#This Row],[Total Revenue]])</f>
        <v>0.34337082795500645</v>
      </c>
      <c r="L449" s="5" t="str">
        <f>TEXT(SalesData[[#This Row],[Date]],"mmm")</f>
        <v>Sep</v>
      </c>
      <c r="M449">
        <f>YEAR(SalesData[[#This Row],[Date]])</f>
        <v>2023</v>
      </c>
      <c r="N449">
        <f>WEEKNUM(SalesData[[#This Row],[Date]])</f>
        <v>37</v>
      </c>
      <c r="O449" t="s">
        <v>2320</v>
      </c>
      <c r="P449" t="s">
        <v>2522</v>
      </c>
      <c r="Q449" t="s">
        <v>2524</v>
      </c>
    </row>
    <row r="450" spans="1:17" x14ac:dyDescent="0.35">
      <c r="A450" t="s">
        <v>1668</v>
      </c>
      <c r="B450" s="3">
        <v>45022</v>
      </c>
      <c r="C450" t="s">
        <v>2017</v>
      </c>
      <c r="D450" t="s">
        <v>2026</v>
      </c>
      <c r="E450" s="8">
        <v>1005</v>
      </c>
      <c r="F450">
        <v>6</v>
      </c>
      <c r="G450">
        <v>10</v>
      </c>
      <c r="H450" s="8">
        <v>5427</v>
      </c>
      <c r="I450">
        <v>766.25</v>
      </c>
      <c r="J450">
        <v>829.52</v>
      </c>
      <c r="K450" s="5">
        <f>IF(SalesData[[#This Row],[Total Revenue]]=0,0,SalesData[[#This Row],[Profit]]/SalesData[[#This Row],[Total Revenue]])</f>
        <v>0.15285056200479086</v>
      </c>
      <c r="L450" s="5" t="str">
        <f>TEXT(SalesData[[#This Row],[Date]],"mmm")</f>
        <v>Apr</v>
      </c>
      <c r="M450">
        <f>YEAR(SalesData[[#This Row],[Date]])</f>
        <v>2023</v>
      </c>
      <c r="N450">
        <f>WEEKNUM(SalesData[[#This Row],[Date]])</f>
        <v>14</v>
      </c>
      <c r="O450" t="s">
        <v>2200</v>
      </c>
      <c r="P450" t="s">
        <v>2523</v>
      </c>
      <c r="Q450" t="s">
        <v>2525</v>
      </c>
    </row>
    <row r="451" spans="1:17" x14ac:dyDescent="0.35">
      <c r="A451" t="s">
        <v>848</v>
      </c>
      <c r="B451" s="3">
        <v>45096</v>
      </c>
      <c r="C451" t="s">
        <v>2022</v>
      </c>
      <c r="D451" t="s">
        <v>2024</v>
      </c>
      <c r="E451" s="8">
        <v>2016</v>
      </c>
      <c r="F451">
        <v>3</v>
      </c>
      <c r="G451">
        <v>10</v>
      </c>
      <c r="H451" s="8">
        <v>5443.2</v>
      </c>
      <c r="I451">
        <v>1379.36</v>
      </c>
      <c r="J451">
        <v>1305.1199999999999</v>
      </c>
      <c r="K451" s="5">
        <f>IF(SalesData[[#This Row],[Total Revenue]]=0,0,SalesData[[#This Row],[Profit]]/SalesData[[#This Row],[Total Revenue]])</f>
        <v>0.23977072310405642</v>
      </c>
      <c r="L451" s="5" t="str">
        <f>TEXT(SalesData[[#This Row],[Date]],"mmm")</f>
        <v>Jun</v>
      </c>
      <c r="M451">
        <f>YEAR(SalesData[[#This Row],[Date]])</f>
        <v>2023</v>
      </c>
      <c r="N451">
        <f>WEEKNUM(SalesData[[#This Row],[Date]])</f>
        <v>25</v>
      </c>
      <c r="O451" t="s">
        <v>2368</v>
      </c>
      <c r="P451" t="s">
        <v>2522</v>
      </c>
      <c r="Q451" t="s">
        <v>2524</v>
      </c>
    </row>
    <row r="452" spans="1:17" x14ac:dyDescent="0.35">
      <c r="A452" t="s">
        <v>439</v>
      </c>
      <c r="B452" s="3">
        <v>45125</v>
      </c>
      <c r="C452" t="s">
        <v>2017</v>
      </c>
      <c r="D452" t="s">
        <v>2026</v>
      </c>
      <c r="E452" s="8">
        <v>1362</v>
      </c>
      <c r="F452">
        <v>4</v>
      </c>
      <c r="G452">
        <v>0</v>
      </c>
      <c r="H452" s="8">
        <v>5448</v>
      </c>
      <c r="I452">
        <v>772.61</v>
      </c>
      <c r="J452">
        <v>2357.58</v>
      </c>
      <c r="K452" s="5">
        <f>IF(SalesData[[#This Row],[Total Revenue]]=0,0,SalesData[[#This Row],[Profit]]/SalesData[[#This Row],[Total Revenue]])</f>
        <v>0.43274229074889864</v>
      </c>
      <c r="L452" s="5" t="str">
        <f>TEXT(SalesData[[#This Row],[Date]],"mmm")</f>
        <v>Jul</v>
      </c>
      <c r="M452">
        <f>YEAR(SalesData[[#This Row],[Date]])</f>
        <v>2023</v>
      </c>
      <c r="N452">
        <f>WEEKNUM(SalesData[[#This Row],[Date]])</f>
        <v>29</v>
      </c>
      <c r="O452" t="s">
        <v>2311</v>
      </c>
      <c r="P452" t="s">
        <v>2523</v>
      </c>
      <c r="Q452" t="s">
        <v>2525</v>
      </c>
    </row>
    <row r="453" spans="1:17" x14ac:dyDescent="0.35">
      <c r="A453" t="s">
        <v>195</v>
      </c>
      <c r="B453" s="3">
        <v>44977</v>
      </c>
      <c r="C453" t="s">
        <v>2021</v>
      </c>
      <c r="D453" t="s">
        <v>2028</v>
      </c>
      <c r="E453" s="8">
        <v>2724</v>
      </c>
      <c r="F453">
        <v>2</v>
      </c>
      <c r="G453">
        <v>0</v>
      </c>
      <c r="H453" s="8">
        <v>5448</v>
      </c>
      <c r="I453">
        <v>1980.61</v>
      </c>
      <c r="J453">
        <v>1486.79</v>
      </c>
      <c r="K453" s="5">
        <f>IF(SalesData[[#This Row],[Total Revenue]]=0,0,SalesData[[#This Row],[Profit]]/SalesData[[#This Row],[Total Revenue]])</f>
        <v>0.27290565345080764</v>
      </c>
      <c r="L453" s="5" t="str">
        <f>TEXT(SalesData[[#This Row],[Date]],"mmm")</f>
        <v>Feb</v>
      </c>
      <c r="M453">
        <f>YEAR(SalesData[[#This Row],[Date]])</f>
        <v>2023</v>
      </c>
      <c r="N453">
        <f>WEEKNUM(SalesData[[#This Row],[Date]])</f>
        <v>8</v>
      </c>
      <c r="O453" t="s">
        <v>2180</v>
      </c>
      <c r="P453" t="s">
        <v>2522</v>
      </c>
      <c r="Q453" t="s">
        <v>2525</v>
      </c>
    </row>
    <row r="454" spans="1:17" x14ac:dyDescent="0.35">
      <c r="A454" t="s">
        <v>1456</v>
      </c>
      <c r="B454" s="3">
        <v>45088</v>
      </c>
      <c r="C454" t="s">
        <v>2022</v>
      </c>
      <c r="D454" t="s">
        <v>2024</v>
      </c>
      <c r="E454" s="8">
        <v>2141</v>
      </c>
      <c r="F454">
        <v>3</v>
      </c>
      <c r="G454">
        <v>15</v>
      </c>
      <c r="H454" s="8">
        <v>5459.55</v>
      </c>
      <c r="I454">
        <v>1467.36</v>
      </c>
      <c r="J454">
        <v>1057.48</v>
      </c>
      <c r="K454" s="5">
        <f>IF(SalesData[[#This Row],[Total Revenue]]=0,0,SalesData[[#This Row],[Profit]]/SalesData[[#This Row],[Total Revenue]])</f>
        <v>0.19369361943749944</v>
      </c>
      <c r="L454" s="5" t="str">
        <f>TEXT(SalesData[[#This Row],[Date]],"mmm")</f>
        <v>Jun</v>
      </c>
      <c r="M454">
        <f>YEAR(SalesData[[#This Row],[Date]])</f>
        <v>2023</v>
      </c>
      <c r="N454">
        <f>WEEKNUM(SalesData[[#This Row],[Date]])</f>
        <v>24</v>
      </c>
      <c r="O454" t="s">
        <v>2493</v>
      </c>
      <c r="P454" t="s">
        <v>2522</v>
      </c>
      <c r="Q454" t="s">
        <v>2524</v>
      </c>
    </row>
    <row r="455" spans="1:17" x14ac:dyDescent="0.35">
      <c r="A455" t="s">
        <v>1148</v>
      </c>
      <c r="B455" s="3">
        <v>45205</v>
      </c>
      <c r="C455" t="s">
        <v>2016</v>
      </c>
      <c r="D455" t="s">
        <v>2025</v>
      </c>
      <c r="E455" s="8">
        <v>803</v>
      </c>
      <c r="F455">
        <v>8</v>
      </c>
      <c r="G455">
        <v>15</v>
      </c>
      <c r="H455" s="8">
        <v>5460.4</v>
      </c>
      <c r="I455">
        <v>537.14</v>
      </c>
      <c r="J455">
        <v>1163.26</v>
      </c>
      <c r="K455" s="5">
        <f>IF(SalesData[[#This Row],[Total Revenue]]=0,0,SalesData[[#This Row],[Profit]]/SalesData[[#This Row],[Total Revenue]])</f>
        <v>0.21303567504212148</v>
      </c>
      <c r="L455" s="5" t="str">
        <f>TEXT(SalesData[[#This Row],[Date]],"mmm")</f>
        <v>Oct</v>
      </c>
      <c r="M455">
        <f>YEAR(SalesData[[#This Row],[Date]])</f>
        <v>2023</v>
      </c>
      <c r="N455">
        <f>WEEKNUM(SalesData[[#This Row],[Date]])</f>
        <v>40</v>
      </c>
      <c r="O455" t="s">
        <v>2071</v>
      </c>
      <c r="P455" t="s">
        <v>2523</v>
      </c>
      <c r="Q455" t="s">
        <v>2526</v>
      </c>
    </row>
    <row r="456" spans="1:17" x14ac:dyDescent="0.35">
      <c r="A456" t="s">
        <v>1618</v>
      </c>
      <c r="B456" s="3">
        <v>45088</v>
      </c>
      <c r="C456" t="s">
        <v>2015</v>
      </c>
      <c r="D456" t="s">
        <v>2025</v>
      </c>
      <c r="E456" s="8">
        <v>2731</v>
      </c>
      <c r="F456">
        <v>2</v>
      </c>
      <c r="G456">
        <v>0</v>
      </c>
      <c r="H456" s="8">
        <v>5462</v>
      </c>
      <c r="I456">
        <v>1367.49</v>
      </c>
      <c r="J456">
        <v>2727.02</v>
      </c>
      <c r="K456" s="5">
        <f>IF(SalesData[[#This Row],[Total Revenue]]=0,0,SalesData[[#This Row],[Profit]]/SalesData[[#This Row],[Total Revenue]])</f>
        <v>0.4992713291834493</v>
      </c>
      <c r="L456" s="5" t="str">
        <f>TEXT(SalesData[[#This Row],[Date]],"mmm")</f>
        <v>Jun</v>
      </c>
      <c r="M456">
        <f>YEAR(SalesData[[#This Row],[Date]])</f>
        <v>2023</v>
      </c>
      <c r="N456">
        <f>WEEKNUM(SalesData[[#This Row],[Date]])</f>
        <v>24</v>
      </c>
      <c r="O456" t="s">
        <v>2350</v>
      </c>
      <c r="P456" t="s">
        <v>2522</v>
      </c>
      <c r="Q456" t="s">
        <v>2524</v>
      </c>
    </row>
    <row r="457" spans="1:17" x14ac:dyDescent="0.35">
      <c r="A457" t="s">
        <v>1059</v>
      </c>
      <c r="B457" s="3">
        <v>45020</v>
      </c>
      <c r="C457" t="s">
        <v>2016</v>
      </c>
      <c r="D457" t="s">
        <v>2025</v>
      </c>
      <c r="E457" s="8">
        <v>1442</v>
      </c>
      <c r="F457">
        <v>4</v>
      </c>
      <c r="G457">
        <v>5</v>
      </c>
      <c r="H457" s="8">
        <v>5479.6</v>
      </c>
      <c r="I457">
        <v>1094.51</v>
      </c>
      <c r="J457">
        <v>1101.58</v>
      </c>
      <c r="K457" s="5">
        <f>IF(SalesData[[#This Row],[Total Revenue]]=0,0,SalesData[[#This Row],[Profit]]/SalesData[[#This Row],[Total Revenue]])</f>
        <v>0.20103292211110296</v>
      </c>
      <c r="L457" s="5" t="str">
        <f>TEXT(SalesData[[#This Row],[Date]],"mmm")</f>
        <v>Apr</v>
      </c>
      <c r="M457">
        <f>YEAR(SalesData[[#This Row],[Date]])</f>
        <v>2023</v>
      </c>
      <c r="N457">
        <f>WEEKNUM(SalesData[[#This Row],[Date]])</f>
        <v>14</v>
      </c>
      <c r="O457" t="s">
        <v>2198</v>
      </c>
      <c r="P457" t="s">
        <v>2522</v>
      </c>
      <c r="Q457" t="s">
        <v>2525</v>
      </c>
    </row>
    <row r="458" spans="1:17" x14ac:dyDescent="0.35">
      <c r="A458" t="s">
        <v>742</v>
      </c>
      <c r="B458" s="3">
        <v>45080</v>
      </c>
      <c r="C458" t="s">
        <v>2020</v>
      </c>
      <c r="D458" t="s">
        <v>2028</v>
      </c>
      <c r="E458" s="8">
        <v>914</v>
      </c>
      <c r="F458">
        <v>6</v>
      </c>
      <c r="G458">
        <v>0</v>
      </c>
      <c r="H458" s="8">
        <v>5484</v>
      </c>
      <c r="I458">
        <v>643.92999999999995</v>
      </c>
      <c r="J458">
        <v>1620.4</v>
      </c>
      <c r="K458" s="5">
        <f>IF(SalesData[[#This Row],[Total Revenue]]=0,0,SalesData[[#This Row],[Profit]]/SalesData[[#This Row],[Total Revenue]])</f>
        <v>0.2954777534646244</v>
      </c>
      <c r="L458" s="5" t="str">
        <f>TEXT(SalesData[[#This Row],[Date]],"mmm")</f>
        <v>Jun</v>
      </c>
      <c r="M458">
        <f>YEAR(SalesData[[#This Row],[Date]])</f>
        <v>2023</v>
      </c>
      <c r="N458">
        <f>WEEKNUM(SalesData[[#This Row],[Date]])</f>
        <v>22</v>
      </c>
      <c r="O458" t="s">
        <v>2030</v>
      </c>
      <c r="P458" t="s">
        <v>2522</v>
      </c>
      <c r="Q458" t="s">
        <v>2524</v>
      </c>
    </row>
    <row r="459" spans="1:17" x14ac:dyDescent="0.35">
      <c r="A459" t="s">
        <v>1452</v>
      </c>
      <c r="B459" s="3">
        <v>45141</v>
      </c>
      <c r="C459" t="s">
        <v>2017</v>
      </c>
      <c r="D459" t="s">
        <v>2026</v>
      </c>
      <c r="E459" s="8">
        <v>825</v>
      </c>
      <c r="F459">
        <v>7</v>
      </c>
      <c r="G459">
        <v>5</v>
      </c>
      <c r="H459" s="8">
        <v>5486.25</v>
      </c>
      <c r="I459">
        <v>651.78</v>
      </c>
      <c r="J459">
        <v>923.79</v>
      </c>
      <c r="K459" s="5">
        <f>IF(SalesData[[#This Row],[Total Revenue]]=0,0,SalesData[[#This Row],[Profit]]/SalesData[[#This Row],[Total Revenue]])</f>
        <v>0.16838277511961722</v>
      </c>
      <c r="L459" s="5" t="str">
        <f>TEXT(SalesData[[#This Row],[Date]],"mmm")</f>
        <v>Aug</v>
      </c>
      <c r="M459">
        <f>YEAR(SalesData[[#This Row],[Date]])</f>
        <v>2023</v>
      </c>
      <c r="N459">
        <f>WEEKNUM(SalesData[[#This Row],[Date]])</f>
        <v>31</v>
      </c>
      <c r="O459" t="s">
        <v>2190</v>
      </c>
      <c r="P459" t="s">
        <v>2523</v>
      </c>
      <c r="Q459" t="s">
        <v>2525</v>
      </c>
    </row>
    <row r="460" spans="1:17" x14ac:dyDescent="0.35">
      <c r="A460" t="s">
        <v>1504</v>
      </c>
      <c r="B460" s="3">
        <v>44964</v>
      </c>
      <c r="C460" t="s">
        <v>2016</v>
      </c>
      <c r="D460" t="s">
        <v>2025</v>
      </c>
      <c r="E460" s="8">
        <v>2154</v>
      </c>
      <c r="F460">
        <v>3</v>
      </c>
      <c r="G460">
        <v>15</v>
      </c>
      <c r="H460" s="8">
        <v>5492.7</v>
      </c>
      <c r="I460">
        <v>1082.17</v>
      </c>
      <c r="J460">
        <v>2246.19</v>
      </c>
      <c r="K460" s="5">
        <f>IF(SalesData[[#This Row],[Total Revenue]]=0,0,SalesData[[#This Row],[Profit]]/SalesData[[#This Row],[Total Revenue]])</f>
        <v>0.40894095799879843</v>
      </c>
      <c r="L460" s="5" t="str">
        <f>TEXT(SalesData[[#This Row],[Date]],"mmm")</f>
        <v>Feb</v>
      </c>
      <c r="M460">
        <f>YEAR(SalesData[[#This Row],[Date]])</f>
        <v>2023</v>
      </c>
      <c r="N460">
        <f>WEEKNUM(SalesData[[#This Row],[Date]])</f>
        <v>6</v>
      </c>
      <c r="O460" t="s">
        <v>2175</v>
      </c>
      <c r="P460" t="s">
        <v>2522</v>
      </c>
      <c r="Q460" t="s">
        <v>2525</v>
      </c>
    </row>
    <row r="461" spans="1:17" x14ac:dyDescent="0.35">
      <c r="A461" t="s">
        <v>1082</v>
      </c>
      <c r="B461" s="3">
        <v>45015</v>
      </c>
      <c r="C461" t="s">
        <v>2017</v>
      </c>
      <c r="D461" t="s">
        <v>2026</v>
      </c>
      <c r="E461" s="8">
        <v>3231</v>
      </c>
      <c r="F461">
        <v>2</v>
      </c>
      <c r="G461">
        <v>15</v>
      </c>
      <c r="H461" s="8">
        <v>5492.7</v>
      </c>
      <c r="I461">
        <v>1777.35</v>
      </c>
      <c r="J461">
        <v>1938.01</v>
      </c>
      <c r="K461" s="5">
        <f>IF(SalesData[[#This Row],[Total Revenue]]=0,0,SalesData[[#This Row],[Profit]]/SalesData[[#This Row],[Total Revenue]])</f>
        <v>0.35283376117392173</v>
      </c>
      <c r="L461" s="5" t="str">
        <f>TEXT(SalesData[[#This Row],[Date]],"mmm")</f>
        <v>Mar</v>
      </c>
      <c r="M461">
        <f>YEAR(SalesData[[#This Row],[Date]])</f>
        <v>2023</v>
      </c>
      <c r="N461">
        <f>WEEKNUM(SalesData[[#This Row],[Date]])</f>
        <v>13</v>
      </c>
      <c r="O461" t="s">
        <v>2145</v>
      </c>
      <c r="P461" t="s">
        <v>2523</v>
      </c>
      <c r="Q461" t="s">
        <v>2525</v>
      </c>
    </row>
    <row r="462" spans="1:17" x14ac:dyDescent="0.35">
      <c r="A462" t="s">
        <v>1381</v>
      </c>
      <c r="B462" s="3">
        <v>44955</v>
      </c>
      <c r="C462" t="s">
        <v>2015</v>
      </c>
      <c r="D462" t="s">
        <v>2025</v>
      </c>
      <c r="E462" s="8">
        <v>2158</v>
      </c>
      <c r="F462">
        <v>3</v>
      </c>
      <c r="G462">
        <v>15</v>
      </c>
      <c r="H462" s="8">
        <v>5502.9</v>
      </c>
      <c r="I462">
        <v>1096.99</v>
      </c>
      <c r="J462">
        <v>2211.9299999999998</v>
      </c>
      <c r="K462" s="5">
        <f>IF(SalesData[[#This Row],[Total Revenue]]=0,0,SalesData[[#This Row],[Profit]]/SalesData[[#This Row],[Total Revenue]])</f>
        <v>0.40195714986643405</v>
      </c>
      <c r="L462" s="5" t="str">
        <f>TEXT(SalesData[[#This Row],[Date]],"mmm")</f>
        <v>Jan</v>
      </c>
      <c r="M462">
        <f>YEAR(SalesData[[#This Row],[Date]])</f>
        <v>2023</v>
      </c>
      <c r="N462">
        <f>WEEKNUM(SalesData[[#This Row],[Date]])</f>
        <v>5</v>
      </c>
      <c r="O462" t="s">
        <v>2249</v>
      </c>
      <c r="P462" t="s">
        <v>2522</v>
      </c>
      <c r="Q462" t="s">
        <v>2527</v>
      </c>
    </row>
    <row r="463" spans="1:17" x14ac:dyDescent="0.35">
      <c r="A463" t="s">
        <v>987</v>
      </c>
      <c r="B463" s="3">
        <v>45272</v>
      </c>
      <c r="C463" t="s">
        <v>2022</v>
      </c>
      <c r="D463" t="s">
        <v>2024</v>
      </c>
      <c r="E463" s="8">
        <v>1377</v>
      </c>
      <c r="F463">
        <v>4</v>
      </c>
      <c r="G463">
        <v>0</v>
      </c>
      <c r="H463" s="8">
        <v>5508</v>
      </c>
      <c r="I463">
        <v>1031.0999999999999</v>
      </c>
      <c r="J463">
        <v>1383.61</v>
      </c>
      <c r="K463" s="5">
        <f>IF(SalesData[[#This Row],[Total Revenue]]=0,0,SalesData[[#This Row],[Profit]]/SalesData[[#This Row],[Total Revenue]])</f>
        <v>0.25120007262164123</v>
      </c>
      <c r="L463" s="5" t="str">
        <f>TEXT(SalesData[[#This Row],[Date]],"mmm")</f>
        <v>Dec</v>
      </c>
      <c r="M463">
        <f>YEAR(SalesData[[#This Row],[Date]])</f>
        <v>2023</v>
      </c>
      <c r="N463">
        <f>WEEKNUM(SalesData[[#This Row],[Date]])</f>
        <v>50</v>
      </c>
      <c r="O463" t="s">
        <v>2378</v>
      </c>
      <c r="P463" t="s">
        <v>2523</v>
      </c>
      <c r="Q463" t="s">
        <v>2527</v>
      </c>
    </row>
    <row r="464" spans="1:17" x14ac:dyDescent="0.35">
      <c r="A464" t="s">
        <v>1903</v>
      </c>
      <c r="B464" s="3">
        <v>44949</v>
      </c>
      <c r="C464" t="s">
        <v>2022</v>
      </c>
      <c r="D464" t="s">
        <v>2024</v>
      </c>
      <c r="E464" s="8">
        <v>2044</v>
      </c>
      <c r="F464">
        <v>3</v>
      </c>
      <c r="G464">
        <v>10</v>
      </c>
      <c r="H464" s="8">
        <v>5518.8</v>
      </c>
      <c r="I464">
        <v>1630.62</v>
      </c>
      <c r="J464">
        <v>626.95000000000005</v>
      </c>
      <c r="K464" s="5">
        <f>IF(SalesData[[#This Row],[Total Revenue]]=0,0,SalesData[[#This Row],[Profit]]/SalesData[[#This Row],[Total Revenue]])</f>
        <v>0.11360259476697833</v>
      </c>
      <c r="L464" s="5" t="str">
        <f>TEXT(SalesData[[#This Row],[Date]],"mmm")</f>
        <v>Jan</v>
      </c>
      <c r="M464">
        <f>YEAR(SalesData[[#This Row],[Date]])</f>
        <v>2023</v>
      </c>
      <c r="N464">
        <f>WEEKNUM(SalesData[[#This Row],[Date]])</f>
        <v>4</v>
      </c>
      <c r="O464" t="s">
        <v>2112</v>
      </c>
      <c r="P464" t="s">
        <v>2522</v>
      </c>
      <c r="Q464" t="s">
        <v>2527</v>
      </c>
    </row>
    <row r="465" spans="1:17" x14ac:dyDescent="0.35">
      <c r="A465" t="s">
        <v>1990</v>
      </c>
      <c r="B465" s="3">
        <v>44932</v>
      </c>
      <c r="C465" t="s">
        <v>2014</v>
      </c>
      <c r="D465" t="s">
        <v>2024</v>
      </c>
      <c r="E465" s="8">
        <v>1114</v>
      </c>
      <c r="F465">
        <v>5</v>
      </c>
      <c r="G465">
        <v>0</v>
      </c>
      <c r="H465" s="8">
        <v>5570</v>
      </c>
      <c r="I465">
        <v>796.17</v>
      </c>
      <c r="J465">
        <v>1589.15</v>
      </c>
      <c r="K465" s="5">
        <f>IF(SalesData[[#This Row],[Total Revenue]]=0,0,SalesData[[#This Row],[Profit]]/SalesData[[#This Row],[Total Revenue]])</f>
        <v>0.28530520646319568</v>
      </c>
      <c r="L465" s="5" t="str">
        <f>TEXT(SalesData[[#This Row],[Date]],"mmm")</f>
        <v>Jan</v>
      </c>
      <c r="M465">
        <f>YEAR(SalesData[[#This Row],[Date]])</f>
        <v>2023</v>
      </c>
      <c r="N465">
        <f>WEEKNUM(SalesData[[#This Row],[Date]])</f>
        <v>1</v>
      </c>
      <c r="O465" t="s">
        <v>2052</v>
      </c>
      <c r="P465" t="s">
        <v>2522</v>
      </c>
      <c r="Q465" t="s">
        <v>2524</v>
      </c>
    </row>
    <row r="466" spans="1:17" x14ac:dyDescent="0.35">
      <c r="A466" t="s">
        <v>808</v>
      </c>
      <c r="B466" s="3">
        <v>45084</v>
      </c>
      <c r="C466" t="s">
        <v>2013</v>
      </c>
      <c r="D466" t="s">
        <v>2023</v>
      </c>
      <c r="E466" s="8">
        <v>2940</v>
      </c>
      <c r="F466">
        <v>2</v>
      </c>
      <c r="G466">
        <v>5</v>
      </c>
      <c r="H466" s="8">
        <v>5586</v>
      </c>
      <c r="I466">
        <v>2347.69</v>
      </c>
      <c r="J466">
        <v>890.62</v>
      </c>
      <c r="K466" s="5">
        <f>IF(SalesData[[#This Row],[Total Revenue]]=0,0,SalesData[[#This Row],[Profit]]/SalesData[[#This Row],[Total Revenue]])</f>
        <v>0.15943788041532403</v>
      </c>
      <c r="L466" s="5" t="str">
        <f>TEXT(SalesData[[#This Row],[Date]],"mmm")</f>
        <v>Jun</v>
      </c>
      <c r="M466">
        <f>YEAR(SalesData[[#This Row],[Date]])</f>
        <v>2023</v>
      </c>
      <c r="N466">
        <f>WEEKNUM(SalesData[[#This Row],[Date]])</f>
        <v>23</v>
      </c>
      <c r="O466" t="s">
        <v>2136</v>
      </c>
      <c r="P466" t="s">
        <v>2522</v>
      </c>
      <c r="Q466" t="s">
        <v>2527</v>
      </c>
    </row>
    <row r="467" spans="1:17" x14ac:dyDescent="0.35">
      <c r="A467" t="s">
        <v>1804</v>
      </c>
      <c r="B467" s="3">
        <v>45058</v>
      </c>
      <c r="C467" t="s">
        <v>2015</v>
      </c>
      <c r="D467" t="s">
        <v>2025</v>
      </c>
      <c r="E467" s="8">
        <v>1398</v>
      </c>
      <c r="F467">
        <v>4</v>
      </c>
      <c r="G467">
        <v>0</v>
      </c>
      <c r="H467" s="8">
        <v>5592</v>
      </c>
      <c r="I467">
        <v>1115.43</v>
      </c>
      <c r="J467">
        <v>1130.3</v>
      </c>
      <c r="K467" s="5">
        <f>IF(SalesData[[#This Row],[Total Revenue]]=0,0,SalesData[[#This Row],[Profit]]/SalesData[[#This Row],[Total Revenue]])</f>
        <v>0.20212804005722459</v>
      </c>
      <c r="L467" s="5" t="str">
        <f>TEXT(SalesData[[#This Row],[Date]],"mmm")</f>
        <v>May</v>
      </c>
      <c r="M467">
        <f>YEAR(SalesData[[#This Row],[Date]])</f>
        <v>2023</v>
      </c>
      <c r="N467">
        <f>WEEKNUM(SalesData[[#This Row],[Date]])</f>
        <v>19</v>
      </c>
      <c r="O467" t="s">
        <v>2459</v>
      </c>
      <c r="P467" t="s">
        <v>2523</v>
      </c>
      <c r="Q467" t="s">
        <v>2525</v>
      </c>
    </row>
    <row r="468" spans="1:17" x14ac:dyDescent="0.35">
      <c r="A468" t="s">
        <v>1600</v>
      </c>
      <c r="B468" s="3">
        <v>45231</v>
      </c>
      <c r="C468" t="s">
        <v>2019</v>
      </c>
      <c r="D468" t="s">
        <v>2027</v>
      </c>
      <c r="E468" s="8">
        <v>1966</v>
      </c>
      <c r="F468">
        <v>3</v>
      </c>
      <c r="G468">
        <v>5</v>
      </c>
      <c r="H468" s="8">
        <v>5603.1</v>
      </c>
      <c r="I468">
        <v>1335.26</v>
      </c>
      <c r="J468">
        <v>1597.32</v>
      </c>
      <c r="K468" s="5">
        <f>IF(SalesData[[#This Row],[Total Revenue]]=0,0,SalesData[[#This Row],[Profit]]/SalesData[[#This Row],[Total Revenue]])</f>
        <v>0.28507790330352839</v>
      </c>
      <c r="L468" s="5" t="str">
        <f>TEXT(SalesData[[#This Row],[Date]],"mmm")</f>
        <v>Nov</v>
      </c>
      <c r="M468">
        <f>YEAR(SalesData[[#This Row],[Date]])</f>
        <v>2023</v>
      </c>
      <c r="N468">
        <f>WEEKNUM(SalesData[[#This Row],[Date]])</f>
        <v>44</v>
      </c>
      <c r="O468" t="s">
        <v>2429</v>
      </c>
      <c r="P468" t="s">
        <v>2523</v>
      </c>
      <c r="Q468" t="s">
        <v>2525</v>
      </c>
    </row>
    <row r="469" spans="1:17" x14ac:dyDescent="0.35">
      <c r="A469" t="s">
        <v>598</v>
      </c>
      <c r="B469" s="3">
        <v>44990</v>
      </c>
      <c r="C469" t="s">
        <v>2013</v>
      </c>
      <c r="D469" t="s">
        <v>2023</v>
      </c>
      <c r="E469" s="8">
        <v>3302</v>
      </c>
      <c r="F469">
        <v>2</v>
      </c>
      <c r="G469">
        <v>15</v>
      </c>
      <c r="H469" s="8">
        <v>5613.4</v>
      </c>
      <c r="I469">
        <v>1784.16</v>
      </c>
      <c r="J469">
        <v>2045.08</v>
      </c>
      <c r="K469" s="5">
        <f>IF(SalesData[[#This Row],[Total Revenue]]=0,0,SalesData[[#This Row],[Profit]]/SalesData[[#This Row],[Total Revenue]])</f>
        <v>0.36432108882317316</v>
      </c>
      <c r="L469" s="5" t="str">
        <f>TEXT(SalesData[[#This Row],[Date]],"mmm")</f>
        <v>Mar</v>
      </c>
      <c r="M469">
        <f>YEAR(SalesData[[#This Row],[Date]])</f>
        <v>2023</v>
      </c>
      <c r="N469">
        <f>WEEKNUM(SalesData[[#This Row],[Date]])</f>
        <v>10</v>
      </c>
      <c r="O469" t="s">
        <v>2212</v>
      </c>
      <c r="P469" t="s">
        <v>2522</v>
      </c>
      <c r="Q469" t="s">
        <v>2524</v>
      </c>
    </row>
    <row r="470" spans="1:17" x14ac:dyDescent="0.35">
      <c r="A470" t="s">
        <v>1029</v>
      </c>
      <c r="B470" s="3">
        <v>45184</v>
      </c>
      <c r="C470" t="s">
        <v>2016</v>
      </c>
      <c r="D470" t="s">
        <v>2025</v>
      </c>
      <c r="E470" s="8">
        <v>3303</v>
      </c>
      <c r="F470">
        <v>2</v>
      </c>
      <c r="G470">
        <v>15</v>
      </c>
      <c r="H470" s="8">
        <v>5615.1</v>
      </c>
      <c r="I470">
        <v>2301</v>
      </c>
      <c r="J470">
        <v>1013.1</v>
      </c>
      <c r="K470" s="5">
        <f>IF(SalesData[[#This Row],[Total Revenue]]=0,0,SalesData[[#This Row],[Profit]]/SalesData[[#This Row],[Total Revenue]])</f>
        <v>0.18042421328204306</v>
      </c>
      <c r="L470" s="5" t="str">
        <f>TEXT(SalesData[[#This Row],[Date]],"mmm")</f>
        <v>Sep</v>
      </c>
      <c r="M470">
        <f>YEAR(SalesData[[#This Row],[Date]])</f>
        <v>2023</v>
      </c>
      <c r="N470">
        <f>WEEKNUM(SalesData[[#This Row],[Date]])</f>
        <v>37</v>
      </c>
      <c r="O470" t="s">
        <v>2460</v>
      </c>
      <c r="P470" t="s">
        <v>2522</v>
      </c>
      <c r="Q470" t="s">
        <v>2524</v>
      </c>
    </row>
    <row r="471" spans="1:17" x14ac:dyDescent="0.35">
      <c r="A471" t="s">
        <v>912</v>
      </c>
      <c r="B471" s="3">
        <v>45056</v>
      </c>
      <c r="C471" t="s">
        <v>2021</v>
      </c>
      <c r="D471" t="s">
        <v>2028</v>
      </c>
      <c r="E471" s="8">
        <v>2213</v>
      </c>
      <c r="F471">
        <v>3</v>
      </c>
      <c r="G471">
        <v>15</v>
      </c>
      <c r="H471" s="8">
        <v>5643.15</v>
      </c>
      <c r="I471">
        <v>1631.8</v>
      </c>
      <c r="J471">
        <v>747.75</v>
      </c>
      <c r="K471" s="5">
        <f>IF(SalesData[[#This Row],[Total Revenue]]=0,0,SalesData[[#This Row],[Profit]]/SalesData[[#This Row],[Total Revenue]])</f>
        <v>0.13250578134552513</v>
      </c>
      <c r="L471" s="5" t="str">
        <f>TEXT(SalesData[[#This Row],[Date]],"mmm")</f>
        <v>May</v>
      </c>
      <c r="M471">
        <f>YEAR(SalesData[[#This Row],[Date]])</f>
        <v>2023</v>
      </c>
      <c r="N471">
        <f>WEEKNUM(SalesData[[#This Row],[Date]])</f>
        <v>19</v>
      </c>
      <c r="O471" t="s">
        <v>2371</v>
      </c>
      <c r="P471" t="s">
        <v>2522</v>
      </c>
      <c r="Q471" t="s">
        <v>2525</v>
      </c>
    </row>
    <row r="472" spans="1:17" x14ac:dyDescent="0.35">
      <c r="A472" t="s">
        <v>740</v>
      </c>
      <c r="B472" s="3">
        <v>44981</v>
      </c>
      <c r="C472" t="s">
        <v>2013</v>
      </c>
      <c r="D472" t="s">
        <v>2023</v>
      </c>
      <c r="E472" s="8">
        <v>1112</v>
      </c>
      <c r="F472">
        <v>6</v>
      </c>
      <c r="G472">
        <v>15</v>
      </c>
      <c r="H472" s="8">
        <v>5671.2</v>
      </c>
      <c r="I472">
        <v>684.33</v>
      </c>
      <c r="J472">
        <v>1565.2</v>
      </c>
      <c r="K472" s="5">
        <f>IF(SalesData[[#This Row],[Total Revenue]]=0,0,SalesData[[#This Row],[Profit]]/SalesData[[#This Row],[Total Revenue]])</f>
        <v>0.27599097192833971</v>
      </c>
      <c r="L472" s="5" t="str">
        <f>TEXT(SalesData[[#This Row],[Date]],"mmm")</f>
        <v>Feb</v>
      </c>
      <c r="M472">
        <f>YEAR(SalesData[[#This Row],[Date]])</f>
        <v>2023</v>
      </c>
      <c r="N472">
        <f>WEEKNUM(SalesData[[#This Row],[Date]])</f>
        <v>8</v>
      </c>
      <c r="O472" t="s">
        <v>2197</v>
      </c>
      <c r="P472" t="s">
        <v>2523</v>
      </c>
      <c r="Q472" t="s">
        <v>2526</v>
      </c>
    </row>
    <row r="473" spans="1:17" x14ac:dyDescent="0.35">
      <c r="A473" t="s">
        <v>1470</v>
      </c>
      <c r="B473" s="3">
        <v>45114</v>
      </c>
      <c r="C473" t="s">
        <v>2018</v>
      </c>
      <c r="D473" t="s">
        <v>2026</v>
      </c>
      <c r="E473" s="8">
        <v>2105</v>
      </c>
      <c r="F473">
        <v>3</v>
      </c>
      <c r="G473">
        <v>10</v>
      </c>
      <c r="H473" s="8">
        <v>5683.5</v>
      </c>
      <c r="I473">
        <v>1415.39</v>
      </c>
      <c r="J473">
        <v>1437.33</v>
      </c>
      <c r="K473" s="5">
        <f>IF(SalesData[[#This Row],[Total Revenue]]=0,0,SalesData[[#This Row],[Profit]]/SalesData[[#This Row],[Total Revenue]])</f>
        <v>0.25289522301398787</v>
      </c>
      <c r="L473" s="5" t="str">
        <f>TEXT(SalesData[[#This Row],[Date]],"mmm")</f>
        <v>Jul</v>
      </c>
      <c r="M473">
        <f>YEAR(SalesData[[#This Row],[Date]])</f>
        <v>2023</v>
      </c>
      <c r="N473">
        <f>WEEKNUM(SalesData[[#This Row],[Date]])</f>
        <v>27</v>
      </c>
      <c r="O473" t="s">
        <v>2068</v>
      </c>
      <c r="P473" t="s">
        <v>2523</v>
      </c>
      <c r="Q473" t="s">
        <v>2527</v>
      </c>
    </row>
    <row r="474" spans="1:17" x14ac:dyDescent="0.35">
      <c r="A474" t="s">
        <v>926</v>
      </c>
      <c r="B474" s="3">
        <v>45146</v>
      </c>
      <c r="C474" t="s">
        <v>2022</v>
      </c>
      <c r="D474" t="s">
        <v>2024</v>
      </c>
      <c r="E474" s="8">
        <v>3346</v>
      </c>
      <c r="F474">
        <v>2</v>
      </c>
      <c r="G474">
        <v>15</v>
      </c>
      <c r="H474" s="8">
        <v>5688.2</v>
      </c>
      <c r="I474">
        <v>2358.15</v>
      </c>
      <c r="J474">
        <v>971.9</v>
      </c>
      <c r="K474" s="5">
        <f>IF(SalesData[[#This Row],[Total Revenue]]=0,0,SalesData[[#This Row],[Profit]]/SalesData[[#This Row],[Total Revenue]])</f>
        <v>0.17086248725431596</v>
      </c>
      <c r="L474" s="5" t="str">
        <f>TEXT(SalesData[[#This Row],[Date]],"mmm")</f>
        <v>Aug</v>
      </c>
      <c r="M474">
        <f>YEAR(SalesData[[#This Row],[Date]])</f>
        <v>2023</v>
      </c>
      <c r="N474">
        <f>WEEKNUM(SalesData[[#This Row],[Date]])</f>
        <v>32</v>
      </c>
      <c r="O474" t="s">
        <v>2143</v>
      </c>
      <c r="P474" t="s">
        <v>2523</v>
      </c>
      <c r="Q474" t="s">
        <v>2525</v>
      </c>
    </row>
    <row r="475" spans="1:17" x14ac:dyDescent="0.35">
      <c r="A475" t="s">
        <v>1739</v>
      </c>
      <c r="B475" s="3">
        <v>45204</v>
      </c>
      <c r="C475" t="s">
        <v>2021</v>
      </c>
      <c r="D475" t="s">
        <v>2028</v>
      </c>
      <c r="E475" s="8">
        <v>2853</v>
      </c>
      <c r="F475">
        <v>2</v>
      </c>
      <c r="G475">
        <v>0</v>
      </c>
      <c r="H475" s="8">
        <v>5706</v>
      </c>
      <c r="I475">
        <v>1799.77</v>
      </c>
      <c r="J475">
        <v>2106.46</v>
      </c>
      <c r="K475" s="5">
        <f>IF(SalesData[[#This Row],[Total Revenue]]=0,0,SalesData[[#This Row],[Profit]]/SalesData[[#This Row],[Total Revenue]])</f>
        <v>0.36916579039607433</v>
      </c>
      <c r="L475" s="5" t="str">
        <f>TEXT(SalesData[[#This Row],[Date]],"mmm")</f>
        <v>Oct</v>
      </c>
      <c r="M475">
        <f>YEAR(SalesData[[#This Row],[Date]])</f>
        <v>2023</v>
      </c>
      <c r="N475">
        <f>WEEKNUM(SalesData[[#This Row],[Date]])</f>
        <v>40</v>
      </c>
      <c r="O475" t="s">
        <v>2089</v>
      </c>
      <c r="P475" t="s">
        <v>2523</v>
      </c>
      <c r="Q475" t="s">
        <v>2526</v>
      </c>
    </row>
    <row r="476" spans="1:17" x14ac:dyDescent="0.35">
      <c r="A476" t="s">
        <v>1891</v>
      </c>
      <c r="B476" s="3">
        <v>44988</v>
      </c>
      <c r="C476" t="s">
        <v>2016</v>
      </c>
      <c r="D476" t="s">
        <v>2025</v>
      </c>
      <c r="E476" s="8">
        <v>3357</v>
      </c>
      <c r="F476">
        <v>2</v>
      </c>
      <c r="G476">
        <v>15</v>
      </c>
      <c r="H476" s="8">
        <v>5706.9</v>
      </c>
      <c r="I476">
        <v>2460.5500000000002</v>
      </c>
      <c r="J476">
        <v>785.81</v>
      </c>
      <c r="K476" s="5">
        <f>IF(SalesData[[#This Row],[Total Revenue]]=0,0,SalesData[[#This Row],[Profit]]/SalesData[[#This Row],[Total Revenue]])</f>
        <v>0.1376947204261508</v>
      </c>
      <c r="L476" s="5" t="str">
        <f>TEXT(SalesData[[#This Row],[Date]],"mmm")</f>
        <v>Mar</v>
      </c>
      <c r="M476">
        <f>YEAR(SalesData[[#This Row],[Date]])</f>
        <v>2023</v>
      </c>
      <c r="N476">
        <f>WEEKNUM(SalesData[[#This Row],[Date]])</f>
        <v>9</v>
      </c>
      <c r="O476" t="s">
        <v>2078</v>
      </c>
      <c r="P476" t="s">
        <v>2523</v>
      </c>
      <c r="Q476" t="s">
        <v>2526</v>
      </c>
    </row>
    <row r="477" spans="1:17" x14ac:dyDescent="0.35">
      <c r="A477" t="s">
        <v>928</v>
      </c>
      <c r="B477" s="3">
        <v>45030</v>
      </c>
      <c r="C477" t="s">
        <v>2018</v>
      </c>
      <c r="D477" t="s">
        <v>2026</v>
      </c>
      <c r="E477" s="8">
        <v>1120</v>
      </c>
      <c r="F477">
        <v>6</v>
      </c>
      <c r="G477">
        <v>15</v>
      </c>
      <c r="H477" s="8">
        <v>5712</v>
      </c>
      <c r="I477">
        <v>689.88</v>
      </c>
      <c r="J477">
        <v>1572.74</v>
      </c>
      <c r="K477" s="5">
        <f>IF(SalesData[[#This Row],[Total Revenue]]=0,0,SalesData[[#This Row],[Profit]]/SalesData[[#This Row],[Total Revenue]])</f>
        <v>0.27533963585434174</v>
      </c>
      <c r="L477" s="5" t="str">
        <f>TEXT(SalesData[[#This Row],[Date]],"mmm")</f>
        <v>Apr</v>
      </c>
      <c r="M477">
        <f>YEAR(SalesData[[#This Row],[Date]])</f>
        <v>2023</v>
      </c>
      <c r="N477">
        <f>WEEKNUM(SalesData[[#This Row],[Date]])</f>
        <v>15</v>
      </c>
      <c r="O477" t="s">
        <v>2099</v>
      </c>
      <c r="P477" t="s">
        <v>2523</v>
      </c>
      <c r="Q477" t="s">
        <v>2525</v>
      </c>
    </row>
    <row r="478" spans="1:17" x14ac:dyDescent="0.35">
      <c r="A478" t="s">
        <v>1045</v>
      </c>
      <c r="B478" s="3">
        <v>45288</v>
      </c>
      <c r="C478" t="s">
        <v>2018</v>
      </c>
      <c r="D478" t="s">
        <v>2026</v>
      </c>
      <c r="E478" s="8">
        <v>3177</v>
      </c>
      <c r="F478">
        <v>2</v>
      </c>
      <c r="G478">
        <v>10</v>
      </c>
      <c r="H478" s="8">
        <v>5718.6</v>
      </c>
      <c r="I478">
        <v>1760.95</v>
      </c>
      <c r="J478">
        <v>2196.6999999999998</v>
      </c>
      <c r="K478" s="5">
        <f>IF(SalesData[[#This Row],[Total Revenue]]=0,0,SalesData[[#This Row],[Profit]]/SalesData[[#This Row],[Total Revenue]])</f>
        <v>0.38413247997761685</v>
      </c>
      <c r="L478" s="5" t="str">
        <f>TEXT(SalesData[[#This Row],[Date]],"mmm")</f>
        <v>Dec</v>
      </c>
      <c r="M478">
        <f>YEAR(SalesData[[#This Row],[Date]])</f>
        <v>2023</v>
      </c>
      <c r="N478">
        <f>WEEKNUM(SalesData[[#This Row],[Date]])</f>
        <v>52</v>
      </c>
      <c r="O478" t="s">
        <v>2208</v>
      </c>
      <c r="P478" t="s">
        <v>2522</v>
      </c>
      <c r="Q478" t="s">
        <v>2524</v>
      </c>
    </row>
    <row r="479" spans="1:17" x14ac:dyDescent="0.35">
      <c r="A479" t="s">
        <v>583</v>
      </c>
      <c r="B479" s="3">
        <v>45195</v>
      </c>
      <c r="C479" t="s">
        <v>2021</v>
      </c>
      <c r="D479" t="s">
        <v>2028</v>
      </c>
      <c r="E479" s="8">
        <v>1688</v>
      </c>
      <c r="F479">
        <v>4</v>
      </c>
      <c r="G479">
        <v>15</v>
      </c>
      <c r="H479" s="8">
        <v>5739.2</v>
      </c>
      <c r="I479">
        <v>1323.9</v>
      </c>
      <c r="J479">
        <v>443.61</v>
      </c>
      <c r="K479" s="5">
        <f>IF(SalesData[[#This Row],[Total Revenue]]=0,0,SalesData[[#This Row],[Profit]]/SalesData[[#This Row],[Total Revenue]])</f>
        <v>7.7294744912182883E-2</v>
      </c>
      <c r="L479" s="5" t="str">
        <f>TEXT(SalesData[[#This Row],[Date]],"mmm")</f>
        <v>Sep</v>
      </c>
      <c r="M479">
        <f>YEAR(SalesData[[#This Row],[Date]])</f>
        <v>2023</v>
      </c>
      <c r="N479">
        <f>WEEKNUM(SalesData[[#This Row],[Date]])</f>
        <v>39</v>
      </c>
      <c r="O479" t="s">
        <v>2053</v>
      </c>
      <c r="P479" t="s">
        <v>2522</v>
      </c>
      <c r="Q479" t="s">
        <v>2526</v>
      </c>
    </row>
    <row r="480" spans="1:17" x14ac:dyDescent="0.35">
      <c r="A480" t="s">
        <v>1266</v>
      </c>
      <c r="B480" s="3">
        <v>45198</v>
      </c>
      <c r="C480" t="s">
        <v>2019</v>
      </c>
      <c r="D480" t="s">
        <v>2027</v>
      </c>
      <c r="E480" s="8">
        <v>1439</v>
      </c>
      <c r="F480">
        <v>4</v>
      </c>
      <c r="G480">
        <v>0</v>
      </c>
      <c r="H480" s="8">
        <v>5756</v>
      </c>
      <c r="I480">
        <v>1146.5999999999999</v>
      </c>
      <c r="J480">
        <v>1169.6199999999999</v>
      </c>
      <c r="K480" s="5">
        <f>IF(SalesData[[#This Row],[Total Revenue]]=0,0,SalesData[[#This Row],[Profit]]/SalesData[[#This Row],[Total Revenue]])</f>
        <v>0.20320013898540651</v>
      </c>
      <c r="L480" s="5" t="str">
        <f>TEXT(SalesData[[#This Row],[Date]],"mmm")</f>
        <v>Sep</v>
      </c>
      <c r="M480">
        <f>YEAR(SalesData[[#This Row],[Date]])</f>
        <v>2023</v>
      </c>
      <c r="N480">
        <f>WEEKNUM(SalesData[[#This Row],[Date]])</f>
        <v>39</v>
      </c>
      <c r="O480" t="s">
        <v>2126</v>
      </c>
      <c r="P480" t="s">
        <v>2522</v>
      </c>
      <c r="Q480" t="s">
        <v>2526</v>
      </c>
    </row>
    <row r="481" spans="1:17" x14ac:dyDescent="0.35">
      <c r="A481" t="s">
        <v>230</v>
      </c>
      <c r="B481" s="3">
        <v>45053</v>
      </c>
      <c r="C481" t="s">
        <v>2019</v>
      </c>
      <c r="D481" t="s">
        <v>2027</v>
      </c>
      <c r="E481" s="8">
        <v>3035</v>
      </c>
      <c r="F481">
        <v>2</v>
      </c>
      <c r="G481">
        <v>5</v>
      </c>
      <c r="H481" s="8">
        <v>5766.5</v>
      </c>
      <c r="I481">
        <v>2276.3000000000002</v>
      </c>
      <c r="J481">
        <v>1213.9100000000001</v>
      </c>
      <c r="K481" s="5">
        <f>IF(SalesData[[#This Row],[Total Revenue]]=0,0,SalesData[[#This Row],[Profit]]/SalesData[[#This Row],[Total Revenue]])</f>
        <v>0.21051070840197694</v>
      </c>
      <c r="L481" s="5" t="str">
        <f>TEXT(SalesData[[#This Row],[Date]],"mmm")</f>
        <v>May</v>
      </c>
      <c r="M481">
        <f>YEAR(SalesData[[#This Row],[Date]])</f>
        <v>2023</v>
      </c>
      <c r="N481">
        <f>WEEKNUM(SalesData[[#This Row],[Date]])</f>
        <v>19</v>
      </c>
      <c r="O481" t="s">
        <v>2204</v>
      </c>
      <c r="P481" t="s">
        <v>2523</v>
      </c>
      <c r="Q481" t="s">
        <v>2524</v>
      </c>
    </row>
    <row r="482" spans="1:17" x14ac:dyDescent="0.35">
      <c r="A482" t="s">
        <v>1972</v>
      </c>
      <c r="B482" s="3">
        <v>45242</v>
      </c>
      <c r="C482" t="s">
        <v>2018</v>
      </c>
      <c r="D482" t="s">
        <v>2026</v>
      </c>
      <c r="E482" s="8">
        <v>1014</v>
      </c>
      <c r="F482">
        <v>6</v>
      </c>
      <c r="G482">
        <v>5</v>
      </c>
      <c r="H482" s="8">
        <v>5779.8</v>
      </c>
      <c r="I482">
        <v>664.14</v>
      </c>
      <c r="J482">
        <v>1794.97</v>
      </c>
      <c r="K482" s="5">
        <f>IF(SalesData[[#This Row],[Total Revenue]]=0,0,SalesData[[#This Row],[Profit]]/SalesData[[#This Row],[Total Revenue]])</f>
        <v>0.31055918889926987</v>
      </c>
      <c r="L482" s="5" t="str">
        <f>TEXT(SalesData[[#This Row],[Date]],"mmm")</f>
        <v>Nov</v>
      </c>
      <c r="M482">
        <f>YEAR(SalesData[[#This Row],[Date]])</f>
        <v>2023</v>
      </c>
      <c r="N482">
        <f>WEEKNUM(SalesData[[#This Row],[Date]])</f>
        <v>46</v>
      </c>
      <c r="O482" t="s">
        <v>2448</v>
      </c>
      <c r="P482" t="s">
        <v>2522</v>
      </c>
      <c r="Q482" t="s">
        <v>2524</v>
      </c>
    </row>
    <row r="483" spans="1:17" x14ac:dyDescent="0.35">
      <c r="A483" t="s">
        <v>560</v>
      </c>
      <c r="B483" s="3">
        <v>45187</v>
      </c>
      <c r="C483" t="s">
        <v>2021</v>
      </c>
      <c r="D483" t="s">
        <v>2028</v>
      </c>
      <c r="E483" s="8">
        <v>973</v>
      </c>
      <c r="F483">
        <v>7</v>
      </c>
      <c r="G483">
        <v>15</v>
      </c>
      <c r="H483" s="8">
        <v>5789.35</v>
      </c>
      <c r="I483">
        <v>606.67999999999995</v>
      </c>
      <c r="J483">
        <v>1542.6</v>
      </c>
      <c r="K483" s="5">
        <f>IF(SalesData[[#This Row],[Total Revenue]]=0,0,SalesData[[#This Row],[Profit]]/SalesData[[#This Row],[Total Revenue]])</f>
        <v>0.26645478335218975</v>
      </c>
      <c r="L483" s="5" t="str">
        <f>TEXT(SalesData[[#This Row],[Date]],"mmm")</f>
        <v>Sep</v>
      </c>
      <c r="M483">
        <f>YEAR(SalesData[[#This Row],[Date]])</f>
        <v>2023</v>
      </c>
      <c r="N483">
        <f>WEEKNUM(SalesData[[#This Row],[Date]])</f>
        <v>38</v>
      </c>
      <c r="O483" t="s">
        <v>2351</v>
      </c>
      <c r="P483" t="s">
        <v>2523</v>
      </c>
      <c r="Q483" t="s">
        <v>2525</v>
      </c>
    </row>
    <row r="484" spans="1:17" x14ac:dyDescent="0.35">
      <c r="A484" t="s">
        <v>1075</v>
      </c>
      <c r="B484" s="3">
        <v>45023</v>
      </c>
      <c r="C484" t="s">
        <v>2016</v>
      </c>
      <c r="D484" t="s">
        <v>2025</v>
      </c>
      <c r="E484" s="8">
        <v>2034</v>
      </c>
      <c r="F484">
        <v>3</v>
      </c>
      <c r="G484">
        <v>5</v>
      </c>
      <c r="H484" s="8">
        <v>5796.9</v>
      </c>
      <c r="I484">
        <v>1298.6099999999999</v>
      </c>
      <c r="J484">
        <v>1901.07</v>
      </c>
      <c r="K484" s="5">
        <f>IF(SalesData[[#This Row],[Total Revenue]]=0,0,SalesData[[#This Row],[Profit]]/SalesData[[#This Row],[Total Revenue]])</f>
        <v>0.32794597112249652</v>
      </c>
      <c r="L484" s="5" t="str">
        <f>TEXT(SalesData[[#This Row],[Date]],"mmm")</f>
        <v>Apr</v>
      </c>
      <c r="M484">
        <f>YEAR(SalesData[[#This Row],[Date]])</f>
        <v>2023</v>
      </c>
      <c r="N484">
        <f>WEEKNUM(SalesData[[#This Row],[Date]])</f>
        <v>14</v>
      </c>
      <c r="O484" t="s">
        <v>2339</v>
      </c>
      <c r="P484" t="s">
        <v>2523</v>
      </c>
      <c r="Q484" t="s">
        <v>2524</v>
      </c>
    </row>
    <row r="485" spans="1:17" x14ac:dyDescent="0.35">
      <c r="A485" t="s">
        <v>183</v>
      </c>
      <c r="B485" s="3">
        <v>45139</v>
      </c>
      <c r="C485" t="s">
        <v>2018</v>
      </c>
      <c r="D485" t="s">
        <v>2026</v>
      </c>
      <c r="E485" s="8">
        <v>2036</v>
      </c>
      <c r="F485">
        <v>3</v>
      </c>
      <c r="G485">
        <v>5</v>
      </c>
      <c r="H485" s="8">
        <v>5802.6</v>
      </c>
      <c r="I485">
        <v>1210.95</v>
      </c>
      <c r="J485">
        <v>2169.7600000000002</v>
      </c>
      <c r="K485" s="5">
        <f>IF(SalesData[[#This Row],[Total Revenue]]=0,0,SalesData[[#This Row],[Profit]]/SalesData[[#This Row],[Total Revenue]])</f>
        <v>0.3739289284114018</v>
      </c>
      <c r="L485" s="5" t="str">
        <f>TEXT(SalesData[[#This Row],[Date]],"mmm")</f>
        <v>Aug</v>
      </c>
      <c r="M485">
        <f>YEAR(SalesData[[#This Row],[Date]])</f>
        <v>2023</v>
      </c>
      <c r="N485">
        <f>WEEKNUM(SalesData[[#This Row],[Date]])</f>
        <v>31</v>
      </c>
      <c r="O485" t="s">
        <v>2070</v>
      </c>
      <c r="P485" t="s">
        <v>2522</v>
      </c>
      <c r="Q485" t="s">
        <v>2526</v>
      </c>
    </row>
    <row r="486" spans="1:17" x14ac:dyDescent="0.35">
      <c r="A486" t="s">
        <v>998</v>
      </c>
      <c r="B486" s="3">
        <v>45225</v>
      </c>
      <c r="C486" t="s">
        <v>2018</v>
      </c>
      <c r="D486" t="s">
        <v>2026</v>
      </c>
      <c r="E486" s="8">
        <v>1368</v>
      </c>
      <c r="F486">
        <v>5</v>
      </c>
      <c r="G486">
        <v>15</v>
      </c>
      <c r="H486" s="8">
        <v>5814</v>
      </c>
      <c r="I486">
        <v>859.64</v>
      </c>
      <c r="J486">
        <v>1515.8</v>
      </c>
      <c r="K486" s="5">
        <f>IF(SalesData[[#This Row],[Total Revenue]]=0,0,SalesData[[#This Row],[Profit]]/SalesData[[#This Row],[Total Revenue]])</f>
        <v>0.2607155142758858</v>
      </c>
      <c r="L486" s="5" t="str">
        <f>TEXT(SalesData[[#This Row],[Date]],"mmm")</f>
        <v>Oct</v>
      </c>
      <c r="M486">
        <f>YEAR(SalesData[[#This Row],[Date]])</f>
        <v>2023</v>
      </c>
      <c r="N486">
        <f>WEEKNUM(SalesData[[#This Row],[Date]])</f>
        <v>43</v>
      </c>
      <c r="O486" t="s">
        <v>2282</v>
      </c>
      <c r="P486" t="s">
        <v>2523</v>
      </c>
      <c r="Q486" t="s">
        <v>2524</v>
      </c>
    </row>
    <row r="487" spans="1:17" x14ac:dyDescent="0.35">
      <c r="A487" t="s">
        <v>501</v>
      </c>
      <c r="B487" s="3">
        <v>44928</v>
      </c>
      <c r="C487" t="s">
        <v>2017</v>
      </c>
      <c r="D487" t="s">
        <v>2026</v>
      </c>
      <c r="E487" s="8">
        <v>1939</v>
      </c>
      <c r="F487">
        <v>3</v>
      </c>
      <c r="G487">
        <v>0</v>
      </c>
      <c r="H487" s="8">
        <v>5817</v>
      </c>
      <c r="I487">
        <v>1518.34</v>
      </c>
      <c r="J487">
        <v>1261.98</v>
      </c>
      <c r="K487" s="5">
        <f>IF(SalesData[[#This Row],[Total Revenue]]=0,0,SalesData[[#This Row],[Profit]]/SalesData[[#This Row],[Total Revenue]])</f>
        <v>0.21694687983496649</v>
      </c>
      <c r="L487" s="5" t="str">
        <f>TEXT(SalesData[[#This Row],[Date]],"mmm")</f>
        <v>Jan</v>
      </c>
      <c r="M487">
        <f>YEAR(SalesData[[#This Row],[Date]])</f>
        <v>2023</v>
      </c>
      <c r="N487">
        <f>WEEKNUM(SalesData[[#This Row],[Date]])</f>
        <v>1</v>
      </c>
      <c r="O487" t="s">
        <v>2040</v>
      </c>
      <c r="P487" t="s">
        <v>2522</v>
      </c>
      <c r="Q487" t="s">
        <v>2524</v>
      </c>
    </row>
    <row r="488" spans="1:17" x14ac:dyDescent="0.35">
      <c r="A488" t="s">
        <v>1644</v>
      </c>
      <c r="B488" s="3">
        <v>45046</v>
      </c>
      <c r="C488" t="s">
        <v>2022</v>
      </c>
      <c r="D488" t="s">
        <v>2024</v>
      </c>
      <c r="E488" s="8">
        <v>3072</v>
      </c>
      <c r="F488">
        <v>2</v>
      </c>
      <c r="G488">
        <v>5</v>
      </c>
      <c r="H488" s="8">
        <v>5836.8</v>
      </c>
      <c r="I488">
        <v>2112.06</v>
      </c>
      <c r="J488">
        <v>1612.69</v>
      </c>
      <c r="K488" s="5">
        <f>IF(SalesData[[#This Row],[Total Revenue]]=0,0,SalesData[[#This Row],[Profit]]/SalesData[[#This Row],[Total Revenue]])</f>
        <v>0.27629694353070178</v>
      </c>
      <c r="L488" s="5" t="str">
        <f>TEXT(SalesData[[#This Row],[Date]],"mmm")</f>
        <v>Apr</v>
      </c>
      <c r="M488">
        <f>YEAR(SalesData[[#This Row],[Date]])</f>
        <v>2023</v>
      </c>
      <c r="N488">
        <f>WEEKNUM(SalesData[[#This Row],[Date]])</f>
        <v>18</v>
      </c>
      <c r="O488" t="s">
        <v>2512</v>
      </c>
      <c r="P488" t="s">
        <v>2522</v>
      </c>
      <c r="Q488" t="s">
        <v>2527</v>
      </c>
    </row>
    <row r="489" spans="1:17" x14ac:dyDescent="0.35">
      <c r="A489" t="s">
        <v>1361</v>
      </c>
      <c r="B489" s="3">
        <v>45256</v>
      </c>
      <c r="C489" t="s">
        <v>2017</v>
      </c>
      <c r="D489" t="s">
        <v>2026</v>
      </c>
      <c r="E489" s="8">
        <v>813</v>
      </c>
      <c r="F489">
        <v>8</v>
      </c>
      <c r="G489">
        <v>10</v>
      </c>
      <c r="H489" s="8">
        <v>5853.6</v>
      </c>
      <c r="I489">
        <v>533.23</v>
      </c>
      <c r="J489">
        <v>1587.8</v>
      </c>
      <c r="K489" s="5">
        <f>IF(SalesData[[#This Row],[Total Revenue]]=0,0,SalesData[[#This Row],[Profit]]/SalesData[[#This Row],[Total Revenue]])</f>
        <v>0.27125187918545851</v>
      </c>
      <c r="L489" s="5" t="str">
        <f>TEXT(SalesData[[#This Row],[Date]],"mmm")</f>
        <v>Nov</v>
      </c>
      <c r="M489">
        <f>YEAR(SalesData[[#This Row],[Date]])</f>
        <v>2023</v>
      </c>
      <c r="N489">
        <f>WEEKNUM(SalesData[[#This Row],[Date]])</f>
        <v>48</v>
      </c>
      <c r="O489" t="s">
        <v>2239</v>
      </c>
      <c r="P489" t="s">
        <v>2522</v>
      </c>
      <c r="Q489" t="s">
        <v>2524</v>
      </c>
    </row>
    <row r="490" spans="1:17" x14ac:dyDescent="0.35">
      <c r="A490" t="s">
        <v>1497</v>
      </c>
      <c r="B490" s="3">
        <v>45088</v>
      </c>
      <c r="C490" t="s">
        <v>2015</v>
      </c>
      <c r="D490" t="s">
        <v>2025</v>
      </c>
      <c r="E490" s="8">
        <v>3446</v>
      </c>
      <c r="F490">
        <v>2</v>
      </c>
      <c r="G490">
        <v>15</v>
      </c>
      <c r="H490" s="8">
        <v>5858.2</v>
      </c>
      <c r="I490">
        <v>2130.81</v>
      </c>
      <c r="J490">
        <v>1596.59</v>
      </c>
      <c r="K490" s="5">
        <f>IF(SalesData[[#This Row],[Total Revenue]]=0,0,SalesData[[#This Row],[Profit]]/SalesData[[#This Row],[Total Revenue]])</f>
        <v>0.27253934655696288</v>
      </c>
      <c r="L490" s="5" t="str">
        <f>TEXT(SalesData[[#This Row],[Date]],"mmm")</f>
        <v>Jun</v>
      </c>
      <c r="M490">
        <f>YEAR(SalesData[[#This Row],[Date]])</f>
        <v>2023</v>
      </c>
      <c r="N490">
        <f>WEEKNUM(SalesData[[#This Row],[Date]])</f>
        <v>24</v>
      </c>
      <c r="O490" t="s">
        <v>2039</v>
      </c>
      <c r="P490" t="s">
        <v>2522</v>
      </c>
      <c r="Q490" t="s">
        <v>2525</v>
      </c>
    </row>
    <row r="491" spans="1:17" x14ac:dyDescent="0.35">
      <c r="A491" t="s">
        <v>57</v>
      </c>
      <c r="B491" s="3">
        <v>45261</v>
      </c>
      <c r="C491" t="s">
        <v>2019</v>
      </c>
      <c r="D491" t="s">
        <v>2027</v>
      </c>
      <c r="E491" s="8">
        <v>882</v>
      </c>
      <c r="F491">
        <v>7</v>
      </c>
      <c r="G491">
        <v>5</v>
      </c>
      <c r="H491" s="8">
        <v>5865.3</v>
      </c>
      <c r="I491">
        <v>647.88</v>
      </c>
      <c r="J491">
        <v>1330.17</v>
      </c>
      <c r="K491" s="5">
        <f>IF(SalesData[[#This Row],[Total Revenue]]=0,0,SalesData[[#This Row],[Profit]]/SalesData[[#This Row],[Total Revenue]])</f>
        <v>0.22678635363920005</v>
      </c>
      <c r="L491" s="5" t="str">
        <f>TEXT(SalesData[[#This Row],[Date]],"mmm")</f>
        <v>Dec</v>
      </c>
      <c r="M491">
        <f>YEAR(SalesData[[#This Row],[Date]])</f>
        <v>2023</v>
      </c>
      <c r="N491">
        <f>WEEKNUM(SalesData[[#This Row],[Date]])</f>
        <v>48</v>
      </c>
      <c r="O491" t="s">
        <v>2068</v>
      </c>
      <c r="P491" t="s">
        <v>2523</v>
      </c>
      <c r="Q491" t="s">
        <v>2524</v>
      </c>
    </row>
    <row r="492" spans="1:17" x14ac:dyDescent="0.35">
      <c r="A492" t="s">
        <v>223</v>
      </c>
      <c r="B492" s="3">
        <v>45128</v>
      </c>
      <c r="C492" t="s">
        <v>2015</v>
      </c>
      <c r="D492" t="s">
        <v>2025</v>
      </c>
      <c r="E492" s="8">
        <v>1162</v>
      </c>
      <c r="F492">
        <v>6</v>
      </c>
      <c r="G492">
        <v>15</v>
      </c>
      <c r="H492" s="8">
        <v>5926.2</v>
      </c>
      <c r="I492">
        <v>924.82</v>
      </c>
      <c r="J492">
        <v>377.26</v>
      </c>
      <c r="K492" s="5">
        <f>IF(SalesData[[#This Row],[Total Revenue]]=0,0,SalesData[[#This Row],[Profit]]/SalesData[[#This Row],[Total Revenue]])</f>
        <v>6.3659680739765787E-2</v>
      </c>
      <c r="L492" s="5" t="str">
        <f>TEXT(SalesData[[#This Row],[Date]],"mmm")</f>
        <v>Jul</v>
      </c>
      <c r="M492">
        <f>YEAR(SalesData[[#This Row],[Date]])</f>
        <v>2023</v>
      </c>
      <c r="N492">
        <f>WEEKNUM(SalesData[[#This Row],[Date]])</f>
        <v>29</v>
      </c>
      <c r="O492" t="s">
        <v>2080</v>
      </c>
      <c r="P492" t="s">
        <v>2523</v>
      </c>
      <c r="Q492" t="s">
        <v>2524</v>
      </c>
    </row>
    <row r="493" spans="1:17" x14ac:dyDescent="0.35">
      <c r="A493" t="s">
        <v>1934</v>
      </c>
      <c r="B493" s="3">
        <v>45152</v>
      </c>
      <c r="C493" t="s">
        <v>2017</v>
      </c>
      <c r="D493" t="s">
        <v>2026</v>
      </c>
      <c r="E493" s="8">
        <v>1560</v>
      </c>
      <c r="F493">
        <v>4</v>
      </c>
      <c r="G493">
        <v>5</v>
      </c>
      <c r="H493" s="8">
        <v>5928</v>
      </c>
      <c r="I493">
        <v>809.3</v>
      </c>
      <c r="J493">
        <v>2690.78</v>
      </c>
      <c r="K493" s="5">
        <f>IF(SalesData[[#This Row],[Total Revenue]]=0,0,SalesData[[#This Row],[Profit]]/SalesData[[#This Row],[Total Revenue]])</f>
        <v>0.45391025641025645</v>
      </c>
      <c r="L493" s="5" t="str">
        <f>TEXT(SalesData[[#This Row],[Date]],"mmm")</f>
        <v>Aug</v>
      </c>
      <c r="M493">
        <f>YEAR(SalesData[[#This Row],[Date]])</f>
        <v>2023</v>
      </c>
      <c r="N493">
        <f>WEEKNUM(SalesData[[#This Row],[Date]])</f>
        <v>33</v>
      </c>
      <c r="O493" t="s">
        <v>2475</v>
      </c>
      <c r="P493" t="s">
        <v>2522</v>
      </c>
      <c r="Q493" t="s">
        <v>2524</v>
      </c>
    </row>
    <row r="494" spans="1:17" x14ac:dyDescent="0.35">
      <c r="A494" t="s">
        <v>1734</v>
      </c>
      <c r="B494" s="3">
        <v>45208</v>
      </c>
      <c r="C494" t="s">
        <v>2021</v>
      </c>
      <c r="D494" t="s">
        <v>2028</v>
      </c>
      <c r="E494" s="8">
        <v>1744</v>
      </c>
      <c r="F494">
        <v>4</v>
      </c>
      <c r="G494">
        <v>15</v>
      </c>
      <c r="H494" s="8">
        <v>5929.6</v>
      </c>
      <c r="I494">
        <v>1288.07</v>
      </c>
      <c r="J494">
        <v>777.34</v>
      </c>
      <c r="K494" s="5">
        <f>IF(SalesData[[#This Row],[Total Revenue]]=0,0,SalesData[[#This Row],[Profit]]/SalesData[[#This Row],[Total Revenue]])</f>
        <v>0.13109484619535888</v>
      </c>
      <c r="L494" s="5" t="str">
        <f>TEXT(SalesData[[#This Row],[Date]],"mmm")</f>
        <v>Oct</v>
      </c>
      <c r="M494">
        <f>YEAR(SalesData[[#This Row],[Date]])</f>
        <v>2023</v>
      </c>
      <c r="N494">
        <f>WEEKNUM(SalesData[[#This Row],[Date]])</f>
        <v>41</v>
      </c>
      <c r="O494" t="s">
        <v>2508</v>
      </c>
      <c r="P494" t="s">
        <v>2523</v>
      </c>
      <c r="Q494" t="s">
        <v>2527</v>
      </c>
    </row>
    <row r="495" spans="1:17" x14ac:dyDescent="0.35">
      <c r="A495" t="s">
        <v>285</v>
      </c>
      <c r="B495" s="3">
        <v>45290</v>
      </c>
      <c r="C495" t="s">
        <v>2014</v>
      </c>
      <c r="D495" t="s">
        <v>2024</v>
      </c>
      <c r="E495" s="8">
        <v>2972</v>
      </c>
      <c r="F495">
        <v>2</v>
      </c>
      <c r="G495">
        <v>0</v>
      </c>
      <c r="H495" s="8">
        <v>5944</v>
      </c>
      <c r="I495">
        <v>2328.15</v>
      </c>
      <c r="J495">
        <v>1287.71</v>
      </c>
      <c r="K495" s="5">
        <f>IF(SalesData[[#This Row],[Total Revenue]]=0,0,SalesData[[#This Row],[Profit]]/SalesData[[#This Row],[Total Revenue]])</f>
        <v>0.21664030955585464</v>
      </c>
      <c r="L495" s="5" t="str">
        <f>TEXT(SalesData[[#This Row],[Date]],"mmm")</f>
        <v>Dec</v>
      </c>
      <c r="M495">
        <f>YEAR(SalesData[[#This Row],[Date]])</f>
        <v>2023</v>
      </c>
      <c r="N495">
        <f>WEEKNUM(SalesData[[#This Row],[Date]])</f>
        <v>52</v>
      </c>
      <c r="O495" t="s">
        <v>2219</v>
      </c>
      <c r="P495" t="s">
        <v>2523</v>
      </c>
      <c r="Q495" t="s">
        <v>2525</v>
      </c>
    </row>
    <row r="496" spans="1:17" x14ac:dyDescent="0.35">
      <c r="A496" t="s">
        <v>40</v>
      </c>
      <c r="B496" s="3">
        <v>45185</v>
      </c>
      <c r="C496" t="s">
        <v>2020</v>
      </c>
      <c r="D496" t="s">
        <v>2028</v>
      </c>
      <c r="E496" s="8">
        <v>2980</v>
      </c>
      <c r="F496">
        <v>2</v>
      </c>
      <c r="G496">
        <v>0</v>
      </c>
      <c r="H496" s="8">
        <v>5960</v>
      </c>
      <c r="I496">
        <v>2097.9299999999998</v>
      </c>
      <c r="J496">
        <v>1764.14</v>
      </c>
      <c r="K496" s="5">
        <f>IF(SalesData[[#This Row],[Total Revenue]]=0,0,SalesData[[#This Row],[Profit]]/SalesData[[#This Row],[Total Revenue]])</f>
        <v>0.29599664429530204</v>
      </c>
      <c r="L496" s="5" t="str">
        <f>TEXT(SalesData[[#This Row],[Date]],"mmm")</f>
        <v>Sep</v>
      </c>
      <c r="M496">
        <f>YEAR(SalesData[[#This Row],[Date]])</f>
        <v>2023</v>
      </c>
      <c r="N496">
        <f>WEEKNUM(SalesData[[#This Row],[Date]])</f>
        <v>37</v>
      </c>
      <c r="O496" t="s">
        <v>2055</v>
      </c>
      <c r="P496" t="s">
        <v>2523</v>
      </c>
      <c r="Q496" t="s">
        <v>2527</v>
      </c>
    </row>
    <row r="497" spans="1:17" x14ac:dyDescent="0.35">
      <c r="A497" t="s">
        <v>1273</v>
      </c>
      <c r="B497" s="3">
        <v>44995</v>
      </c>
      <c r="C497" t="s">
        <v>2019</v>
      </c>
      <c r="D497" t="s">
        <v>2027</v>
      </c>
      <c r="E497" s="8">
        <v>1404</v>
      </c>
      <c r="F497">
        <v>5</v>
      </c>
      <c r="G497">
        <v>15</v>
      </c>
      <c r="H497" s="8">
        <v>5967</v>
      </c>
      <c r="I497">
        <v>1054.83</v>
      </c>
      <c r="J497">
        <v>692.83</v>
      </c>
      <c r="K497" s="5">
        <f>IF(SalesData[[#This Row],[Total Revenue]]=0,0,SalesData[[#This Row],[Profit]]/SalesData[[#This Row],[Total Revenue]])</f>
        <v>0.11611027316909671</v>
      </c>
      <c r="L497" s="5" t="str">
        <f>TEXT(SalesData[[#This Row],[Date]],"mmm")</f>
        <v>Mar</v>
      </c>
      <c r="M497">
        <f>YEAR(SalesData[[#This Row],[Date]])</f>
        <v>2023</v>
      </c>
      <c r="N497">
        <f>WEEKNUM(SalesData[[#This Row],[Date]])</f>
        <v>10</v>
      </c>
      <c r="O497" t="s">
        <v>2202</v>
      </c>
      <c r="P497" t="s">
        <v>2523</v>
      </c>
      <c r="Q497" t="s">
        <v>2525</v>
      </c>
    </row>
    <row r="498" spans="1:17" x14ac:dyDescent="0.35">
      <c r="A498" t="s">
        <v>694</v>
      </c>
      <c r="B498" s="3">
        <v>45213</v>
      </c>
      <c r="C498" t="s">
        <v>2021</v>
      </c>
      <c r="D498" t="s">
        <v>2028</v>
      </c>
      <c r="E498" s="8">
        <v>853</v>
      </c>
      <c r="F498">
        <v>7</v>
      </c>
      <c r="G498">
        <v>0</v>
      </c>
      <c r="H498" s="8">
        <v>5971</v>
      </c>
      <c r="I498">
        <v>507.15</v>
      </c>
      <c r="J498">
        <v>2420.9499999999998</v>
      </c>
      <c r="K498" s="5">
        <f>IF(SalesData[[#This Row],[Total Revenue]]=0,0,SalesData[[#This Row],[Profit]]/SalesData[[#This Row],[Total Revenue]])</f>
        <v>0.40545134818288392</v>
      </c>
      <c r="L498" s="5" t="str">
        <f>TEXT(SalesData[[#This Row],[Date]],"mmm")</f>
        <v>Oct</v>
      </c>
      <c r="M498">
        <f>YEAR(SalesData[[#This Row],[Date]])</f>
        <v>2023</v>
      </c>
      <c r="N498">
        <f>WEEKNUM(SalesData[[#This Row],[Date]])</f>
        <v>41</v>
      </c>
      <c r="O498" t="s">
        <v>2242</v>
      </c>
      <c r="P498" t="s">
        <v>2523</v>
      </c>
      <c r="Q498" t="s">
        <v>2527</v>
      </c>
    </row>
    <row r="499" spans="1:17" x14ac:dyDescent="0.35">
      <c r="A499" t="s">
        <v>1461</v>
      </c>
      <c r="B499" s="3">
        <v>45267</v>
      </c>
      <c r="C499" t="s">
        <v>2021</v>
      </c>
      <c r="D499" t="s">
        <v>2028</v>
      </c>
      <c r="E499" s="8">
        <v>3319</v>
      </c>
      <c r="F499">
        <v>2</v>
      </c>
      <c r="G499">
        <v>10</v>
      </c>
      <c r="H499" s="8">
        <v>5974.2</v>
      </c>
      <c r="I499">
        <v>1735.74</v>
      </c>
      <c r="J499">
        <v>2502.7199999999998</v>
      </c>
      <c r="K499" s="5">
        <f>IF(SalesData[[#This Row],[Total Revenue]]=0,0,SalesData[[#This Row],[Profit]]/SalesData[[#This Row],[Total Revenue]])</f>
        <v>0.41892136185598072</v>
      </c>
      <c r="L499" s="5" t="str">
        <f>TEXT(SalesData[[#This Row],[Date]],"mmm")</f>
        <v>Dec</v>
      </c>
      <c r="M499">
        <f>YEAR(SalesData[[#This Row],[Date]])</f>
        <v>2023</v>
      </c>
      <c r="N499">
        <f>WEEKNUM(SalesData[[#This Row],[Date]])</f>
        <v>49</v>
      </c>
      <c r="O499" t="s">
        <v>2453</v>
      </c>
      <c r="P499" t="s">
        <v>2522</v>
      </c>
      <c r="Q499" t="s">
        <v>2524</v>
      </c>
    </row>
    <row r="500" spans="1:17" x14ac:dyDescent="0.35">
      <c r="A500" t="s">
        <v>1540</v>
      </c>
      <c r="B500" s="3">
        <v>44954</v>
      </c>
      <c r="C500" t="s">
        <v>2021</v>
      </c>
      <c r="D500" t="s">
        <v>2028</v>
      </c>
      <c r="E500" s="8">
        <v>831</v>
      </c>
      <c r="F500">
        <v>8</v>
      </c>
      <c r="G500">
        <v>10</v>
      </c>
      <c r="H500" s="8">
        <v>5983.2</v>
      </c>
      <c r="I500">
        <v>519.13</v>
      </c>
      <c r="J500">
        <v>1830.15</v>
      </c>
      <c r="K500" s="5">
        <f>IF(SalesData[[#This Row],[Total Revenue]]=0,0,SalesData[[#This Row],[Profit]]/SalesData[[#This Row],[Total Revenue]])</f>
        <v>0.30588146811070999</v>
      </c>
      <c r="L500" s="5" t="str">
        <f>TEXT(SalesData[[#This Row],[Date]],"mmm")</f>
        <v>Jan</v>
      </c>
      <c r="M500">
        <f>YEAR(SalesData[[#This Row],[Date]])</f>
        <v>2023</v>
      </c>
      <c r="N500">
        <f>WEEKNUM(SalesData[[#This Row],[Date]])</f>
        <v>4</v>
      </c>
      <c r="O500" t="s">
        <v>2167</v>
      </c>
      <c r="P500" t="s">
        <v>2522</v>
      </c>
      <c r="Q500" t="s">
        <v>2524</v>
      </c>
    </row>
    <row r="501" spans="1:17" x14ac:dyDescent="0.35">
      <c r="A501" t="s">
        <v>1603</v>
      </c>
      <c r="B501" s="3">
        <v>45013</v>
      </c>
      <c r="C501" t="s">
        <v>2022</v>
      </c>
      <c r="D501" t="s">
        <v>2024</v>
      </c>
      <c r="E501" s="8">
        <v>881</v>
      </c>
      <c r="F501">
        <v>8</v>
      </c>
      <c r="G501">
        <v>15</v>
      </c>
      <c r="H501" s="8">
        <v>5990.8</v>
      </c>
      <c r="I501">
        <v>685.93</v>
      </c>
      <c r="J501">
        <v>503.33</v>
      </c>
      <c r="K501" s="5">
        <f>IF(SalesData[[#This Row],[Total Revenue]]=0,0,SalesData[[#This Row],[Profit]]/SalesData[[#This Row],[Total Revenue]])</f>
        <v>8.4017159644788675E-2</v>
      </c>
      <c r="L501" s="5" t="str">
        <f>TEXT(SalesData[[#This Row],[Date]],"mmm")</f>
        <v>Mar</v>
      </c>
      <c r="M501">
        <f>YEAR(SalesData[[#This Row],[Date]])</f>
        <v>2023</v>
      </c>
      <c r="N501">
        <f>WEEKNUM(SalesData[[#This Row],[Date]])</f>
        <v>13</v>
      </c>
      <c r="O501" t="s">
        <v>2360</v>
      </c>
      <c r="P501" t="s">
        <v>2522</v>
      </c>
      <c r="Q501" t="s">
        <v>2527</v>
      </c>
    </row>
    <row r="502" spans="1:17" x14ac:dyDescent="0.35">
      <c r="A502" t="s">
        <v>1161</v>
      </c>
      <c r="B502" s="3">
        <v>45243</v>
      </c>
      <c r="C502" t="s">
        <v>2018</v>
      </c>
      <c r="D502" t="s">
        <v>2026</v>
      </c>
      <c r="E502" s="8">
        <v>2996</v>
      </c>
      <c r="F502">
        <v>2</v>
      </c>
      <c r="G502">
        <v>0</v>
      </c>
      <c r="H502" s="8">
        <v>5992</v>
      </c>
      <c r="I502">
        <v>1559.03</v>
      </c>
      <c r="J502">
        <v>2873.94</v>
      </c>
      <c r="K502" s="5">
        <f>IF(SalesData[[#This Row],[Total Revenue]]=0,0,SalesData[[#This Row],[Profit]]/SalesData[[#This Row],[Total Revenue]])</f>
        <v>0.47962950600801069</v>
      </c>
      <c r="L502" s="5" t="str">
        <f>TEXT(SalesData[[#This Row],[Date]],"mmm")</f>
        <v>Nov</v>
      </c>
      <c r="M502">
        <f>YEAR(SalesData[[#This Row],[Date]])</f>
        <v>2023</v>
      </c>
      <c r="N502">
        <f>WEEKNUM(SalesData[[#This Row],[Date]])</f>
        <v>46</v>
      </c>
      <c r="O502" t="s">
        <v>2322</v>
      </c>
      <c r="P502" t="s">
        <v>2523</v>
      </c>
      <c r="Q502" t="s">
        <v>2525</v>
      </c>
    </row>
    <row r="503" spans="1:17" x14ac:dyDescent="0.35">
      <c r="A503" t="s">
        <v>1353</v>
      </c>
      <c r="B503" s="3">
        <v>44932</v>
      </c>
      <c r="C503" t="s">
        <v>2016</v>
      </c>
      <c r="D503" t="s">
        <v>2025</v>
      </c>
      <c r="E503" s="8">
        <v>3526</v>
      </c>
      <c r="F503">
        <v>2</v>
      </c>
      <c r="G503">
        <v>15</v>
      </c>
      <c r="H503" s="8">
        <v>5994.2</v>
      </c>
      <c r="I503">
        <v>1794.41</v>
      </c>
      <c r="J503">
        <v>2405.38</v>
      </c>
      <c r="K503" s="5">
        <f>IF(SalesData[[#This Row],[Total Revenue]]=0,0,SalesData[[#This Row],[Profit]]/SalesData[[#This Row],[Total Revenue]])</f>
        <v>0.40128457508925297</v>
      </c>
      <c r="L503" s="5" t="str">
        <f>TEXT(SalesData[[#This Row],[Date]],"mmm")</f>
        <v>Jan</v>
      </c>
      <c r="M503">
        <f>YEAR(SalesData[[#This Row],[Date]])</f>
        <v>2023</v>
      </c>
      <c r="N503">
        <f>WEEKNUM(SalesData[[#This Row],[Date]])</f>
        <v>1</v>
      </c>
      <c r="O503" t="s">
        <v>2460</v>
      </c>
      <c r="P503" t="s">
        <v>2523</v>
      </c>
      <c r="Q503" t="s">
        <v>2526</v>
      </c>
    </row>
    <row r="504" spans="1:17" x14ac:dyDescent="0.35">
      <c r="A504" t="s">
        <v>1123</v>
      </c>
      <c r="B504" s="3">
        <v>44981</v>
      </c>
      <c r="C504" t="s">
        <v>2017</v>
      </c>
      <c r="D504" t="s">
        <v>2026</v>
      </c>
      <c r="E504" s="8">
        <v>3527</v>
      </c>
      <c r="F504">
        <v>2</v>
      </c>
      <c r="G504">
        <v>15</v>
      </c>
      <c r="H504" s="8">
        <v>5995.9</v>
      </c>
      <c r="I504">
        <v>2430.89</v>
      </c>
      <c r="J504">
        <v>1134.1300000000001</v>
      </c>
      <c r="K504" s="5">
        <f>IF(SalesData[[#This Row],[Total Revenue]]=0,0,SalesData[[#This Row],[Profit]]/SalesData[[#This Row],[Total Revenue]])</f>
        <v>0.18915091979519341</v>
      </c>
      <c r="L504" s="5" t="str">
        <f>TEXT(SalesData[[#This Row],[Date]],"mmm")</f>
        <v>Feb</v>
      </c>
      <c r="M504">
        <f>YEAR(SalesData[[#This Row],[Date]])</f>
        <v>2023</v>
      </c>
      <c r="N504">
        <f>WEEKNUM(SalesData[[#This Row],[Date]])</f>
        <v>8</v>
      </c>
      <c r="O504" t="s">
        <v>2204</v>
      </c>
      <c r="P504" t="s">
        <v>2523</v>
      </c>
      <c r="Q504" t="s">
        <v>2525</v>
      </c>
    </row>
    <row r="505" spans="1:17" x14ac:dyDescent="0.35">
      <c r="A505" t="s">
        <v>603</v>
      </c>
      <c r="B505" s="3">
        <v>45278</v>
      </c>
      <c r="C505" t="s">
        <v>2017</v>
      </c>
      <c r="D505" t="s">
        <v>2026</v>
      </c>
      <c r="E505" s="8">
        <v>953</v>
      </c>
      <c r="F505">
        <v>7</v>
      </c>
      <c r="G505">
        <v>10</v>
      </c>
      <c r="H505" s="8">
        <v>6003.9</v>
      </c>
      <c r="I505">
        <v>609.9</v>
      </c>
      <c r="J505">
        <v>1734.57</v>
      </c>
      <c r="K505" s="5">
        <f>IF(SalesData[[#This Row],[Total Revenue]]=0,0,SalesData[[#This Row],[Profit]]/SalesData[[#This Row],[Total Revenue]])</f>
        <v>0.28890721031329636</v>
      </c>
      <c r="L505" s="5" t="str">
        <f>TEXT(SalesData[[#This Row],[Date]],"mmm")</f>
        <v>Dec</v>
      </c>
      <c r="M505">
        <f>YEAR(SalesData[[#This Row],[Date]])</f>
        <v>2023</v>
      </c>
      <c r="N505">
        <f>WEEKNUM(SalesData[[#This Row],[Date]])</f>
        <v>51</v>
      </c>
      <c r="O505" t="s">
        <v>2369</v>
      </c>
      <c r="P505" t="s">
        <v>2522</v>
      </c>
      <c r="Q505" t="s">
        <v>2527</v>
      </c>
    </row>
    <row r="506" spans="1:17" x14ac:dyDescent="0.35">
      <c r="A506" t="s">
        <v>368</v>
      </c>
      <c r="B506" s="3">
        <v>45058</v>
      </c>
      <c r="C506" t="s">
        <v>2018</v>
      </c>
      <c r="D506" t="s">
        <v>2026</v>
      </c>
      <c r="E506" s="8">
        <v>2110</v>
      </c>
      <c r="F506">
        <v>3</v>
      </c>
      <c r="G506">
        <v>5</v>
      </c>
      <c r="H506" s="8">
        <v>6013.5</v>
      </c>
      <c r="I506">
        <v>1380.09</v>
      </c>
      <c r="J506">
        <v>1873.23</v>
      </c>
      <c r="K506" s="5">
        <f>IF(SalesData[[#This Row],[Total Revenue]]=0,0,SalesData[[#This Row],[Profit]]/SalesData[[#This Row],[Total Revenue]])</f>
        <v>0.31150411573958592</v>
      </c>
      <c r="L506" s="5" t="str">
        <f>TEXT(SalesData[[#This Row],[Date]],"mmm")</f>
        <v>May</v>
      </c>
      <c r="M506">
        <f>YEAR(SalesData[[#This Row],[Date]])</f>
        <v>2023</v>
      </c>
      <c r="N506">
        <f>WEEKNUM(SalesData[[#This Row],[Date]])</f>
        <v>19</v>
      </c>
      <c r="O506" t="s">
        <v>2244</v>
      </c>
      <c r="P506" t="s">
        <v>2522</v>
      </c>
      <c r="Q506" t="s">
        <v>2525</v>
      </c>
    </row>
    <row r="507" spans="1:17" x14ac:dyDescent="0.35">
      <c r="A507" t="s">
        <v>1357</v>
      </c>
      <c r="B507" s="3">
        <v>45089</v>
      </c>
      <c r="C507" t="s">
        <v>2020</v>
      </c>
      <c r="D507" t="s">
        <v>2028</v>
      </c>
      <c r="E507" s="8">
        <v>1420</v>
      </c>
      <c r="F507">
        <v>5</v>
      </c>
      <c r="G507">
        <v>15</v>
      </c>
      <c r="H507" s="8">
        <v>6035</v>
      </c>
      <c r="I507">
        <v>907.28</v>
      </c>
      <c r="J507">
        <v>1498.6</v>
      </c>
      <c r="K507" s="5">
        <f>IF(SalesData[[#This Row],[Total Revenue]]=0,0,SalesData[[#This Row],[Profit]]/SalesData[[#This Row],[Total Revenue]])</f>
        <v>0.24831814415907205</v>
      </c>
      <c r="L507" s="5" t="str">
        <f>TEXT(SalesData[[#This Row],[Date]],"mmm")</f>
        <v>Jun</v>
      </c>
      <c r="M507">
        <f>YEAR(SalesData[[#This Row],[Date]])</f>
        <v>2023</v>
      </c>
      <c r="N507">
        <f>WEEKNUM(SalesData[[#This Row],[Date]])</f>
        <v>24</v>
      </c>
      <c r="O507" t="s">
        <v>2342</v>
      </c>
      <c r="P507" t="s">
        <v>2523</v>
      </c>
      <c r="Q507" t="s">
        <v>2524</v>
      </c>
    </row>
    <row r="508" spans="1:17" x14ac:dyDescent="0.35">
      <c r="A508" t="s">
        <v>1498</v>
      </c>
      <c r="B508" s="3">
        <v>45123</v>
      </c>
      <c r="C508" t="s">
        <v>2020</v>
      </c>
      <c r="D508" t="s">
        <v>2028</v>
      </c>
      <c r="E508" s="8">
        <v>3356</v>
      </c>
      <c r="F508">
        <v>2</v>
      </c>
      <c r="G508">
        <v>10</v>
      </c>
      <c r="H508" s="8">
        <v>6040.8</v>
      </c>
      <c r="I508">
        <v>1926.56</v>
      </c>
      <c r="J508">
        <v>2187.6799999999998</v>
      </c>
      <c r="K508" s="5">
        <f>IF(SalesData[[#This Row],[Total Revenue]]=0,0,SalesData[[#This Row],[Profit]]/SalesData[[#This Row],[Total Revenue]])</f>
        <v>0.36215070851542835</v>
      </c>
      <c r="L508" s="5" t="str">
        <f>TEXT(SalesData[[#This Row],[Date]],"mmm")</f>
        <v>Jul</v>
      </c>
      <c r="M508">
        <f>YEAR(SalesData[[#This Row],[Date]])</f>
        <v>2023</v>
      </c>
      <c r="N508">
        <f>WEEKNUM(SalesData[[#This Row],[Date]])</f>
        <v>29</v>
      </c>
      <c r="O508" t="s">
        <v>2202</v>
      </c>
      <c r="P508" t="s">
        <v>2523</v>
      </c>
      <c r="Q508" t="s">
        <v>2526</v>
      </c>
    </row>
    <row r="509" spans="1:17" x14ac:dyDescent="0.35">
      <c r="A509" t="s">
        <v>1349</v>
      </c>
      <c r="B509" s="3">
        <v>45247</v>
      </c>
      <c r="C509" t="s">
        <v>2014</v>
      </c>
      <c r="D509" t="s">
        <v>2024</v>
      </c>
      <c r="E509" s="8">
        <v>1777</v>
      </c>
      <c r="F509">
        <v>4</v>
      </c>
      <c r="G509">
        <v>15</v>
      </c>
      <c r="H509" s="8">
        <v>6041.8</v>
      </c>
      <c r="I509">
        <v>1347.3</v>
      </c>
      <c r="J509">
        <v>652.59</v>
      </c>
      <c r="K509" s="5">
        <f>IF(SalesData[[#This Row],[Total Revenue]]=0,0,SalesData[[#This Row],[Profit]]/SalesData[[#This Row],[Total Revenue]])</f>
        <v>0.10801251282730312</v>
      </c>
      <c r="L509" s="5" t="str">
        <f>TEXT(SalesData[[#This Row],[Date]],"mmm")</f>
        <v>Nov</v>
      </c>
      <c r="M509">
        <f>YEAR(SalesData[[#This Row],[Date]])</f>
        <v>2023</v>
      </c>
      <c r="N509">
        <f>WEEKNUM(SalesData[[#This Row],[Date]])</f>
        <v>46</v>
      </c>
      <c r="O509" t="s">
        <v>2429</v>
      </c>
      <c r="P509" t="s">
        <v>2523</v>
      </c>
      <c r="Q509" t="s">
        <v>2524</v>
      </c>
    </row>
    <row r="510" spans="1:17" x14ac:dyDescent="0.35">
      <c r="A510" t="s">
        <v>1089</v>
      </c>
      <c r="B510" s="3">
        <v>44991</v>
      </c>
      <c r="C510" t="s">
        <v>2019</v>
      </c>
      <c r="D510" t="s">
        <v>2027</v>
      </c>
      <c r="E510" s="8">
        <v>1780</v>
      </c>
      <c r="F510">
        <v>4</v>
      </c>
      <c r="G510">
        <v>15</v>
      </c>
      <c r="H510" s="8">
        <v>6052</v>
      </c>
      <c r="I510">
        <v>984.21</v>
      </c>
      <c r="J510">
        <v>2115.14</v>
      </c>
      <c r="K510" s="5">
        <f>IF(SalesData[[#This Row],[Total Revenue]]=0,0,SalesData[[#This Row],[Profit]]/SalesData[[#This Row],[Total Revenue]])</f>
        <v>0.34949438202247191</v>
      </c>
      <c r="L510" s="5" t="str">
        <f>TEXT(SalesData[[#This Row],[Date]],"mmm")</f>
        <v>Mar</v>
      </c>
      <c r="M510">
        <f>YEAR(SalesData[[#This Row],[Date]])</f>
        <v>2023</v>
      </c>
      <c r="N510">
        <f>WEEKNUM(SalesData[[#This Row],[Date]])</f>
        <v>10</v>
      </c>
      <c r="O510" t="s">
        <v>2240</v>
      </c>
      <c r="P510" t="s">
        <v>2522</v>
      </c>
      <c r="Q510" t="s">
        <v>2527</v>
      </c>
    </row>
    <row r="511" spans="1:17" x14ac:dyDescent="0.35">
      <c r="A511" t="s">
        <v>141</v>
      </c>
      <c r="B511" s="3">
        <v>45219</v>
      </c>
      <c r="C511" t="s">
        <v>2013</v>
      </c>
      <c r="D511" t="s">
        <v>2023</v>
      </c>
      <c r="E511" s="8">
        <v>1125</v>
      </c>
      <c r="F511">
        <v>6</v>
      </c>
      <c r="G511">
        <v>10</v>
      </c>
      <c r="H511" s="8">
        <v>6075</v>
      </c>
      <c r="I511">
        <v>717.23</v>
      </c>
      <c r="J511">
        <v>1771.61</v>
      </c>
      <c r="K511" s="5">
        <f>IF(SalesData[[#This Row],[Total Revenue]]=0,0,SalesData[[#This Row],[Profit]]/SalesData[[#This Row],[Total Revenue]])</f>
        <v>0.29162304526748972</v>
      </c>
      <c r="L511" s="5" t="str">
        <f>TEXT(SalesData[[#This Row],[Date]],"mmm")</f>
        <v>Oct</v>
      </c>
      <c r="M511">
        <f>YEAR(SalesData[[#This Row],[Date]])</f>
        <v>2023</v>
      </c>
      <c r="N511">
        <f>WEEKNUM(SalesData[[#This Row],[Date]])</f>
        <v>42</v>
      </c>
      <c r="O511" t="s">
        <v>2143</v>
      </c>
      <c r="P511" t="s">
        <v>2522</v>
      </c>
      <c r="Q511" t="s">
        <v>2525</v>
      </c>
    </row>
    <row r="512" spans="1:17" x14ac:dyDescent="0.35">
      <c r="A512" t="s">
        <v>1941</v>
      </c>
      <c r="B512" s="3">
        <v>45138</v>
      </c>
      <c r="C512" t="s">
        <v>2021</v>
      </c>
      <c r="D512" t="s">
        <v>2028</v>
      </c>
      <c r="E512" s="8">
        <v>3575</v>
      </c>
      <c r="F512">
        <v>2</v>
      </c>
      <c r="G512">
        <v>15</v>
      </c>
      <c r="H512" s="8">
        <v>6077.5</v>
      </c>
      <c r="I512">
        <v>2119.11</v>
      </c>
      <c r="J512">
        <v>1839.27</v>
      </c>
      <c r="K512" s="5">
        <f>IF(SalesData[[#This Row],[Total Revenue]]=0,0,SalesData[[#This Row],[Profit]]/SalesData[[#This Row],[Total Revenue]])</f>
        <v>0.3026359522830111</v>
      </c>
      <c r="L512" s="5" t="str">
        <f>TEXT(SalesData[[#This Row],[Date]],"mmm")</f>
        <v>Jul</v>
      </c>
      <c r="M512">
        <f>YEAR(SalesData[[#This Row],[Date]])</f>
        <v>2023</v>
      </c>
      <c r="N512">
        <f>WEEKNUM(SalesData[[#This Row],[Date]])</f>
        <v>31</v>
      </c>
      <c r="O512" t="s">
        <v>2407</v>
      </c>
      <c r="P512" t="s">
        <v>2523</v>
      </c>
      <c r="Q512" t="s">
        <v>2524</v>
      </c>
    </row>
    <row r="513" spans="1:17" x14ac:dyDescent="0.35">
      <c r="A513" t="s">
        <v>1192</v>
      </c>
      <c r="B513" s="3">
        <v>45058</v>
      </c>
      <c r="C513" t="s">
        <v>2022</v>
      </c>
      <c r="D513" t="s">
        <v>2024</v>
      </c>
      <c r="E513" s="8">
        <v>3381</v>
      </c>
      <c r="F513">
        <v>2</v>
      </c>
      <c r="G513">
        <v>10</v>
      </c>
      <c r="H513" s="8">
        <v>6085.8</v>
      </c>
      <c r="I513">
        <v>2523.7399999999998</v>
      </c>
      <c r="J513">
        <v>1038.32</v>
      </c>
      <c r="K513" s="5">
        <f>IF(SalesData[[#This Row],[Total Revenue]]=0,0,SalesData[[#This Row],[Profit]]/SalesData[[#This Row],[Total Revenue]])</f>
        <v>0.1706135594334352</v>
      </c>
      <c r="L513" s="5" t="str">
        <f>TEXT(SalesData[[#This Row],[Date]],"mmm")</f>
        <v>May</v>
      </c>
      <c r="M513">
        <f>YEAR(SalesData[[#This Row],[Date]])</f>
        <v>2023</v>
      </c>
      <c r="N513">
        <f>WEEKNUM(SalesData[[#This Row],[Date]])</f>
        <v>19</v>
      </c>
      <c r="O513" t="s">
        <v>2300</v>
      </c>
      <c r="P513" t="s">
        <v>2522</v>
      </c>
      <c r="Q513" t="s">
        <v>2525</v>
      </c>
    </row>
    <row r="514" spans="1:17" x14ac:dyDescent="0.35">
      <c r="A514" t="s">
        <v>266</v>
      </c>
      <c r="B514" s="3">
        <v>45093</v>
      </c>
      <c r="C514" t="s">
        <v>2017</v>
      </c>
      <c r="D514" t="s">
        <v>2026</v>
      </c>
      <c r="E514" s="8">
        <v>1222</v>
      </c>
      <c r="F514">
        <v>5</v>
      </c>
      <c r="G514">
        <v>0</v>
      </c>
      <c r="H514" s="8">
        <v>6110</v>
      </c>
      <c r="I514">
        <v>656.58</v>
      </c>
      <c r="J514">
        <v>2827.09</v>
      </c>
      <c r="K514" s="5">
        <f>IF(SalesData[[#This Row],[Total Revenue]]=0,0,SalesData[[#This Row],[Profit]]/SalesData[[#This Row],[Total Revenue]])</f>
        <v>0.46269885433715224</v>
      </c>
      <c r="L514" s="5" t="str">
        <f>TEXT(SalesData[[#This Row],[Date]],"mmm")</f>
        <v>Jun</v>
      </c>
      <c r="M514">
        <f>YEAR(SalesData[[#This Row],[Date]])</f>
        <v>2023</v>
      </c>
      <c r="N514">
        <f>WEEKNUM(SalesData[[#This Row],[Date]])</f>
        <v>24</v>
      </c>
      <c r="O514" t="s">
        <v>2228</v>
      </c>
      <c r="P514" t="s">
        <v>2523</v>
      </c>
      <c r="Q514" t="s">
        <v>2525</v>
      </c>
    </row>
    <row r="515" spans="1:17" x14ac:dyDescent="0.35">
      <c r="A515" t="s">
        <v>1115</v>
      </c>
      <c r="B515" s="3">
        <v>45006</v>
      </c>
      <c r="C515" t="s">
        <v>2018</v>
      </c>
      <c r="D515" t="s">
        <v>2026</v>
      </c>
      <c r="E515" s="8">
        <v>1019</v>
      </c>
      <c r="F515">
        <v>6</v>
      </c>
      <c r="G515">
        <v>0</v>
      </c>
      <c r="H515" s="8">
        <v>6114</v>
      </c>
      <c r="I515">
        <v>700.79</v>
      </c>
      <c r="J515">
        <v>1909.25</v>
      </c>
      <c r="K515" s="5">
        <f>IF(SalesData[[#This Row],[Total Revenue]]=0,0,SalesData[[#This Row],[Profit]]/SalesData[[#This Row],[Total Revenue]])</f>
        <v>0.31227510631337912</v>
      </c>
      <c r="L515" s="5" t="str">
        <f>TEXT(SalesData[[#This Row],[Date]],"mmm")</f>
        <v>Mar</v>
      </c>
      <c r="M515">
        <f>YEAR(SalesData[[#This Row],[Date]])</f>
        <v>2023</v>
      </c>
      <c r="N515">
        <f>WEEKNUM(SalesData[[#This Row],[Date]])</f>
        <v>12</v>
      </c>
      <c r="O515" t="s">
        <v>2434</v>
      </c>
      <c r="P515" t="s">
        <v>2522</v>
      </c>
      <c r="Q515" t="s">
        <v>2527</v>
      </c>
    </row>
    <row r="516" spans="1:17" x14ac:dyDescent="0.35">
      <c r="A516" t="s">
        <v>34</v>
      </c>
      <c r="B516" s="3">
        <v>45150</v>
      </c>
      <c r="C516" t="s">
        <v>2020</v>
      </c>
      <c r="D516" t="s">
        <v>2028</v>
      </c>
      <c r="E516" s="8">
        <v>2051</v>
      </c>
      <c r="F516">
        <v>3</v>
      </c>
      <c r="G516">
        <v>0</v>
      </c>
      <c r="H516" s="8">
        <v>6153</v>
      </c>
      <c r="I516">
        <v>1194.8399999999999</v>
      </c>
      <c r="J516">
        <v>2568.4899999999998</v>
      </c>
      <c r="K516" s="5">
        <f>IF(SalesData[[#This Row],[Total Revenue]]=0,0,SalesData[[#This Row],[Profit]]/SalesData[[#This Row],[Total Revenue]])</f>
        <v>0.41743702259060617</v>
      </c>
      <c r="L516" s="5" t="str">
        <f>TEXT(SalesData[[#This Row],[Date]],"mmm")</f>
        <v>Aug</v>
      </c>
      <c r="M516">
        <f>YEAR(SalesData[[#This Row],[Date]])</f>
        <v>2023</v>
      </c>
      <c r="N516">
        <f>WEEKNUM(SalesData[[#This Row],[Date]])</f>
        <v>32</v>
      </c>
      <c r="O516" t="s">
        <v>2049</v>
      </c>
      <c r="P516" t="s">
        <v>2523</v>
      </c>
      <c r="Q516" t="s">
        <v>2525</v>
      </c>
    </row>
    <row r="517" spans="1:17" x14ac:dyDescent="0.35">
      <c r="A517" t="s">
        <v>1957</v>
      </c>
      <c r="B517" s="3">
        <v>45274</v>
      </c>
      <c r="C517" t="s">
        <v>2022</v>
      </c>
      <c r="D517" t="s">
        <v>2024</v>
      </c>
      <c r="E517" s="8">
        <v>1368</v>
      </c>
      <c r="F517">
        <v>5</v>
      </c>
      <c r="G517">
        <v>10</v>
      </c>
      <c r="H517" s="8">
        <v>6156</v>
      </c>
      <c r="I517">
        <v>902.21</v>
      </c>
      <c r="J517">
        <v>1644.95</v>
      </c>
      <c r="K517" s="5">
        <f>IF(SalesData[[#This Row],[Total Revenue]]=0,0,SalesData[[#This Row],[Profit]]/SalesData[[#This Row],[Total Revenue]])</f>
        <v>0.26721085120207927</v>
      </c>
      <c r="L517" s="5" t="str">
        <f>TEXT(SalesData[[#This Row],[Date]],"mmm")</f>
        <v>Dec</v>
      </c>
      <c r="M517">
        <f>YEAR(SalesData[[#This Row],[Date]])</f>
        <v>2023</v>
      </c>
      <c r="N517">
        <f>WEEKNUM(SalesData[[#This Row],[Date]])</f>
        <v>50</v>
      </c>
      <c r="O517" t="s">
        <v>2182</v>
      </c>
      <c r="P517" t="s">
        <v>2522</v>
      </c>
      <c r="Q517" t="s">
        <v>2527</v>
      </c>
    </row>
    <row r="518" spans="1:17" x14ac:dyDescent="0.35">
      <c r="A518" t="s">
        <v>596</v>
      </c>
      <c r="B518" s="3">
        <v>45026</v>
      </c>
      <c r="C518" t="s">
        <v>2016</v>
      </c>
      <c r="D518" t="s">
        <v>2025</v>
      </c>
      <c r="E518" s="8">
        <v>856</v>
      </c>
      <c r="F518">
        <v>8</v>
      </c>
      <c r="G518">
        <v>10</v>
      </c>
      <c r="H518" s="8">
        <v>6163.2</v>
      </c>
      <c r="I518">
        <v>646.88</v>
      </c>
      <c r="J518">
        <v>988.17</v>
      </c>
      <c r="K518" s="5">
        <f>IF(SalesData[[#This Row],[Total Revenue]]=0,0,SalesData[[#This Row],[Profit]]/SalesData[[#This Row],[Total Revenue]])</f>
        <v>0.16033391744548287</v>
      </c>
      <c r="L518" s="5" t="str">
        <f>TEXT(SalesData[[#This Row],[Date]],"mmm")</f>
        <v>Apr</v>
      </c>
      <c r="M518">
        <f>YEAR(SalesData[[#This Row],[Date]])</f>
        <v>2023</v>
      </c>
      <c r="N518">
        <f>WEEKNUM(SalesData[[#This Row],[Date]])</f>
        <v>15</v>
      </c>
      <c r="O518" t="s">
        <v>2156</v>
      </c>
      <c r="P518" t="s">
        <v>2523</v>
      </c>
      <c r="Q518" t="s">
        <v>2527</v>
      </c>
    </row>
    <row r="519" spans="1:17" x14ac:dyDescent="0.35">
      <c r="A519" t="s">
        <v>1942</v>
      </c>
      <c r="B519" s="3">
        <v>45210</v>
      </c>
      <c r="C519" t="s">
        <v>2022</v>
      </c>
      <c r="D519" t="s">
        <v>2024</v>
      </c>
      <c r="E519" s="8">
        <v>2064</v>
      </c>
      <c r="F519">
        <v>3</v>
      </c>
      <c r="G519">
        <v>0</v>
      </c>
      <c r="H519" s="8">
        <v>6192</v>
      </c>
      <c r="I519">
        <v>1320.88</v>
      </c>
      <c r="J519">
        <v>2229.35</v>
      </c>
      <c r="K519" s="5">
        <f>IF(SalesData[[#This Row],[Total Revenue]]=0,0,SalesData[[#This Row],[Profit]]/SalesData[[#This Row],[Total Revenue]])</f>
        <v>0.36003714470284237</v>
      </c>
      <c r="L519" s="5" t="str">
        <f>TEXT(SalesData[[#This Row],[Date]],"mmm")</f>
        <v>Oct</v>
      </c>
      <c r="M519">
        <f>YEAR(SalesData[[#This Row],[Date]])</f>
        <v>2023</v>
      </c>
      <c r="N519">
        <f>WEEKNUM(SalesData[[#This Row],[Date]])</f>
        <v>41</v>
      </c>
      <c r="O519" t="s">
        <v>2235</v>
      </c>
      <c r="P519" t="s">
        <v>2522</v>
      </c>
      <c r="Q519" t="s">
        <v>2524</v>
      </c>
    </row>
    <row r="520" spans="1:17" x14ac:dyDescent="0.35">
      <c r="A520" t="s">
        <v>492</v>
      </c>
      <c r="B520" s="3">
        <v>45271</v>
      </c>
      <c r="C520" t="s">
        <v>2018</v>
      </c>
      <c r="D520" t="s">
        <v>2026</v>
      </c>
      <c r="E520" s="8">
        <v>3261</v>
      </c>
      <c r="F520">
        <v>2</v>
      </c>
      <c r="G520">
        <v>5</v>
      </c>
      <c r="H520" s="8">
        <v>6195.9</v>
      </c>
      <c r="I520">
        <v>2291.54</v>
      </c>
      <c r="J520">
        <v>1612.82</v>
      </c>
      <c r="K520" s="5">
        <f>IF(SalesData[[#This Row],[Total Revenue]]=0,0,SalesData[[#This Row],[Profit]]/SalesData[[#This Row],[Total Revenue]])</f>
        <v>0.26030439484175022</v>
      </c>
      <c r="L520" s="5" t="str">
        <f>TEXT(SalesData[[#This Row],[Date]],"mmm")</f>
        <v>Dec</v>
      </c>
      <c r="M520">
        <f>YEAR(SalesData[[#This Row],[Date]])</f>
        <v>2023</v>
      </c>
      <c r="N520">
        <f>WEEKNUM(SalesData[[#This Row],[Date]])</f>
        <v>50</v>
      </c>
      <c r="O520" t="s">
        <v>2108</v>
      </c>
      <c r="P520" t="s">
        <v>2522</v>
      </c>
      <c r="Q520" t="s">
        <v>2524</v>
      </c>
    </row>
    <row r="521" spans="1:17" x14ac:dyDescent="0.35">
      <c r="A521" t="s">
        <v>1683</v>
      </c>
      <c r="B521" s="3">
        <v>45100</v>
      </c>
      <c r="C521" t="s">
        <v>2013</v>
      </c>
      <c r="D521" t="s">
        <v>2023</v>
      </c>
      <c r="E521" s="8">
        <v>984</v>
      </c>
      <c r="F521">
        <v>7</v>
      </c>
      <c r="G521">
        <v>10</v>
      </c>
      <c r="H521" s="8">
        <v>6199.2</v>
      </c>
      <c r="I521">
        <v>539.84</v>
      </c>
      <c r="J521">
        <v>2420.3000000000002</v>
      </c>
      <c r="K521" s="5">
        <f>IF(SalesData[[#This Row],[Total Revenue]]=0,0,SalesData[[#This Row],[Profit]]/SalesData[[#This Row],[Total Revenue]])</f>
        <v>0.39042134468963741</v>
      </c>
      <c r="L521" s="5" t="str">
        <f>TEXT(SalesData[[#This Row],[Date]],"mmm")</f>
        <v>Jun</v>
      </c>
      <c r="M521">
        <f>YEAR(SalesData[[#This Row],[Date]])</f>
        <v>2023</v>
      </c>
      <c r="N521">
        <f>WEEKNUM(SalesData[[#This Row],[Date]])</f>
        <v>25</v>
      </c>
      <c r="O521" t="s">
        <v>2066</v>
      </c>
      <c r="P521" t="s">
        <v>2522</v>
      </c>
      <c r="Q521" t="s">
        <v>2527</v>
      </c>
    </row>
    <row r="522" spans="1:17" x14ac:dyDescent="0.35">
      <c r="A522" t="s">
        <v>1752</v>
      </c>
      <c r="B522" s="3">
        <v>45266</v>
      </c>
      <c r="C522" t="s">
        <v>2015</v>
      </c>
      <c r="D522" t="s">
        <v>2025</v>
      </c>
      <c r="E522" s="8">
        <v>1727</v>
      </c>
      <c r="F522">
        <v>4</v>
      </c>
      <c r="G522">
        <v>10</v>
      </c>
      <c r="H522" s="8">
        <v>6217.2</v>
      </c>
      <c r="I522">
        <v>1280.3499999999999</v>
      </c>
      <c r="J522">
        <v>1095.82</v>
      </c>
      <c r="K522" s="5">
        <f>IF(SalesData[[#This Row],[Total Revenue]]=0,0,SalesData[[#This Row],[Profit]]/SalesData[[#This Row],[Total Revenue]])</f>
        <v>0.17625619249823071</v>
      </c>
      <c r="L522" s="5" t="str">
        <f>TEXT(SalesData[[#This Row],[Date]],"mmm")</f>
        <v>Dec</v>
      </c>
      <c r="M522">
        <f>YEAR(SalesData[[#This Row],[Date]])</f>
        <v>2023</v>
      </c>
      <c r="N522">
        <f>WEEKNUM(SalesData[[#This Row],[Date]])</f>
        <v>49</v>
      </c>
      <c r="O522" t="s">
        <v>2162</v>
      </c>
      <c r="P522" t="s">
        <v>2522</v>
      </c>
      <c r="Q522" t="s">
        <v>2527</v>
      </c>
    </row>
    <row r="523" spans="1:17" x14ac:dyDescent="0.35">
      <c r="A523" t="s">
        <v>663</v>
      </c>
      <c r="B523" s="3">
        <v>45106</v>
      </c>
      <c r="C523" t="s">
        <v>2017</v>
      </c>
      <c r="D523" t="s">
        <v>2026</v>
      </c>
      <c r="E523" s="8">
        <v>1639</v>
      </c>
      <c r="F523">
        <v>4</v>
      </c>
      <c r="G523">
        <v>5</v>
      </c>
      <c r="H523" s="8">
        <v>6228.2</v>
      </c>
      <c r="I523">
        <v>1073.76</v>
      </c>
      <c r="J523">
        <v>1933.14</v>
      </c>
      <c r="K523" s="5">
        <f>IF(SalesData[[#This Row],[Total Revenue]]=0,0,SalesData[[#This Row],[Profit]]/SalesData[[#This Row],[Total Revenue]])</f>
        <v>0.3103850229600848</v>
      </c>
      <c r="L523" s="5" t="str">
        <f>TEXT(SalesData[[#This Row],[Date]],"mmm")</f>
        <v>Jun</v>
      </c>
      <c r="M523">
        <f>YEAR(SalesData[[#This Row],[Date]])</f>
        <v>2023</v>
      </c>
      <c r="N523">
        <f>WEEKNUM(SalesData[[#This Row],[Date]])</f>
        <v>26</v>
      </c>
      <c r="O523" t="s">
        <v>2318</v>
      </c>
      <c r="P523" t="s">
        <v>2523</v>
      </c>
      <c r="Q523" t="s">
        <v>2527</v>
      </c>
    </row>
    <row r="524" spans="1:17" x14ac:dyDescent="0.35">
      <c r="A524" t="s">
        <v>664</v>
      </c>
      <c r="B524" s="3">
        <v>44967</v>
      </c>
      <c r="C524" t="s">
        <v>2014</v>
      </c>
      <c r="D524" t="s">
        <v>2024</v>
      </c>
      <c r="E524" s="8">
        <v>1835</v>
      </c>
      <c r="F524">
        <v>4</v>
      </c>
      <c r="G524">
        <v>15</v>
      </c>
      <c r="H524" s="8">
        <v>6239</v>
      </c>
      <c r="I524">
        <v>918.71</v>
      </c>
      <c r="J524">
        <v>2564.15</v>
      </c>
      <c r="K524" s="5">
        <f>IF(SalesData[[#This Row],[Total Revenue]]=0,0,SalesData[[#This Row],[Profit]]/SalesData[[#This Row],[Total Revenue]])</f>
        <v>0.41098733771437734</v>
      </c>
      <c r="L524" s="5" t="str">
        <f>TEXT(SalesData[[#This Row],[Date]],"mmm")</f>
        <v>Feb</v>
      </c>
      <c r="M524">
        <f>YEAR(SalesData[[#This Row],[Date]])</f>
        <v>2023</v>
      </c>
      <c r="N524">
        <f>WEEKNUM(SalesData[[#This Row],[Date]])</f>
        <v>6</v>
      </c>
      <c r="O524" t="s">
        <v>2394</v>
      </c>
      <c r="P524" t="s">
        <v>2522</v>
      </c>
      <c r="Q524" t="s">
        <v>2524</v>
      </c>
    </row>
    <row r="525" spans="1:17" x14ac:dyDescent="0.35">
      <c r="A525" t="s">
        <v>1965</v>
      </c>
      <c r="B525" s="3">
        <v>44945</v>
      </c>
      <c r="C525" t="s">
        <v>2019</v>
      </c>
      <c r="D525" t="s">
        <v>2027</v>
      </c>
      <c r="E525" s="8">
        <v>1836</v>
      </c>
      <c r="F525">
        <v>4</v>
      </c>
      <c r="G525">
        <v>15</v>
      </c>
      <c r="H525" s="8">
        <v>6242.4</v>
      </c>
      <c r="I525">
        <v>969.38</v>
      </c>
      <c r="J525">
        <v>2364.89</v>
      </c>
      <c r="K525" s="5">
        <f>IF(SalesData[[#This Row],[Total Revenue]]=0,0,SalesData[[#This Row],[Profit]]/SalesData[[#This Row],[Total Revenue]])</f>
        <v>0.37884307317698324</v>
      </c>
      <c r="L525" s="5" t="str">
        <f>TEXT(SalesData[[#This Row],[Date]],"mmm")</f>
        <v>Jan</v>
      </c>
      <c r="M525">
        <f>YEAR(SalesData[[#This Row],[Date]])</f>
        <v>2023</v>
      </c>
      <c r="N525">
        <f>WEEKNUM(SalesData[[#This Row],[Date]])</f>
        <v>3</v>
      </c>
      <c r="O525" t="s">
        <v>2154</v>
      </c>
      <c r="P525" t="s">
        <v>2523</v>
      </c>
      <c r="Q525" t="s">
        <v>2526</v>
      </c>
    </row>
    <row r="526" spans="1:17" x14ac:dyDescent="0.35">
      <c r="A526" t="s">
        <v>1650</v>
      </c>
      <c r="B526" s="3">
        <v>45112</v>
      </c>
      <c r="C526" t="s">
        <v>2014</v>
      </c>
      <c r="D526" t="s">
        <v>2024</v>
      </c>
      <c r="E526" s="8">
        <v>1225</v>
      </c>
      <c r="F526">
        <v>6</v>
      </c>
      <c r="G526">
        <v>15</v>
      </c>
      <c r="H526" s="8">
        <v>6247.5</v>
      </c>
      <c r="I526">
        <v>746.74</v>
      </c>
      <c r="J526">
        <v>1767.07</v>
      </c>
      <c r="K526" s="5">
        <f>IF(SalesData[[#This Row],[Total Revenue]]=0,0,SalesData[[#This Row],[Profit]]/SalesData[[#This Row],[Total Revenue]])</f>
        <v>0.28284433773509404</v>
      </c>
      <c r="L526" s="5" t="str">
        <f>TEXT(SalesData[[#This Row],[Date]],"mmm")</f>
        <v>Jul</v>
      </c>
      <c r="M526">
        <f>YEAR(SalesData[[#This Row],[Date]])</f>
        <v>2023</v>
      </c>
      <c r="N526">
        <f>WEEKNUM(SalesData[[#This Row],[Date]])</f>
        <v>27</v>
      </c>
      <c r="O526" t="s">
        <v>2493</v>
      </c>
      <c r="P526" t="s">
        <v>2522</v>
      </c>
      <c r="Q526" t="s">
        <v>2524</v>
      </c>
    </row>
    <row r="527" spans="1:17" x14ac:dyDescent="0.35">
      <c r="A527" t="s">
        <v>112</v>
      </c>
      <c r="B527" s="3">
        <v>45174</v>
      </c>
      <c r="C527" t="s">
        <v>2017</v>
      </c>
      <c r="D527" t="s">
        <v>2026</v>
      </c>
      <c r="E527" s="8">
        <v>1838</v>
      </c>
      <c r="F527">
        <v>4</v>
      </c>
      <c r="G527">
        <v>15</v>
      </c>
      <c r="H527" s="8">
        <v>6249.2</v>
      </c>
      <c r="I527">
        <v>1247.25</v>
      </c>
      <c r="J527">
        <v>1260.2</v>
      </c>
      <c r="K527" s="5">
        <f>IF(SalesData[[#This Row],[Total Revenue]]=0,0,SalesData[[#This Row],[Profit]]/SalesData[[#This Row],[Total Revenue]])</f>
        <v>0.20165781219996159</v>
      </c>
      <c r="L527" s="5" t="str">
        <f>TEXT(SalesData[[#This Row],[Date]],"mmm")</f>
        <v>Sep</v>
      </c>
      <c r="M527">
        <f>YEAR(SalesData[[#This Row],[Date]])</f>
        <v>2023</v>
      </c>
      <c r="N527">
        <f>WEEKNUM(SalesData[[#This Row],[Date]])</f>
        <v>36</v>
      </c>
      <c r="O527" t="s">
        <v>2117</v>
      </c>
      <c r="P527" t="s">
        <v>2522</v>
      </c>
      <c r="Q527" t="s">
        <v>2527</v>
      </c>
    </row>
    <row r="528" spans="1:17" x14ac:dyDescent="0.35">
      <c r="A528" t="s">
        <v>1958</v>
      </c>
      <c r="B528" s="3">
        <v>45045</v>
      </c>
      <c r="C528" t="s">
        <v>2015</v>
      </c>
      <c r="D528" t="s">
        <v>2025</v>
      </c>
      <c r="E528" s="8">
        <v>3688</v>
      </c>
      <c r="F528">
        <v>2</v>
      </c>
      <c r="G528">
        <v>15</v>
      </c>
      <c r="H528" s="8">
        <v>6269.6</v>
      </c>
      <c r="I528">
        <v>2694.85</v>
      </c>
      <c r="J528">
        <v>879.9</v>
      </c>
      <c r="K528" s="5">
        <f>IF(SalesData[[#This Row],[Total Revenue]]=0,0,SalesData[[#This Row],[Profit]]/SalesData[[#This Row],[Total Revenue]])</f>
        <v>0.1403438815873421</v>
      </c>
      <c r="L528" s="5" t="str">
        <f>TEXT(SalesData[[#This Row],[Date]],"mmm")</f>
        <v>Apr</v>
      </c>
      <c r="M528">
        <f>YEAR(SalesData[[#This Row],[Date]])</f>
        <v>2023</v>
      </c>
      <c r="N528">
        <f>WEEKNUM(SalesData[[#This Row],[Date]])</f>
        <v>17</v>
      </c>
      <c r="O528" t="s">
        <v>2444</v>
      </c>
      <c r="P528" t="s">
        <v>2523</v>
      </c>
      <c r="Q528" t="s">
        <v>2526</v>
      </c>
    </row>
    <row r="529" spans="1:17" x14ac:dyDescent="0.35">
      <c r="A529" t="s">
        <v>1556</v>
      </c>
      <c r="B529" s="3">
        <v>45007</v>
      </c>
      <c r="C529" t="s">
        <v>2019</v>
      </c>
      <c r="D529" t="s">
        <v>2027</v>
      </c>
      <c r="E529" s="8">
        <v>3136</v>
      </c>
      <c r="F529">
        <v>2</v>
      </c>
      <c r="G529">
        <v>0</v>
      </c>
      <c r="H529" s="8">
        <v>6272</v>
      </c>
      <c r="I529">
        <v>1629.58</v>
      </c>
      <c r="J529">
        <v>3012.85</v>
      </c>
      <c r="K529" s="5">
        <f>IF(SalesData[[#This Row],[Total Revenue]]=0,0,SalesData[[#This Row],[Profit]]/SalesData[[#This Row],[Total Revenue]])</f>
        <v>0.48036511479591837</v>
      </c>
      <c r="L529" s="5" t="str">
        <f>TEXT(SalesData[[#This Row],[Date]],"mmm")</f>
        <v>Mar</v>
      </c>
      <c r="M529">
        <f>YEAR(SalesData[[#This Row],[Date]])</f>
        <v>2023</v>
      </c>
      <c r="N529">
        <f>WEEKNUM(SalesData[[#This Row],[Date]])</f>
        <v>12</v>
      </c>
      <c r="O529" t="s">
        <v>2383</v>
      </c>
      <c r="P529" t="s">
        <v>2522</v>
      </c>
      <c r="Q529" t="s">
        <v>2527</v>
      </c>
    </row>
    <row r="530" spans="1:17" x14ac:dyDescent="0.35">
      <c r="A530" t="s">
        <v>902</v>
      </c>
      <c r="B530" s="3">
        <v>45257</v>
      </c>
      <c r="C530" t="s">
        <v>2019</v>
      </c>
      <c r="D530" t="s">
        <v>2027</v>
      </c>
      <c r="E530" s="8">
        <v>2201</v>
      </c>
      <c r="F530">
        <v>3</v>
      </c>
      <c r="G530">
        <v>5</v>
      </c>
      <c r="H530" s="8">
        <v>6272.85</v>
      </c>
      <c r="I530">
        <v>1518.27</v>
      </c>
      <c r="J530">
        <v>1718.03</v>
      </c>
      <c r="K530" s="5">
        <f>IF(SalesData[[#This Row],[Total Revenue]]=0,0,SalesData[[#This Row],[Profit]]/SalesData[[#This Row],[Total Revenue]])</f>
        <v>0.27388348198984508</v>
      </c>
      <c r="L530" s="5" t="str">
        <f>TEXT(SalesData[[#This Row],[Date]],"mmm")</f>
        <v>Nov</v>
      </c>
      <c r="M530">
        <f>YEAR(SalesData[[#This Row],[Date]])</f>
        <v>2023</v>
      </c>
      <c r="N530">
        <f>WEEKNUM(SalesData[[#This Row],[Date]])</f>
        <v>48</v>
      </c>
      <c r="O530" t="s">
        <v>2072</v>
      </c>
      <c r="P530" t="s">
        <v>2523</v>
      </c>
      <c r="Q530" t="s">
        <v>2524</v>
      </c>
    </row>
    <row r="531" spans="1:17" x14ac:dyDescent="0.35">
      <c r="A531" t="s">
        <v>376</v>
      </c>
      <c r="B531" s="3">
        <v>45091</v>
      </c>
      <c r="C531" t="s">
        <v>2021</v>
      </c>
      <c r="D531" t="s">
        <v>2028</v>
      </c>
      <c r="E531" s="8">
        <v>2207</v>
      </c>
      <c r="F531">
        <v>3</v>
      </c>
      <c r="G531">
        <v>5</v>
      </c>
      <c r="H531" s="8">
        <v>6289.95</v>
      </c>
      <c r="I531">
        <v>1406.99</v>
      </c>
      <c r="J531">
        <v>2068.9899999999998</v>
      </c>
      <c r="K531" s="5">
        <f>IF(SalesData[[#This Row],[Total Revenue]]=0,0,SalesData[[#This Row],[Profit]]/SalesData[[#This Row],[Total Revenue]])</f>
        <v>0.32893584209731397</v>
      </c>
      <c r="L531" s="5" t="str">
        <f>TEXT(SalesData[[#This Row],[Date]],"mmm")</f>
        <v>Jun</v>
      </c>
      <c r="M531">
        <f>YEAR(SalesData[[#This Row],[Date]])</f>
        <v>2023</v>
      </c>
      <c r="N531">
        <f>WEEKNUM(SalesData[[#This Row],[Date]])</f>
        <v>24</v>
      </c>
      <c r="O531" t="s">
        <v>2105</v>
      </c>
      <c r="P531" t="s">
        <v>2523</v>
      </c>
      <c r="Q531" t="s">
        <v>2525</v>
      </c>
    </row>
    <row r="532" spans="1:17" x14ac:dyDescent="0.35">
      <c r="A532" t="s">
        <v>1732</v>
      </c>
      <c r="B532" s="3">
        <v>44967</v>
      </c>
      <c r="C532" t="s">
        <v>2014</v>
      </c>
      <c r="D532" t="s">
        <v>2024</v>
      </c>
      <c r="E532" s="8">
        <v>3317</v>
      </c>
      <c r="F532">
        <v>2</v>
      </c>
      <c r="G532">
        <v>5</v>
      </c>
      <c r="H532" s="8">
        <v>6302.3</v>
      </c>
      <c r="I532">
        <v>1891.13</v>
      </c>
      <c r="J532">
        <v>2520.04</v>
      </c>
      <c r="K532" s="5">
        <f>IF(SalesData[[#This Row],[Total Revenue]]=0,0,SalesData[[#This Row],[Profit]]/SalesData[[#This Row],[Total Revenue]])</f>
        <v>0.39986036843691986</v>
      </c>
      <c r="L532" s="5" t="str">
        <f>TEXT(SalesData[[#This Row],[Date]],"mmm")</f>
        <v>Feb</v>
      </c>
      <c r="M532">
        <f>YEAR(SalesData[[#This Row],[Date]])</f>
        <v>2023</v>
      </c>
      <c r="N532">
        <f>WEEKNUM(SalesData[[#This Row],[Date]])</f>
        <v>6</v>
      </c>
      <c r="O532" t="s">
        <v>2128</v>
      </c>
      <c r="P532" t="s">
        <v>2523</v>
      </c>
      <c r="Q532" t="s">
        <v>2526</v>
      </c>
    </row>
    <row r="533" spans="1:17" x14ac:dyDescent="0.35">
      <c r="A533" t="s">
        <v>431</v>
      </c>
      <c r="B533" s="3">
        <v>45005</v>
      </c>
      <c r="C533" t="s">
        <v>2021</v>
      </c>
      <c r="D533" t="s">
        <v>2028</v>
      </c>
      <c r="E533" s="8">
        <v>3708</v>
      </c>
      <c r="F533">
        <v>2</v>
      </c>
      <c r="G533">
        <v>15</v>
      </c>
      <c r="H533" s="8">
        <v>6303.6</v>
      </c>
      <c r="I533">
        <v>2303.67</v>
      </c>
      <c r="J533">
        <v>1696.26</v>
      </c>
      <c r="K533" s="5">
        <f>IF(SalesData[[#This Row],[Total Revenue]]=0,0,SalesData[[#This Row],[Profit]]/SalesData[[#This Row],[Total Revenue]])</f>
        <v>0.26909385113268608</v>
      </c>
      <c r="L533" s="5" t="str">
        <f>TEXT(SalesData[[#This Row],[Date]],"mmm")</f>
        <v>Mar</v>
      </c>
      <c r="M533">
        <f>YEAR(SalesData[[#This Row],[Date]])</f>
        <v>2023</v>
      </c>
      <c r="N533">
        <f>WEEKNUM(SalesData[[#This Row],[Date]])</f>
        <v>12</v>
      </c>
      <c r="O533" t="s">
        <v>2154</v>
      </c>
      <c r="P533" t="s">
        <v>2522</v>
      </c>
      <c r="Q533" t="s">
        <v>2526</v>
      </c>
    </row>
    <row r="534" spans="1:17" x14ac:dyDescent="0.35">
      <c r="A534" t="s">
        <v>1931</v>
      </c>
      <c r="B534" s="3">
        <v>45089</v>
      </c>
      <c r="C534" t="s">
        <v>2017</v>
      </c>
      <c r="D534" t="s">
        <v>2026</v>
      </c>
      <c r="E534" s="8">
        <v>2212</v>
      </c>
      <c r="F534">
        <v>3</v>
      </c>
      <c r="G534">
        <v>5</v>
      </c>
      <c r="H534" s="8">
        <v>6304.2</v>
      </c>
      <c r="I534">
        <v>1675.58</v>
      </c>
      <c r="J534">
        <v>1277.47</v>
      </c>
      <c r="K534" s="5">
        <f>IF(SalesData[[#This Row],[Total Revenue]]=0,0,SalesData[[#This Row],[Profit]]/SalesData[[#This Row],[Total Revenue]])</f>
        <v>0.20263792392373339</v>
      </c>
      <c r="L534" s="5" t="str">
        <f>TEXT(SalesData[[#This Row],[Date]],"mmm")</f>
        <v>Jun</v>
      </c>
      <c r="M534">
        <f>YEAR(SalesData[[#This Row],[Date]])</f>
        <v>2023</v>
      </c>
      <c r="N534">
        <f>WEEKNUM(SalesData[[#This Row],[Date]])</f>
        <v>24</v>
      </c>
      <c r="O534" t="s">
        <v>2361</v>
      </c>
      <c r="P534" t="s">
        <v>2523</v>
      </c>
      <c r="Q534" t="s">
        <v>2526</v>
      </c>
    </row>
    <row r="535" spans="1:17" x14ac:dyDescent="0.35">
      <c r="A535" t="s">
        <v>509</v>
      </c>
      <c r="B535" s="3">
        <v>45075</v>
      </c>
      <c r="C535" t="s">
        <v>2016</v>
      </c>
      <c r="D535" t="s">
        <v>2025</v>
      </c>
      <c r="E535" s="8">
        <v>3153</v>
      </c>
      <c r="F535">
        <v>2</v>
      </c>
      <c r="G535">
        <v>0</v>
      </c>
      <c r="H535" s="8">
        <v>6306</v>
      </c>
      <c r="I535">
        <v>2428.5700000000002</v>
      </c>
      <c r="J535">
        <v>1448.86</v>
      </c>
      <c r="K535" s="5">
        <f>IF(SalesData[[#This Row],[Total Revenue]]=0,0,SalesData[[#This Row],[Profit]]/SalesData[[#This Row],[Total Revenue]])</f>
        <v>0.22975895972090071</v>
      </c>
      <c r="L535" s="5" t="str">
        <f>TEXT(SalesData[[#This Row],[Date]],"mmm")</f>
        <v>May</v>
      </c>
      <c r="M535">
        <f>YEAR(SalesData[[#This Row],[Date]])</f>
        <v>2023</v>
      </c>
      <c r="N535">
        <f>WEEKNUM(SalesData[[#This Row],[Date]])</f>
        <v>22</v>
      </c>
      <c r="O535" t="s">
        <v>2329</v>
      </c>
      <c r="P535" t="s">
        <v>2522</v>
      </c>
      <c r="Q535" t="s">
        <v>2525</v>
      </c>
    </row>
    <row r="536" spans="1:17" x14ac:dyDescent="0.35">
      <c r="A536" t="s">
        <v>665</v>
      </c>
      <c r="B536" s="3">
        <v>44953</v>
      </c>
      <c r="C536" t="s">
        <v>2020</v>
      </c>
      <c r="D536" t="s">
        <v>2028</v>
      </c>
      <c r="E536" s="8">
        <v>1001</v>
      </c>
      <c r="F536">
        <v>7</v>
      </c>
      <c r="G536">
        <v>10</v>
      </c>
      <c r="H536" s="8">
        <v>6306.3</v>
      </c>
      <c r="I536">
        <v>696.39</v>
      </c>
      <c r="J536">
        <v>1431.57</v>
      </c>
      <c r="K536" s="5">
        <f>IF(SalesData[[#This Row],[Total Revenue]]=0,0,SalesData[[#This Row],[Profit]]/SalesData[[#This Row],[Total Revenue]])</f>
        <v>0.227006327006327</v>
      </c>
      <c r="L536" s="5" t="str">
        <f>TEXT(SalesData[[#This Row],[Date]],"mmm")</f>
        <v>Jan</v>
      </c>
      <c r="M536">
        <f>YEAR(SalesData[[#This Row],[Date]])</f>
        <v>2023</v>
      </c>
      <c r="N536">
        <f>WEEKNUM(SalesData[[#This Row],[Date]])</f>
        <v>4</v>
      </c>
      <c r="O536" t="s">
        <v>2186</v>
      </c>
      <c r="P536" t="s">
        <v>2523</v>
      </c>
      <c r="Q536" t="s">
        <v>2525</v>
      </c>
    </row>
    <row r="537" spans="1:17" x14ac:dyDescent="0.35">
      <c r="A537" t="s">
        <v>512</v>
      </c>
      <c r="B537" s="3">
        <v>45242</v>
      </c>
      <c r="C537" t="s">
        <v>2022</v>
      </c>
      <c r="D537" t="s">
        <v>2024</v>
      </c>
      <c r="E537" s="8">
        <v>3169</v>
      </c>
      <c r="F537">
        <v>2</v>
      </c>
      <c r="G537">
        <v>0</v>
      </c>
      <c r="H537" s="8">
        <v>6338</v>
      </c>
      <c r="I537">
        <v>2203.06</v>
      </c>
      <c r="J537">
        <v>1931.87</v>
      </c>
      <c r="K537" s="5">
        <f>IF(SalesData[[#This Row],[Total Revenue]]=0,0,SalesData[[#This Row],[Profit]]/SalesData[[#This Row],[Total Revenue]])</f>
        <v>0.3048075102556011</v>
      </c>
      <c r="L537" s="5" t="str">
        <f>TEXT(SalesData[[#This Row],[Date]],"mmm")</f>
        <v>Nov</v>
      </c>
      <c r="M537">
        <f>YEAR(SalesData[[#This Row],[Date]])</f>
        <v>2023</v>
      </c>
      <c r="N537">
        <f>WEEKNUM(SalesData[[#This Row],[Date]])</f>
        <v>46</v>
      </c>
      <c r="O537" t="s">
        <v>2339</v>
      </c>
      <c r="P537" t="s">
        <v>2523</v>
      </c>
      <c r="Q537" t="s">
        <v>2526</v>
      </c>
    </row>
    <row r="538" spans="1:17" x14ac:dyDescent="0.35">
      <c r="A538" t="s">
        <v>814</v>
      </c>
      <c r="B538" s="3">
        <v>45014</v>
      </c>
      <c r="C538" t="s">
        <v>2019</v>
      </c>
      <c r="D538" t="s">
        <v>2027</v>
      </c>
      <c r="E538" s="8">
        <v>1668</v>
      </c>
      <c r="F538">
        <v>4</v>
      </c>
      <c r="G538">
        <v>5</v>
      </c>
      <c r="H538" s="8">
        <v>6338.4</v>
      </c>
      <c r="I538">
        <v>851.16</v>
      </c>
      <c r="J538">
        <v>2933.77</v>
      </c>
      <c r="K538" s="5">
        <f>IF(SalesData[[#This Row],[Total Revenue]]=0,0,SalesData[[#This Row],[Profit]]/SalesData[[#This Row],[Total Revenue]])</f>
        <v>0.46285655685977534</v>
      </c>
      <c r="L538" s="5" t="str">
        <f>TEXT(SalesData[[#This Row],[Date]],"mmm")</f>
        <v>Mar</v>
      </c>
      <c r="M538">
        <f>YEAR(SalesData[[#This Row],[Date]])</f>
        <v>2023</v>
      </c>
      <c r="N538">
        <f>WEEKNUM(SalesData[[#This Row],[Date]])</f>
        <v>13</v>
      </c>
      <c r="O538" t="s">
        <v>2325</v>
      </c>
      <c r="P538" t="s">
        <v>2522</v>
      </c>
      <c r="Q538" t="s">
        <v>2527</v>
      </c>
    </row>
    <row r="539" spans="1:17" x14ac:dyDescent="0.35">
      <c r="A539" t="s">
        <v>410</v>
      </c>
      <c r="B539" s="3">
        <v>45278</v>
      </c>
      <c r="C539" t="s">
        <v>2021</v>
      </c>
      <c r="D539" t="s">
        <v>2028</v>
      </c>
      <c r="E539" s="8">
        <v>2494</v>
      </c>
      <c r="F539">
        <v>3</v>
      </c>
      <c r="G539">
        <v>15</v>
      </c>
      <c r="H539" s="8">
        <v>6359.7</v>
      </c>
      <c r="I539">
        <v>1800.14</v>
      </c>
      <c r="J539">
        <v>959.27</v>
      </c>
      <c r="K539" s="5">
        <f>IF(SalesData[[#This Row],[Total Revenue]]=0,0,SalesData[[#This Row],[Profit]]/SalesData[[#This Row],[Total Revenue]])</f>
        <v>0.15083573124518451</v>
      </c>
      <c r="L539" s="5" t="str">
        <f>TEXT(SalesData[[#This Row],[Date]],"mmm")</f>
        <v>Dec</v>
      </c>
      <c r="M539">
        <f>YEAR(SalesData[[#This Row],[Date]])</f>
        <v>2023</v>
      </c>
      <c r="N539">
        <f>WEEKNUM(SalesData[[#This Row],[Date]])</f>
        <v>51</v>
      </c>
      <c r="O539" t="s">
        <v>2273</v>
      </c>
      <c r="P539" t="s">
        <v>2523</v>
      </c>
      <c r="Q539" t="s">
        <v>2525</v>
      </c>
    </row>
    <row r="540" spans="1:17" x14ac:dyDescent="0.35">
      <c r="A540" t="s">
        <v>374</v>
      </c>
      <c r="B540" s="3">
        <v>45156</v>
      </c>
      <c r="C540" t="s">
        <v>2015</v>
      </c>
      <c r="D540" t="s">
        <v>2025</v>
      </c>
      <c r="E540" s="8">
        <v>833</v>
      </c>
      <c r="F540">
        <v>9</v>
      </c>
      <c r="G540">
        <v>15</v>
      </c>
      <c r="H540" s="8">
        <v>6372.45</v>
      </c>
      <c r="I540">
        <v>442.49</v>
      </c>
      <c r="J540">
        <v>2390.0700000000002</v>
      </c>
      <c r="K540" s="5">
        <f>IF(SalesData[[#This Row],[Total Revenue]]=0,0,SalesData[[#This Row],[Profit]]/SalesData[[#This Row],[Total Revenue]])</f>
        <v>0.37506296636301584</v>
      </c>
      <c r="L540" s="5" t="str">
        <f>TEXT(SalesData[[#This Row],[Date]],"mmm")</f>
        <v>Aug</v>
      </c>
      <c r="M540">
        <f>YEAR(SalesData[[#This Row],[Date]])</f>
        <v>2023</v>
      </c>
      <c r="N540">
        <f>WEEKNUM(SalesData[[#This Row],[Date]])</f>
        <v>33</v>
      </c>
      <c r="O540" t="s">
        <v>2284</v>
      </c>
      <c r="P540" t="s">
        <v>2523</v>
      </c>
      <c r="Q540" t="s">
        <v>2527</v>
      </c>
    </row>
    <row r="541" spans="1:17" x14ac:dyDescent="0.35">
      <c r="A541" t="s">
        <v>678</v>
      </c>
      <c r="B541" s="3">
        <v>45149</v>
      </c>
      <c r="C541" t="s">
        <v>2017</v>
      </c>
      <c r="D541" t="s">
        <v>2026</v>
      </c>
      <c r="E541" s="8">
        <v>841</v>
      </c>
      <c r="F541">
        <v>8</v>
      </c>
      <c r="G541">
        <v>5</v>
      </c>
      <c r="H541" s="8">
        <v>6391.6</v>
      </c>
      <c r="I541">
        <v>436.43</v>
      </c>
      <c r="J541">
        <v>2900.14</v>
      </c>
      <c r="K541" s="5">
        <f>IF(SalesData[[#This Row],[Total Revenue]]=0,0,SalesData[[#This Row],[Profit]]/SalesData[[#This Row],[Total Revenue]])</f>
        <v>0.45374241191563924</v>
      </c>
      <c r="L541" s="5" t="str">
        <f>TEXT(SalesData[[#This Row],[Date]],"mmm")</f>
        <v>Aug</v>
      </c>
      <c r="M541">
        <f>YEAR(SalesData[[#This Row],[Date]])</f>
        <v>2023</v>
      </c>
      <c r="N541">
        <f>WEEKNUM(SalesData[[#This Row],[Date]])</f>
        <v>32</v>
      </c>
      <c r="O541" t="s">
        <v>2395</v>
      </c>
      <c r="P541" t="s">
        <v>2523</v>
      </c>
      <c r="Q541" t="s">
        <v>2525</v>
      </c>
    </row>
    <row r="542" spans="1:17" x14ac:dyDescent="0.35">
      <c r="A542" t="s">
        <v>1806</v>
      </c>
      <c r="B542" s="3">
        <v>44965</v>
      </c>
      <c r="C542" t="s">
        <v>2016</v>
      </c>
      <c r="D542" t="s">
        <v>2025</v>
      </c>
      <c r="E542" s="8">
        <v>943</v>
      </c>
      <c r="F542">
        <v>8</v>
      </c>
      <c r="G542">
        <v>15</v>
      </c>
      <c r="H542" s="8">
        <v>6412.4</v>
      </c>
      <c r="I542">
        <v>687.84</v>
      </c>
      <c r="J542">
        <v>909.69</v>
      </c>
      <c r="K542" s="5">
        <f>IF(SalesData[[#This Row],[Total Revenue]]=0,0,SalesData[[#This Row],[Profit]]/SalesData[[#This Row],[Total Revenue]])</f>
        <v>0.14186420061131561</v>
      </c>
      <c r="L542" s="5" t="str">
        <f>TEXT(SalesData[[#This Row],[Date]],"mmm")</f>
        <v>Feb</v>
      </c>
      <c r="M542">
        <f>YEAR(SalesData[[#This Row],[Date]])</f>
        <v>2023</v>
      </c>
      <c r="N542">
        <f>WEEKNUM(SalesData[[#This Row],[Date]])</f>
        <v>6</v>
      </c>
      <c r="O542" t="s">
        <v>2047</v>
      </c>
      <c r="P542" t="s">
        <v>2523</v>
      </c>
      <c r="Q542" t="s">
        <v>2525</v>
      </c>
    </row>
    <row r="543" spans="1:17" x14ac:dyDescent="0.35">
      <c r="A543" t="s">
        <v>60</v>
      </c>
      <c r="B543" s="3">
        <v>45286</v>
      </c>
      <c r="C543" t="s">
        <v>2019</v>
      </c>
      <c r="D543" t="s">
        <v>2027</v>
      </c>
      <c r="E543" s="8">
        <v>1258</v>
      </c>
      <c r="F543">
        <v>6</v>
      </c>
      <c r="G543">
        <v>15</v>
      </c>
      <c r="H543" s="8">
        <v>6415.8</v>
      </c>
      <c r="I543">
        <v>806.05</v>
      </c>
      <c r="J543">
        <v>1579.52</v>
      </c>
      <c r="K543" s="5">
        <f>IF(SalesData[[#This Row],[Total Revenue]]=0,0,SalesData[[#This Row],[Profit]]/SalesData[[#This Row],[Total Revenue]])</f>
        <v>0.24619221297421989</v>
      </c>
      <c r="L543" s="5" t="str">
        <f>TEXT(SalesData[[#This Row],[Date]],"mmm")</f>
        <v>Dec</v>
      </c>
      <c r="M543">
        <f>YEAR(SalesData[[#This Row],[Date]])</f>
        <v>2023</v>
      </c>
      <c r="N543">
        <f>WEEKNUM(SalesData[[#This Row],[Date]])</f>
        <v>52</v>
      </c>
      <c r="O543" t="s">
        <v>2071</v>
      </c>
      <c r="P543" t="s">
        <v>2522</v>
      </c>
      <c r="Q543" t="s">
        <v>2524</v>
      </c>
    </row>
    <row r="544" spans="1:17" x14ac:dyDescent="0.35">
      <c r="A544" t="s">
        <v>1795</v>
      </c>
      <c r="B544" s="3">
        <v>45046</v>
      </c>
      <c r="C544" t="s">
        <v>2016</v>
      </c>
      <c r="D544" t="s">
        <v>2025</v>
      </c>
      <c r="E544" s="8">
        <v>3787</v>
      </c>
      <c r="F544">
        <v>2</v>
      </c>
      <c r="G544">
        <v>15</v>
      </c>
      <c r="H544" s="8">
        <v>6437.9</v>
      </c>
      <c r="I544">
        <v>2337.09</v>
      </c>
      <c r="J544">
        <v>1763.72</v>
      </c>
      <c r="K544" s="5">
        <f>IF(SalesData[[#This Row],[Total Revenue]]=0,0,SalesData[[#This Row],[Profit]]/SalesData[[#This Row],[Total Revenue]])</f>
        <v>0.27395889964118736</v>
      </c>
      <c r="L544" s="5" t="str">
        <f>TEXT(SalesData[[#This Row],[Date]],"mmm")</f>
        <v>Apr</v>
      </c>
      <c r="M544">
        <f>YEAR(SalesData[[#This Row],[Date]])</f>
        <v>2023</v>
      </c>
      <c r="N544">
        <f>WEEKNUM(SalesData[[#This Row],[Date]])</f>
        <v>18</v>
      </c>
      <c r="O544" t="s">
        <v>2435</v>
      </c>
      <c r="P544" t="s">
        <v>2522</v>
      </c>
      <c r="Q544" t="s">
        <v>2525</v>
      </c>
    </row>
    <row r="545" spans="1:17" x14ac:dyDescent="0.35">
      <c r="A545" t="s">
        <v>628</v>
      </c>
      <c r="B545" s="3">
        <v>45066</v>
      </c>
      <c r="C545" t="s">
        <v>2022</v>
      </c>
      <c r="D545" t="s">
        <v>2024</v>
      </c>
      <c r="E545" s="8">
        <v>1515</v>
      </c>
      <c r="F545">
        <v>5</v>
      </c>
      <c r="G545">
        <v>15</v>
      </c>
      <c r="H545" s="8">
        <v>6438.75</v>
      </c>
      <c r="I545">
        <v>1187.82</v>
      </c>
      <c r="J545">
        <v>499.66</v>
      </c>
      <c r="K545" s="5">
        <f>IF(SalesData[[#This Row],[Total Revenue]]=0,0,SalesData[[#This Row],[Profit]]/SalesData[[#This Row],[Total Revenue]])</f>
        <v>7.7602019025431956E-2</v>
      </c>
      <c r="L545" s="5" t="str">
        <f>TEXT(SalesData[[#This Row],[Date]],"mmm")</f>
        <v>May</v>
      </c>
      <c r="M545">
        <f>YEAR(SalesData[[#This Row],[Date]])</f>
        <v>2023</v>
      </c>
      <c r="N545">
        <f>WEEKNUM(SalesData[[#This Row],[Date]])</f>
        <v>20</v>
      </c>
      <c r="O545" t="s">
        <v>2383</v>
      </c>
      <c r="P545" t="s">
        <v>2522</v>
      </c>
      <c r="Q545" t="s">
        <v>2527</v>
      </c>
    </row>
    <row r="546" spans="1:17" x14ac:dyDescent="0.35">
      <c r="A546" t="s">
        <v>1754</v>
      </c>
      <c r="B546" s="3">
        <v>45118</v>
      </c>
      <c r="C546" t="s">
        <v>2020</v>
      </c>
      <c r="D546" t="s">
        <v>2028</v>
      </c>
      <c r="E546" s="8">
        <v>1357</v>
      </c>
      <c r="F546">
        <v>5</v>
      </c>
      <c r="G546">
        <v>5</v>
      </c>
      <c r="H546" s="8">
        <v>6445.75</v>
      </c>
      <c r="I546">
        <v>988.5</v>
      </c>
      <c r="J546">
        <v>1503.23</v>
      </c>
      <c r="K546" s="5">
        <f>IF(SalesData[[#This Row],[Total Revenue]]=0,0,SalesData[[#This Row],[Profit]]/SalesData[[#This Row],[Total Revenue]])</f>
        <v>0.23321258193383237</v>
      </c>
      <c r="L546" s="5" t="str">
        <f>TEXT(SalesData[[#This Row],[Date]],"mmm")</f>
        <v>Jul</v>
      </c>
      <c r="M546">
        <f>YEAR(SalesData[[#This Row],[Date]])</f>
        <v>2023</v>
      </c>
      <c r="N546">
        <f>WEEKNUM(SalesData[[#This Row],[Date]])</f>
        <v>28</v>
      </c>
      <c r="O546" t="s">
        <v>2181</v>
      </c>
      <c r="P546" t="s">
        <v>2522</v>
      </c>
      <c r="Q546" t="s">
        <v>2526</v>
      </c>
    </row>
    <row r="547" spans="1:17" x14ac:dyDescent="0.35">
      <c r="A547" t="s">
        <v>1679</v>
      </c>
      <c r="B547" s="3">
        <v>45017</v>
      </c>
      <c r="C547" t="s">
        <v>2015</v>
      </c>
      <c r="D547" t="s">
        <v>2025</v>
      </c>
      <c r="E547" s="8">
        <v>1361</v>
      </c>
      <c r="F547">
        <v>5</v>
      </c>
      <c r="G547">
        <v>5</v>
      </c>
      <c r="H547" s="8">
        <v>6464.75</v>
      </c>
      <c r="I547">
        <v>937.05</v>
      </c>
      <c r="J547">
        <v>1779.49</v>
      </c>
      <c r="K547" s="5">
        <f>IF(SalesData[[#This Row],[Total Revenue]]=0,0,SalesData[[#This Row],[Profit]]/SalesData[[#This Row],[Total Revenue]])</f>
        <v>0.27526045090684093</v>
      </c>
      <c r="L547" s="5" t="str">
        <f>TEXT(SalesData[[#This Row],[Date]],"mmm")</f>
        <v>Apr</v>
      </c>
      <c r="M547">
        <f>YEAR(SalesData[[#This Row],[Date]])</f>
        <v>2023</v>
      </c>
      <c r="N547">
        <f>WEEKNUM(SalesData[[#This Row],[Date]])</f>
        <v>13</v>
      </c>
      <c r="O547" t="s">
        <v>2140</v>
      </c>
      <c r="P547" t="s">
        <v>2523</v>
      </c>
      <c r="Q547" t="s">
        <v>2525</v>
      </c>
    </row>
    <row r="548" spans="1:17" x14ac:dyDescent="0.35">
      <c r="A548" t="s">
        <v>1219</v>
      </c>
      <c r="B548" s="3">
        <v>45120</v>
      </c>
      <c r="C548" t="s">
        <v>2018</v>
      </c>
      <c r="D548" t="s">
        <v>2026</v>
      </c>
      <c r="E548" s="8">
        <v>1800</v>
      </c>
      <c r="F548">
        <v>4</v>
      </c>
      <c r="G548">
        <v>10</v>
      </c>
      <c r="H548" s="8">
        <v>6480</v>
      </c>
      <c r="I548">
        <v>1265.26</v>
      </c>
      <c r="J548">
        <v>1418.95</v>
      </c>
      <c r="K548" s="5">
        <f>IF(SalesData[[#This Row],[Total Revenue]]=0,0,SalesData[[#This Row],[Profit]]/SalesData[[#This Row],[Total Revenue]])</f>
        <v>0.21897376543209876</v>
      </c>
      <c r="L548" s="5" t="str">
        <f>TEXT(SalesData[[#This Row],[Date]],"mmm")</f>
        <v>Jul</v>
      </c>
      <c r="M548">
        <f>YEAR(SalesData[[#This Row],[Date]])</f>
        <v>2023</v>
      </c>
      <c r="N548">
        <f>WEEKNUM(SalesData[[#This Row],[Date]])</f>
        <v>28</v>
      </c>
      <c r="O548" t="s">
        <v>2374</v>
      </c>
      <c r="P548" t="s">
        <v>2522</v>
      </c>
      <c r="Q548" t="s">
        <v>2524</v>
      </c>
    </row>
    <row r="549" spans="1:17" x14ac:dyDescent="0.35">
      <c r="A549" t="s">
        <v>620</v>
      </c>
      <c r="B549" s="3">
        <v>45201</v>
      </c>
      <c r="C549" t="s">
        <v>2014</v>
      </c>
      <c r="D549" t="s">
        <v>2024</v>
      </c>
      <c r="E549" s="8">
        <v>1621</v>
      </c>
      <c r="F549">
        <v>4</v>
      </c>
      <c r="G549">
        <v>0</v>
      </c>
      <c r="H549" s="8">
        <v>6484</v>
      </c>
      <c r="I549">
        <v>862.78</v>
      </c>
      <c r="J549">
        <v>3032.87</v>
      </c>
      <c r="K549" s="5">
        <f>IF(SalesData[[#This Row],[Total Revenue]]=0,0,SalesData[[#This Row],[Profit]]/SalesData[[#This Row],[Total Revenue]])</f>
        <v>0.46774676125848241</v>
      </c>
      <c r="L549" s="5" t="str">
        <f>TEXT(SalesData[[#This Row],[Date]],"mmm")</f>
        <v>Oct</v>
      </c>
      <c r="M549">
        <f>YEAR(SalesData[[#This Row],[Date]])</f>
        <v>2023</v>
      </c>
      <c r="N549">
        <f>WEEKNUM(SalesData[[#This Row],[Date]])</f>
        <v>40</v>
      </c>
      <c r="O549" t="s">
        <v>2379</v>
      </c>
      <c r="P549" t="s">
        <v>2522</v>
      </c>
      <c r="Q549" t="s">
        <v>2525</v>
      </c>
    </row>
    <row r="550" spans="1:17" x14ac:dyDescent="0.35">
      <c r="A550" t="s">
        <v>176</v>
      </c>
      <c r="B550" s="3">
        <v>45291</v>
      </c>
      <c r="C550" t="s">
        <v>2017</v>
      </c>
      <c r="D550" t="s">
        <v>2026</v>
      </c>
      <c r="E550" s="8">
        <v>1202</v>
      </c>
      <c r="F550">
        <v>6</v>
      </c>
      <c r="G550">
        <v>10</v>
      </c>
      <c r="H550" s="8">
        <v>6490.8</v>
      </c>
      <c r="I550">
        <v>942</v>
      </c>
      <c r="J550">
        <v>838.82</v>
      </c>
      <c r="K550" s="5">
        <f>IF(SalesData[[#This Row],[Total Revenue]]=0,0,SalesData[[#This Row],[Profit]]/SalesData[[#This Row],[Total Revenue]])</f>
        <v>0.12923214395760152</v>
      </c>
      <c r="L550" s="5" t="str">
        <f>TEXT(SalesData[[#This Row],[Date]],"mmm")</f>
        <v>Dec</v>
      </c>
      <c r="M550">
        <f>YEAR(SalesData[[#This Row],[Date]])</f>
        <v>2023</v>
      </c>
      <c r="N550">
        <f>WEEKNUM(SalesData[[#This Row],[Date]])</f>
        <v>53</v>
      </c>
      <c r="O550" t="s">
        <v>2171</v>
      </c>
      <c r="P550" t="s">
        <v>2523</v>
      </c>
      <c r="Q550" t="s">
        <v>2526</v>
      </c>
    </row>
    <row r="551" spans="1:17" x14ac:dyDescent="0.35">
      <c r="A551" t="s">
        <v>1108</v>
      </c>
      <c r="B551" s="3">
        <v>45077</v>
      </c>
      <c r="C551" t="s">
        <v>2014</v>
      </c>
      <c r="D551" t="s">
        <v>2024</v>
      </c>
      <c r="E551" s="8">
        <v>2413</v>
      </c>
      <c r="F551">
        <v>3</v>
      </c>
      <c r="G551">
        <v>10</v>
      </c>
      <c r="H551" s="8">
        <v>6515.1</v>
      </c>
      <c r="I551">
        <v>1878.76</v>
      </c>
      <c r="J551">
        <v>878.81</v>
      </c>
      <c r="K551" s="5">
        <f>IF(SalesData[[#This Row],[Total Revenue]]=0,0,SalesData[[#This Row],[Profit]]/SalesData[[#This Row],[Total Revenue]])</f>
        <v>0.13488818283679452</v>
      </c>
      <c r="L551" s="5" t="str">
        <f>TEXT(SalesData[[#This Row],[Date]],"mmm")</f>
        <v>May</v>
      </c>
      <c r="M551">
        <f>YEAR(SalesData[[#This Row],[Date]])</f>
        <v>2023</v>
      </c>
      <c r="N551">
        <f>WEEKNUM(SalesData[[#This Row],[Date]])</f>
        <v>22</v>
      </c>
      <c r="O551" t="s">
        <v>2444</v>
      </c>
      <c r="P551" t="s">
        <v>2522</v>
      </c>
      <c r="Q551" t="s">
        <v>2524</v>
      </c>
    </row>
    <row r="552" spans="1:17" x14ac:dyDescent="0.35">
      <c r="A552" t="s">
        <v>879</v>
      </c>
      <c r="B552" s="3">
        <v>45113</v>
      </c>
      <c r="C552" t="s">
        <v>2018</v>
      </c>
      <c r="D552" t="s">
        <v>2026</v>
      </c>
      <c r="E552" s="8">
        <v>3622</v>
      </c>
      <c r="F552">
        <v>2</v>
      </c>
      <c r="G552">
        <v>10</v>
      </c>
      <c r="H552" s="8">
        <v>6519.6</v>
      </c>
      <c r="I552">
        <v>2271.16</v>
      </c>
      <c r="J552">
        <v>1977.27</v>
      </c>
      <c r="K552" s="5">
        <f>IF(SalesData[[#This Row],[Total Revenue]]=0,0,SalesData[[#This Row],[Profit]]/SalesData[[#This Row],[Total Revenue]])</f>
        <v>0.30328087612736976</v>
      </c>
      <c r="L552" s="5" t="str">
        <f>TEXT(SalesData[[#This Row],[Date]],"mmm")</f>
        <v>Jul</v>
      </c>
      <c r="M552">
        <f>YEAR(SalesData[[#This Row],[Date]])</f>
        <v>2023</v>
      </c>
      <c r="N552">
        <f>WEEKNUM(SalesData[[#This Row],[Date]])</f>
        <v>27</v>
      </c>
      <c r="O552" t="s">
        <v>2336</v>
      </c>
      <c r="P552" t="s">
        <v>2523</v>
      </c>
      <c r="Q552" t="s">
        <v>2527</v>
      </c>
    </row>
    <row r="553" spans="1:17" x14ac:dyDescent="0.35">
      <c r="A553" t="s">
        <v>476</v>
      </c>
      <c r="B553" s="3">
        <v>45238</v>
      </c>
      <c r="C553" t="s">
        <v>2020</v>
      </c>
      <c r="D553" t="s">
        <v>2028</v>
      </c>
      <c r="E553" s="8">
        <v>3433</v>
      </c>
      <c r="F553">
        <v>2</v>
      </c>
      <c r="G553">
        <v>5</v>
      </c>
      <c r="H553" s="8">
        <v>6522.7</v>
      </c>
      <c r="I553">
        <v>2346.38</v>
      </c>
      <c r="J553">
        <v>1829.94</v>
      </c>
      <c r="K553" s="5">
        <f>IF(SalesData[[#This Row],[Total Revenue]]=0,0,SalesData[[#This Row],[Profit]]/SalesData[[#This Row],[Total Revenue]])</f>
        <v>0.28054946571205175</v>
      </c>
      <c r="L553" s="5" t="str">
        <f>TEXT(SalesData[[#This Row],[Date]],"mmm")</f>
        <v>Nov</v>
      </c>
      <c r="M553">
        <f>YEAR(SalesData[[#This Row],[Date]])</f>
        <v>2023</v>
      </c>
      <c r="N553">
        <f>WEEKNUM(SalesData[[#This Row],[Date]])</f>
        <v>45</v>
      </c>
      <c r="O553" t="s">
        <v>2139</v>
      </c>
      <c r="P553" t="s">
        <v>2522</v>
      </c>
      <c r="Q553" t="s">
        <v>2527</v>
      </c>
    </row>
    <row r="554" spans="1:17" x14ac:dyDescent="0.35">
      <c r="A554" t="s">
        <v>392</v>
      </c>
      <c r="B554" s="3">
        <v>44935</v>
      </c>
      <c r="C554" t="s">
        <v>2017</v>
      </c>
      <c r="D554" t="s">
        <v>2026</v>
      </c>
      <c r="E554" s="8">
        <v>3268</v>
      </c>
      <c r="F554">
        <v>2</v>
      </c>
      <c r="G554">
        <v>0</v>
      </c>
      <c r="H554" s="8">
        <v>6536</v>
      </c>
      <c r="I554">
        <v>2046.74</v>
      </c>
      <c r="J554">
        <v>2442.5300000000002</v>
      </c>
      <c r="K554" s="5">
        <f>IF(SalesData[[#This Row],[Total Revenue]]=0,0,SalesData[[#This Row],[Profit]]/SalesData[[#This Row],[Total Revenue]])</f>
        <v>0.37370410036719709</v>
      </c>
      <c r="L554" s="5" t="str">
        <f>TEXT(SalesData[[#This Row],[Date]],"mmm")</f>
        <v>Jan</v>
      </c>
      <c r="M554">
        <f>YEAR(SalesData[[#This Row],[Date]])</f>
        <v>2023</v>
      </c>
      <c r="N554">
        <f>WEEKNUM(SalesData[[#This Row],[Date]])</f>
        <v>2</v>
      </c>
      <c r="O554" t="s">
        <v>2152</v>
      </c>
      <c r="P554" t="s">
        <v>2523</v>
      </c>
      <c r="Q554" t="s">
        <v>2527</v>
      </c>
    </row>
    <row r="555" spans="1:17" x14ac:dyDescent="0.35">
      <c r="A555" t="s">
        <v>453</v>
      </c>
      <c r="B555" s="3">
        <v>45186</v>
      </c>
      <c r="C555" t="s">
        <v>2017</v>
      </c>
      <c r="D555" t="s">
        <v>2026</v>
      </c>
      <c r="E555" s="8">
        <v>2423</v>
      </c>
      <c r="F555">
        <v>3</v>
      </c>
      <c r="G555">
        <v>10</v>
      </c>
      <c r="H555" s="8">
        <v>6542.1</v>
      </c>
      <c r="I555">
        <v>1532.1</v>
      </c>
      <c r="J555">
        <v>1945.79</v>
      </c>
      <c r="K555" s="5">
        <f>IF(SalesData[[#This Row],[Total Revenue]]=0,0,SalesData[[#This Row],[Profit]]/SalesData[[#This Row],[Total Revenue]])</f>
        <v>0.29742590299750843</v>
      </c>
      <c r="L555" s="5" t="str">
        <f>TEXT(SalesData[[#This Row],[Date]],"mmm")</f>
        <v>Sep</v>
      </c>
      <c r="M555">
        <f>YEAR(SalesData[[#This Row],[Date]])</f>
        <v>2023</v>
      </c>
      <c r="N555">
        <f>WEEKNUM(SalesData[[#This Row],[Date]])</f>
        <v>38</v>
      </c>
      <c r="O555" t="s">
        <v>2317</v>
      </c>
      <c r="P555" t="s">
        <v>2522</v>
      </c>
      <c r="Q555" t="s">
        <v>2526</v>
      </c>
    </row>
    <row r="556" spans="1:17" x14ac:dyDescent="0.35">
      <c r="A556" t="s">
        <v>861</v>
      </c>
      <c r="B556" s="3">
        <v>45191</v>
      </c>
      <c r="C556" t="s">
        <v>2015</v>
      </c>
      <c r="D556" t="s">
        <v>2025</v>
      </c>
      <c r="E556" s="8">
        <v>965</v>
      </c>
      <c r="F556">
        <v>8</v>
      </c>
      <c r="G556">
        <v>15</v>
      </c>
      <c r="H556" s="8">
        <v>6562</v>
      </c>
      <c r="I556">
        <v>553.11</v>
      </c>
      <c r="J556">
        <v>2137.15</v>
      </c>
      <c r="K556" s="5">
        <f>IF(SalesData[[#This Row],[Total Revenue]]=0,0,SalesData[[#This Row],[Profit]]/SalesData[[#This Row],[Total Revenue]])</f>
        <v>0.32568576653459314</v>
      </c>
      <c r="L556" s="5" t="str">
        <f>TEXT(SalesData[[#This Row],[Date]],"mmm")</f>
        <v>Sep</v>
      </c>
      <c r="M556">
        <f>YEAR(SalesData[[#This Row],[Date]])</f>
        <v>2023</v>
      </c>
      <c r="N556">
        <f>WEEKNUM(SalesData[[#This Row],[Date]])</f>
        <v>38</v>
      </c>
      <c r="O556" t="s">
        <v>2433</v>
      </c>
      <c r="P556" t="s">
        <v>2522</v>
      </c>
      <c r="Q556" t="s">
        <v>2524</v>
      </c>
    </row>
    <row r="557" spans="1:17" x14ac:dyDescent="0.35">
      <c r="A557" t="s">
        <v>267</v>
      </c>
      <c r="B557" s="3">
        <v>45067</v>
      </c>
      <c r="C557" t="s">
        <v>2019</v>
      </c>
      <c r="D557" t="s">
        <v>2027</v>
      </c>
      <c r="E557" s="8">
        <v>2188</v>
      </c>
      <c r="F557">
        <v>3</v>
      </c>
      <c r="G557">
        <v>0</v>
      </c>
      <c r="H557" s="8">
        <v>6564</v>
      </c>
      <c r="I557">
        <v>1583.83</v>
      </c>
      <c r="J557">
        <v>1812.5</v>
      </c>
      <c r="K557" s="5">
        <f>IF(SalesData[[#This Row],[Total Revenue]]=0,0,SalesData[[#This Row],[Profit]]/SalesData[[#This Row],[Total Revenue]])</f>
        <v>0.27612736136502131</v>
      </c>
      <c r="L557" s="5" t="str">
        <f>TEXT(SalesData[[#This Row],[Date]],"mmm")</f>
        <v>May</v>
      </c>
      <c r="M557">
        <f>YEAR(SalesData[[#This Row],[Date]])</f>
        <v>2023</v>
      </c>
      <c r="N557">
        <f>WEEKNUM(SalesData[[#This Row],[Date]])</f>
        <v>21</v>
      </c>
      <c r="O557" t="s">
        <v>2229</v>
      </c>
      <c r="P557" t="s">
        <v>2523</v>
      </c>
      <c r="Q557" t="s">
        <v>2525</v>
      </c>
    </row>
    <row r="558" spans="1:17" x14ac:dyDescent="0.35">
      <c r="A558" t="s">
        <v>1322</v>
      </c>
      <c r="B558" s="3">
        <v>45130</v>
      </c>
      <c r="C558" t="s">
        <v>2022</v>
      </c>
      <c r="D558" t="s">
        <v>2024</v>
      </c>
      <c r="E558" s="8">
        <v>3648</v>
      </c>
      <c r="F558">
        <v>2</v>
      </c>
      <c r="G558">
        <v>10</v>
      </c>
      <c r="H558" s="8">
        <v>6566.4</v>
      </c>
      <c r="I558">
        <v>2429.58</v>
      </c>
      <c r="J558">
        <v>1707.23</v>
      </c>
      <c r="K558" s="5">
        <f>IF(SalesData[[#This Row],[Total Revenue]]=0,0,SalesData[[#This Row],[Profit]]/SalesData[[#This Row],[Total Revenue]])</f>
        <v>0.25999482212475633</v>
      </c>
      <c r="L558" s="5" t="str">
        <f>TEXT(SalesData[[#This Row],[Date]],"mmm")</f>
        <v>Jul</v>
      </c>
      <c r="M558">
        <f>YEAR(SalesData[[#This Row],[Date]])</f>
        <v>2023</v>
      </c>
      <c r="N558">
        <f>WEEKNUM(SalesData[[#This Row],[Date]])</f>
        <v>30</v>
      </c>
      <c r="O558" t="s">
        <v>2243</v>
      </c>
      <c r="P558" t="s">
        <v>2523</v>
      </c>
      <c r="Q558" t="s">
        <v>2526</v>
      </c>
    </row>
    <row r="559" spans="1:17" x14ac:dyDescent="0.35">
      <c r="A559" t="s">
        <v>1501</v>
      </c>
      <c r="B559" s="3">
        <v>45011</v>
      </c>
      <c r="C559" t="s">
        <v>2019</v>
      </c>
      <c r="D559" t="s">
        <v>2027</v>
      </c>
      <c r="E559" s="8">
        <v>1104</v>
      </c>
      <c r="F559">
        <v>7</v>
      </c>
      <c r="G559">
        <v>15</v>
      </c>
      <c r="H559" s="8">
        <v>6568.8</v>
      </c>
      <c r="I559">
        <v>582.52</v>
      </c>
      <c r="J559">
        <v>2491.1799999999998</v>
      </c>
      <c r="K559" s="5">
        <f>IF(SalesData[[#This Row],[Total Revenue]]=0,0,SalesData[[#This Row],[Profit]]/SalesData[[#This Row],[Total Revenue]])</f>
        <v>0.37924430641821943</v>
      </c>
      <c r="L559" s="5" t="str">
        <f>TEXT(SalesData[[#This Row],[Date]],"mmm")</f>
        <v>Mar</v>
      </c>
      <c r="M559">
        <f>YEAR(SalesData[[#This Row],[Date]])</f>
        <v>2023</v>
      </c>
      <c r="N559">
        <f>WEEKNUM(SalesData[[#This Row],[Date]])</f>
        <v>13</v>
      </c>
      <c r="O559" t="s">
        <v>2314</v>
      </c>
      <c r="P559" t="s">
        <v>2523</v>
      </c>
      <c r="Q559" t="s">
        <v>2524</v>
      </c>
    </row>
    <row r="560" spans="1:17" x14ac:dyDescent="0.35">
      <c r="A560" t="s">
        <v>1334</v>
      </c>
      <c r="B560" s="3">
        <v>45082</v>
      </c>
      <c r="C560" t="s">
        <v>2022</v>
      </c>
      <c r="D560" t="s">
        <v>2024</v>
      </c>
      <c r="E560" s="8">
        <v>1644</v>
      </c>
      <c r="F560">
        <v>4</v>
      </c>
      <c r="G560">
        <v>0</v>
      </c>
      <c r="H560" s="8">
        <v>6576</v>
      </c>
      <c r="I560">
        <v>948.88</v>
      </c>
      <c r="J560">
        <v>2780.49</v>
      </c>
      <c r="K560" s="5">
        <f>IF(SalesData[[#This Row],[Total Revenue]]=0,0,SalesData[[#This Row],[Profit]]/SalesData[[#This Row],[Total Revenue]])</f>
        <v>0.42282390510948903</v>
      </c>
      <c r="L560" s="5" t="str">
        <f>TEXT(SalesData[[#This Row],[Date]],"mmm")</f>
        <v>Jun</v>
      </c>
      <c r="M560">
        <f>YEAR(SalesData[[#This Row],[Date]])</f>
        <v>2023</v>
      </c>
      <c r="N560">
        <f>WEEKNUM(SalesData[[#This Row],[Date]])</f>
        <v>23</v>
      </c>
      <c r="O560" t="s">
        <v>2246</v>
      </c>
      <c r="P560" t="s">
        <v>2523</v>
      </c>
      <c r="Q560" t="s">
        <v>2524</v>
      </c>
    </row>
    <row r="561" spans="1:17" x14ac:dyDescent="0.35">
      <c r="A561" t="s">
        <v>1696</v>
      </c>
      <c r="B561" s="3">
        <v>45005</v>
      </c>
      <c r="C561" t="s">
        <v>2019</v>
      </c>
      <c r="D561" t="s">
        <v>2027</v>
      </c>
      <c r="E561" s="8">
        <v>3869</v>
      </c>
      <c r="F561">
        <v>2</v>
      </c>
      <c r="G561">
        <v>15</v>
      </c>
      <c r="H561" s="8">
        <v>6577.3</v>
      </c>
      <c r="I561">
        <v>2177.0500000000002</v>
      </c>
      <c r="J561">
        <v>2223.1999999999998</v>
      </c>
      <c r="K561" s="5">
        <f>IF(SalesData[[#This Row],[Total Revenue]]=0,0,SalesData[[#This Row],[Profit]]/SalesData[[#This Row],[Total Revenue]])</f>
        <v>0.33801103796390614</v>
      </c>
      <c r="L561" s="5" t="str">
        <f>TEXT(SalesData[[#This Row],[Date]],"mmm")</f>
        <v>Mar</v>
      </c>
      <c r="M561">
        <f>YEAR(SalesData[[#This Row],[Date]])</f>
        <v>2023</v>
      </c>
      <c r="N561">
        <f>WEEKNUM(SalesData[[#This Row],[Date]])</f>
        <v>12</v>
      </c>
      <c r="O561" t="s">
        <v>2412</v>
      </c>
      <c r="P561" t="s">
        <v>2522</v>
      </c>
      <c r="Q561" t="s">
        <v>2524</v>
      </c>
    </row>
    <row r="562" spans="1:17" x14ac:dyDescent="0.35">
      <c r="A562" t="s">
        <v>1892</v>
      </c>
      <c r="B562" s="3">
        <v>44968</v>
      </c>
      <c r="C562" t="s">
        <v>2022</v>
      </c>
      <c r="D562" t="s">
        <v>2024</v>
      </c>
      <c r="E562" s="8">
        <v>992</v>
      </c>
      <c r="F562">
        <v>7</v>
      </c>
      <c r="G562">
        <v>5</v>
      </c>
      <c r="H562" s="8">
        <v>6596.8</v>
      </c>
      <c r="I562">
        <v>668.75</v>
      </c>
      <c r="J562">
        <v>1915.52</v>
      </c>
      <c r="K562" s="5">
        <f>IF(SalesData[[#This Row],[Total Revenue]]=0,0,SalesData[[#This Row],[Profit]]/SalesData[[#This Row],[Total Revenue]])</f>
        <v>0.29037108901285469</v>
      </c>
      <c r="L562" s="5" t="str">
        <f>TEXT(SalesData[[#This Row],[Date]],"mmm")</f>
        <v>Feb</v>
      </c>
      <c r="M562">
        <f>YEAR(SalesData[[#This Row],[Date]])</f>
        <v>2023</v>
      </c>
      <c r="N562">
        <f>WEEKNUM(SalesData[[#This Row],[Date]])</f>
        <v>6</v>
      </c>
      <c r="O562" t="s">
        <v>2255</v>
      </c>
      <c r="P562" t="s">
        <v>2522</v>
      </c>
      <c r="Q562" t="s">
        <v>2527</v>
      </c>
    </row>
    <row r="563" spans="1:17" x14ac:dyDescent="0.35">
      <c r="A563" t="s">
        <v>1785</v>
      </c>
      <c r="B563" s="3">
        <v>45031</v>
      </c>
      <c r="C563" t="s">
        <v>2015</v>
      </c>
      <c r="D563" t="s">
        <v>2025</v>
      </c>
      <c r="E563" s="8">
        <v>921</v>
      </c>
      <c r="F563">
        <v>8</v>
      </c>
      <c r="G563">
        <v>10</v>
      </c>
      <c r="H563" s="8">
        <v>6631.2</v>
      </c>
      <c r="I563">
        <v>531.91</v>
      </c>
      <c r="J563">
        <v>2375.89</v>
      </c>
      <c r="K563" s="5">
        <f>IF(SalesData[[#This Row],[Total Revenue]]=0,0,SalesData[[#This Row],[Profit]]/SalesData[[#This Row],[Total Revenue]])</f>
        <v>0.35828960067559418</v>
      </c>
      <c r="L563" s="5" t="str">
        <f>TEXT(SalesData[[#This Row],[Date]],"mmm")</f>
        <v>Apr</v>
      </c>
      <c r="M563">
        <f>YEAR(SalesData[[#This Row],[Date]])</f>
        <v>2023</v>
      </c>
      <c r="N563">
        <f>WEEKNUM(SalesData[[#This Row],[Date]])</f>
        <v>15</v>
      </c>
      <c r="O563" t="s">
        <v>2249</v>
      </c>
      <c r="P563" t="s">
        <v>2522</v>
      </c>
      <c r="Q563" t="s">
        <v>2524</v>
      </c>
    </row>
    <row r="564" spans="1:17" x14ac:dyDescent="0.35">
      <c r="A564" t="s">
        <v>95</v>
      </c>
      <c r="B564" s="3">
        <v>45052</v>
      </c>
      <c r="C564" t="s">
        <v>2014</v>
      </c>
      <c r="D564" t="s">
        <v>2024</v>
      </c>
      <c r="E564" s="8">
        <v>3320</v>
      </c>
      <c r="F564">
        <v>2</v>
      </c>
      <c r="G564">
        <v>0</v>
      </c>
      <c r="H564" s="8">
        <v>6640</v>
      </c>
      <c r="I564">
        <v>2266</v>
      </c>
      <c r="J564">
        <v>2108.0100000000002</v>
      </c>
      <c r="K564" s="5">
        <f>IF(SalesData[[#This Row],[Total Revenue]]=0,0,SalesData[[#This Row],[Profit]]/SalesData[[#This Row],[Total Revenue]])</f>
        <v>0.31747138554216869</v>
      </c>
      <c r="L564" s="5" t="str">
        <f>TEXT(SalesData[[#This Row],[Date]],"mmm")</f>
        <v>May</v>
      </c>
      <c r="M564">
        <f>YEAR(SalesData[[#This Row],[Date]])</f>
        <v>2023</v>
      </c>
      <c r="N564">
        <f>WEEKNUM(SalesData[[#This Row],[Date]])</f>
        <v>18</v>
      </c>
      <c r="O564" t="s">
        <v>2102</v>
      </c>
      <c r="P564" t="s">
        <v>2522</v>
      </c>
      <c r="Q564" t="s">
        <v>2526</v>
      </c>
    </row>
    <row r="565" spans="1:17" x14ac:dyDescent="0.35">
      <c r="A565" t="s">
        <v>1225</v>
      </c>
      <c r="B565" s="3">
        <v>45074</v>
      </c>
      <c r="C565" t="s">
        <v>2022</v>
      </c>
      <c r="D565" t="s">
        <v>2024</v>
      </c>
      <c r="E565" s="8">
        <v>2331</v>
      </c>
      <c r="F565">
        <v>3</v>
      </c>
      <c r="G565">
        <v>5</v>
      </c>
      <c r="H565" s="8">
        <v>6643.35</v>
      </c>
      <c r="I565">
        <v>1242.81</v>
      </c>
      <c r="J565">
        <v>2914.93</v>
      </c>
      <c r="K565" s="5">
        <f>IF(SalesData[[#This Row],[Total Revenue]]=0,0,SalesData[[#This Row],[Profit]]/SalesData[[#This Row],[Total Revenue]])</f>
        <v>0.43877411245832293</v>
      </c>
      <c r="L565" s="5" t="str">
        <f>TEXT(SalesData[[#This Row],[Date]],"mmm")</f>
        <v>May</v>
      </c>
      <c r="M565">
        <f>YEAR(SalesData[[#This Row],[Date]])</f>
        <v>2023</v>
      </c>
      <c r="N565">
        <f>WEEKNUM(SalesData[[#This Row],[Date]])</f>
        <v>22</v>
      </c>
      <c r="O565" t="s">
        <v>2275</v>
      </c>
      <c r="P565" t="s">
        <v>2522</v>
      </c>
      <c r="Q565" t="s">
        <v>2526</v>
      </c>
    </row>
    <row r="566" spans="1:17" x14ac:dyDescent="0.35">
      <c r="A566" t="s">
        <v>310</v>
      </c>
      <c r="B566" s="3">
        <v>45001</v>
      </c>
      <c r="C566" t="s">
        <v>2022</v>
      </c>
      <c r="D566" t="s">
        <v>2024</v>
      </c>
      <c r="E566" s="8">
        <v>3497</v>
      </c>
      <c r="F566">
        <v>2</v>
      </c>
      <c r="G566">
        <v>5</v>
      </c>
      <c r="H566" s="8">
        <v>6644.3</v>
      </c>
      <c r="I566">
        <v>1766.42</v>
      </c>
      <c r="J566">
        <v>3111.46</v>
      </c>
      <c r="K566" s="5">
        <f>IF(SalesData[[#This Row],[Total Revenue]]=0,0,SalesData[[#This Row],[Profit]]/SalesData[[#This Row],[Total Revenue]])</f>
        <v>0.46829011333022291</v>
      </c>
      <c r="L566" s="5" t="str">
        <f>TEXT(SalesData[[#This Row],[Date]],"mmm")</f>
        <v>Mar</v>
      </c>
      <c r="M566">
        <f>YEAR(SalesData[[#This Row],[Date]])</f>
        <v>2023</v>
      </c>
      <c r="N566">
        <f>WEEKNUM(SalesData[[#This Row],[Date]])</f>
        <v>11</v>
      </c>
      <c r="O566" t="s">
        <v>2125</v>
      </c>
      <c r="P566" t="s">
        <v>2523</v>
      </c>
      <c r="Q566" t="s">
        <v>2527</v>
      </c>
    </row>
    <row r="567" spans="1:17" x14ac:dyDescent="0.35">
      <c r="A567" t="s">
        <v>1992</v>
      </c>
      <c r="B567" s="3">
        <v>45203</v>
      </c>
      <c r="C567" t="s">
        <v>2020</v>
      </c>
      <c r="D567" t="s">
        <v>2028</v>
      </c>
      <c r="E567" s="8">
        <v>2462</v>
      </c>
      <c r="F567">
        <v>3</v>
      </c>
      <c r="G567">
        <v>10</v>
      </c>
      <c r="H567" s="8">
        <v>6647.4</v>
      </c>
      <c r="I567">
        <v>1785.64</v>
      </c>
      <c r="J567">
        <v>1290.47</v>
      </c>
      <c r="K567" s="5">
        <f>IF(SalesData[[#This Row],[Total Revenue]]=0,0,SalesData[[#This Row],[Profit]]/SalesData[[#This Row],[Total Revenue]])</f>
        <v>0.19413154015103651</v>
      </c>
      <c r="L567" s="5" t="str">
        <f>TEXT(SalesData[[#This Row],[Date]],"mmm")</f>
        <v>Oct</v>
      </c>
      <c r="M567">
        <f>YEAR(SalesData[[#This Row],[Date]])</f>
        <v>2023</v>
      </c>
      <c r="N567">
        <f>WEEKNUM(SalesData[[#This Row],[Date]])</f>
        <v>40</v>
      </c>
      <c r="O567" t="s">
        <v>2068</v>
      </c>
      <c r="P567" t="s">
        <v>2523</v>
      </c>
      <c r="Q567" t="s">
        <v>2527</v>
      </c>
    </row>
    <row r="568" spans="1:17" x14ac:dyDescent="0.35">
      <c r="A568" t="s">
        <v>1265</v>
      </c>
      <c r="B568" s="3">
        <v>45038</v>
      </c>
      <c r="C568" t="s">
        <v>2022</v>
      </c>
      <c r="D568" t="s">
        <v>2024</v>
      </c>
      <c r="E568" s="8">
        <v>3499</v>
      </c>
      <c r="F568">
        <v>2</v>
      </c>
      <c r="G568">
        <v>5</v>
      </c>
      <c r="H568" s="8">
        <v>6648.1</v>
      </c>
      <c r="I568">
        <v>2267.64</v>
      </c>
      <c r="J568">
        <v>2112.81</v>
      </c>
      <c r="K568" s="5">
        <f>IF(SalesData[[#This Row],[Total Revenue]]=0,0,SalesData[[#This Row],[Profit]]/SalesData[[#This Row],[Total Revenue]])</f>
        <v>0.31780659135692901</v>
      </c>
      <c r="L568" s="5" t="str">
        <f>TEXT(SalesData[[#This Row],[Date]],"mmm")</f>
        <v>Apr</v>
      </c>
      <c r="M568">
        <f>YEAR(SalesData[[#This Row],[Date]])</f>
        <v>2023</v>
      </c>
      <c r="N568">
        <f>WEEKNUM(SalesData[[#This Row],[Date]])</f>
        <v>16</v>
      </c>
      <c r="O568" t="s">
        <v>2493</v>
      </c>
      <c r="P568" t="s">
        <v>2522</v>
      </c>
      <c r="Q568" t="s">
        <v>2525</v>
      </c>
    </row>
    <row r="569" spans="1:17" x14ac:dyDescent="0.35">
      <c r="A569" t="s">
        <v>1864</v>
      </c>
      <c r="B569" s="3">
        <v>45070</v>
      </c>
      <c r="C569" t="s">
        <v>2020</v>
      </c>
      <c r="D569" t="s">
        <v>2028</v>
      </c>
      <c r="E569" s="8">
        <v>1958</v>
      </c>
      <c r="F569">
        <v>4</v>
      </c>
      <c r="G569">
        <v>15</v>
      </c>
      <c r="H569" s="8">
        <v>6657.2</v>
      </c>
      <c r="I569">
        <v>1506.42</v>
      </c>
      <c r="J569">
        <v>631.54</v>
      </c>
      <c r="K569" s="5">
        <f>IF(SalesData[[#This Row],[Total Revenue]]=0,0,SalesData[[#This Row],[Profit]]/SalesData[[#This Row],[Total Revenue]])</f>
        <v>9.4865709307216245E-2</v>
      </c>
      <c r="L569" s="5" t="str">
        <f>TEXT(SalesData[[#This Row],[Date]],"mmm")</f>
        <v>May</v>
      </c>
      <c r="M569">
        <f>YEAR(SalesData[[#This Row],[Date]])</f>
        <v>2023</v>
      </c>
      <c r="N569">
        <f>WEEKNUM(SalesData[[#This Row],[Date]])</f>
        <v>21</v>
      </c>
      <c r="O569" t="s">
        <v>2214</v>
      </c>
      <c r="P569" t="s">
        <v>2522</v>
      </c>
      <c r="Q569" t="s">
        <v>2527</v>
      </c>
    </row>
    <row r="570" spans="1:17" x14ac:dyDescent="0.35">
      <c r="A570" t="s">
        <v>471</v>
      </c>
      <c r="B570" s="3">
        <v>45131</v>
      </c>
      <c r="C570" t="s">
        <v>2016</v>
      </c>
      <c r="D570" t="s">
        <v>2025</v>
      </c>
      <c r="E570" s="8">
        <v>2344</v>
      </c>
      <c r="F570">
        <v>3</v>
      </c>
      <c r="G570">
        <v>5</v>
      </c>
      <c r="H570" s="8">
        <v>6680.4</v>
      </c>
      <c r="I570">
        <v>1402.31</v>
      </c>
      <c r="J570">
        <v>2473.4699999999998</v>
      </c>
      <c r="K570" s="5">
        <f>IF(SalesData[[#This Row],[Total Revenue]]=0,0,SalesData[[#This Row],[Profit]]/SalesData[[#This Row],[Total Revenue]])</f>
        <v>0.37025776899586849</v>
      </c>
      <c r="L570" s="5" t="str">
        <f>TEXT(SalesData[[#This Row],[Date]],"mmm")</f>
        <v>Jul</v>
      </c>
      <c r="M570">
        <f>YEAR(SalesData[[#This Row],[Date]])</f>
        <v>2023</v>
      </c>
      <c r="N570">
        <f>WEEKNUM(SalesData[[#This Row],[Date]])</f>
        <v>30</v>
      </c>
      <c r="O570" t="s">
        <v>2222</v>
      </c>
      <c r="P570" t="s">
        <v>2523</v>
      </c>
      <c r="Q570" t="s">
        <v>2526</v>
      </c>
    </row>
    <row r="571" spans="1:17" x14ac:dyDescent="0.35">
      <c r="A571" t="s">
        <v>713</v>
      </c>
      <c r="B571" s="3">
        <v>45244</v>
      </c>
      <c r="C571" t="s">
        <v>2014</v>
      </c>
      <c r="D571" t="s">
        <v>2024</v>
      </c>
      <c r="E571" s="8">
        <v>1311</v>
      </c>
      <c r="F571">
        <v>6</v>
      </c>
      <c r="G571">
        <v>15</v>
      </c>
      <c r="H571" s="8">
        <v>6686.1</v>
      </c>
      <c r="I571">
        <v>919.6</v>
      </c>
      <c r="J571">
        <v>1168.52</v>
      </c>
      <c r="K571" s="5">
        <f>IF(SalesData[[#This Row],[Total Revenue]]=0,0,SalesData[[#This Row],[Profit]]/SalesData[[#This Row],[Total Revenue]])</f>
        <v>0.17476854967768951</v>
      </c>
      <c r="L571" s="5" t="str">
        <f>TEXT(SalesData[[#This Row],[Date]],"mmm")</f>
        <v>Nov</v>
      </c>
      <c r="M571">
        <f>YEAR(SalesData[[#This Row],[Date]])</f>
        <v>2023</v>
      </c>
      <c r="N571">
        <f>WEEKNUM(SalesData[[#This Row],[Date]])</f>
        <v>46</v>
      </c>
      <c r="O571" t="s">
        <v>2404</v>
      </c>
      <c r="P571" t="s">
        <v>2523</v>
      </c>
      <c r="Q571" t="s">
        <v>2524</v>
      </c>
    </row>
    <row r="572" spans="1:17" x14ac:dyDescent="0.35">
      <c r="A572" t="s">
        <v>1945</v>
      </c>
      <c r="B572" s="3">
        <v>45045</v>
      </c>
      <c r="C572" t="s">
        <v>2018</v>
      </c>
      <c r="D572" t="s">
        <v>2026</v>
      </c>
      <c r="E572" s="8">
        <v>1174</v>
      </c>
      <c r="F572">
        <v>6</v>
      </c>
      <c r="G572">
        <v>5</v>
      </c>
      <c r="H572" s="8">
        <v>6691.8</v>
      </c>
      <c r="I572">
        <v>664.37</v>
      </c>
      <c r="J572">
        <v>2705.58</v>
      </c>
      <c r="K572" s="5">
        <f>IF(SalesData[[#This Row],[Total Revenue]]=0,0,SalesData[[#This Row],[Profit]]/SalesData[[#This Row],[Total Revenue]])</f>
        <v>0.40431274096655606</v>
      </c>
      <c r="L572" s="5" t="str">
        <f>TEXT(SalesData[[#This Row],[Date]],"mmm")</f>
        <v>Apr</v>
      </c>
      <c r="M572">
        <f>YEAR(SalesData[[#This Row],[Date]])</f>
        <v>2023</v>
      </c>
      <c r="N572">
        <f>WEEKNUM(SalesData[[#This Row],[Date]])</f>
        <v>17</v>
      </c>
      <c r="O572" t="s">
        <v>2163</v>
      </c>
      <c r="P572" t="s">
        <v>2523</v>
      </c>
      <c r="Q572" t="s">
        <v>2527</v>
      </c>
    </row>
    <row r="573" spans="1:17" x14ac:dyDescent="0.35">
      <c r="A573" t="s">
        <v>1583</v>
      </c>
      <c r="B573" s="3">
        <v>45227</v>
      </c>
      <c r="C573" t="s">
        <v>2022</v>
      </c>
      <c r="D573" t="s">
        <v>2024</v>
      </c>
      <c r="E573" s="8">
        <v>1008</v>
      </c>
      <c r="F573">
        <v>7</v>
      </c>
      <c r="G573">
        <v>5</v>
      </c>
      <c r="H573" s="8">
        <v>6703.2</v>
      </c>
      <c r="I573">
        <v>792.52</v>
      </c>
      <c r="J573">
        <v>1155.53</v>
      </c>
      <c r="K573" s="5">
        <f>IF(SalesData[[#This Row],[Total Revenue]]=0,0,SalesData[[#This Row],[Profit]]/SalesData[[#This Row],[Total Revenue]])</f>
        <v>0.17238483112543262</v>
      </c>
      <c r="L573" s="5" t="str">
        <f>TEXT(SalesData[[#This Row],[Date]],"mmm")</f>
        <v>Oct</v>
      </c>
      <c r="M573">
        <f>YEAR(SalesData[[#This Row],[Date]])</f>
        <v>2023</v>
      </c>
      <c r="N573">
        <f>WEEKNUM(SalesData[[#This Row],[Date]])</f>
        <v>43</v>
      </c>
      <c r="O573" t="s">
        <v>2469</v>
      </c>
      <c r="P573" t="s">
        <v>2523</v>
      </c>
      <c r="Q573" t="s">
        <v>2524</v>
      </c>
    </row>
    <row r="574" spans="1:17" x14ac:dyDescent="0.35">
      <c r="A574" t="s">
        <v>1443</v>
      </c>
      <c r="B574" s="3">
        <v>45063</v>
      </c>
      <c r="C574" t="s">
        <v>2015</v>
      </c>
      <c r="D574" t="s">
        <v>2025</v>
      </c>
      <c r="E574" s="8">
        <v>2353</v>
      </c>
      <c r="F574">
        <v>3</v>
      </c>
      <c r="G574">
        <v>5</v>
      </c>
      <c r="H574" s="8">
        <v>6706.05</v>
      </c>
      <c r="I574">
        <v>1513.09</v>
      </c>
      <c r="J574">
        <v>2166.77</v>
      </c>
      <c r="K574" s="5">
        <f>IF(SalesData[[#This Row],[Total Revenue]]=0,0,SalesData[[#This Row],[Profit]]/SalesData[[#This Row],[Total Revenue]])</f>
        <v>0.32310674689273117</v>
      </c>
      <c r="L574" s="5" t="str">
        <f>TEXT(SalesData[[#This Row],[Date]],"mmm")</f>
        <v>May</v>
      </c>
      <c r="M574">
        <f>YEAR(SalesData[[#This Row],[Date]])</f>
        <v>2023</v>
      </c>
      <c r="N574">
        <f>WEEKNUM(SalesData[[#This Row],[Date]])</f>
        <v>20</v>
      </c>
      <c r="O574" t="s">
        <v>2119</v>
      </c>
      <c r="P574" t="s">
        <v>2523</v>
      </c>
      <c r="Q574" t="s">
        <v>2525</v>
      </c>
    </row>
    <row r="575" spans="1:17" x14ac:dyDescent="0.35">
      <c r="A575" t="s">
        <v>1979</v>
      </c>
      <c r="B575" s="3">
        <v>44952</v>
      </c>
      <c r="C575" t="s">
        <v>2013</v>
      </c>
      <c r="D575" t="s">
        <v>2023</v>
      </c>
      <c r="E575" s="8">
        <v>2633</v>
      </c>
      <c r="F575">
        <v>3</v>
      </c>
      <c r="G575">
        <v>15</v>
      </c>
      <c r="H575" s="8">
        <v>6714.15</v>
      </c>
      <c r="I575">
        <v>1471.57</v>
      </c>
      <c r="J575">
        <v>2299.4299999999998</v>
      </c>
      <c r="K575" s="5">
        <f>IF(SalesData[[#This Row],[Total Revenue]]=0,0,SalesData[[#This Row],[Profit]]/SalesData[[#This Row],[Total Revenue]])</f>
        <v>0.34247522024381344</v>
      </c>
      <c r="L575" s="5" t="str">
        <f>TEXT(SalesData[[#This Row],[Date]],"mmm")</f>
        <v>Jan</v>
      </c>
      <c r="M575">
        <f>YEAR(SalesData[[#This Row],[Date]])</f>
        <v>2023</v>
      </c>
      <c r="N575">
        <f>WEEKNUM(SalesData[[#This Row],[Date]])</f>
        <v>4</v>
      </c>
      <c r="O575" t="s">
        <v>2379</v>
      </c>
      <c r="P575" t="s">
        <v>2523</v>
      </c>
      <c r="Q575" t="s">
        <v>2525</v>
      </c>
    </row>
    <row r="576" spans="1:17" x14ac:dyDescent="0.35">
      <c r="A576" t="s">
        <v>1885</v>
      </c>
      <c r="B576" s="3">
        <v>45002</v>
      </c>
      <c r="C576" t="s">
        <v>2021</v>
      </c>
      <c r="D576" t="s">
        <v>2028</v>
      </c>
      <c r="E576" s="8">
        <v>961</v>
      </c>
      <c r="F576">
        <v>7</v>
      </c>
      <c r="G576">
        <v>0</v>
      </c>
      <c r="H576" s="8">
        <v>6727</v>
      </c>
      <c r="I576">
        <v>699.07</v>
      </c>
      <c r="J576">
        <v>1833.49</v>
      </c>
      <c r="K576" s="5">
        <f>IF(SalesData[[#This Row],[Total Revenue]]=0,0,SalesData[[#This Row],[Profit]]/SalesData[[#This Row],[Total Revenue]])</f>
        <v>0.27255686041325999</v>
      </c>
      <c r="L576" s="5" t="str">
        <f>TEXT(SalesData[[#This Row],[Date]],"mmm")</f>
        <v>Mar</v>
      </c>
      <c r="M576">
        <f>YEAR(SalesData[[#This Row],[Date]])</f>
        <v>2023</v>
      </c>
      <c r="N576">
        <f>WEEKNUM(SalesData[[#This Row],[Date]])</f>
        <v>11</v>
      </c>
      <c r="O576" t="s">
        <v>2511</v>
      </c>
      <c r="P576" t="s">
        <v>2523</v>
      </c>
      <c r="Q576" t="s">
        <v>2524</v>
      </c>
    </row>
    <row r="577" spans="1:17" x14ac:dyDescent="0.35">
      <c r="A577" t="s">
        <v>777</v>
      </c>
      <c r="B577" s="3">
        <v>45181</v>
      </c>
      <c r="C577" t="s">
        <v>2021</v>
      </c>
      <c r="D577" t="s">
        <v>2028</v>
      </c>
      <c r="E577" s="8">
        <v>3542</v>
      </c>
      <c r="F577">
        <v>2</v>
      </c>
      <c r="G577">
        <v>5</v>
      </c>
      <c r="H577" s="8">
        <v>6729.8</v>
      </c>
      <c r="I577">
        <v>2089.29</v>
      </c>
      <c r="J577">
        <v>2551.21</v>
      </c>
      <c r="K577" s="5">
        <f>IF(SalesData[[#This Row],[Total Revenue]]=0,0,SalesData[[#This Row],[Profit]]/SalesData[[#This Row],[Total Revenue]])</f>
        <v>0.37909150346221282</v>
      </c>
      <c r="L577" s="5" t="str">
        <f>TEXT(SalesData[[#This Row],[Date]],"mmm")</f>
        <v>Sep</v>
      </c>
      <c r="M577">
        <f>YEAR(SalesData[[#This Row],[Date]])</f>
        <v>2023</v>
      </c>
      <c r="N577">
        <f>WEEKNUM(SalesData[[#This Row],[Date]])</f>
        <v>37</v>
      </c>
      <c r="O577" t="s">
        <v>2336</v>
      </c>
      <c r="P577" t="s">
        <v>2523</v>
      </c>
      <c r="Q577" t="s">
        <v>2527</v>
      </c>
    </row>
    <row r="578" spans="1:17" x14ac:dyDescent="0.35">
      <c r="A578" t="s">
        <v>1882</v>
      </c>
      <c r="B578" s="3">
        <v>45084</v>
      </c>
      <c r="C578" t="s">
        <v>2013</v>
      </c>
      <c r="D578" t="s">
        <v>2023</v>
      </c>
      <c r="E578" s="8">
        <v>2244</v>
      </c>
      <c r="F578">
        <v>3</v>
      </c>
      <c r="G578">
        <v>0</v>
      </c>
      <c r="H578" s="8">
        <v>6732</v>
      </c>
      <c r="I578">
        <v>1769.05</v>
      </c>
      <c r="J578">
        <v>1424.85</v>
      </c>
      <c r="K578" s="5">
        <f>IF(SalesData[[#This Row],[Total Revenue]]=0,0,SalesData[[#This Row],[Profit]]/SalesData[[#This Row],[Total Revenue]])</f>
        <v>0.21165329768270943</v>
      </c>
      <c r="L578" s="5" t="str">
        <f>TEXT(SalesData[[#This Row],[Date]],"mmm")</f>
        <v>Jun</v>
      </c>
      <c r="M578">
        <f>YEAR(SalesData[[#This Row],[Date]])</f>
        <v>2023</v>
      </c>
      <c r="N578">
        <f>WEEKNUM(SalesData[[#This Row],[Date]])</f>
        <v>23</v>
      </c>
      <c r="O578" t="s">
        <v>2439</v>
      </c>
      <c r="P578" t="s">
        <v>2522</v>
      </c>
      <c r="Q578" t="s">
        <v>2527</v>
      </c>
    </row>
    <row r="579" spans="1:17" x14ac:dyDescent="0.35">
      <c r="A579" t="s">
        <v>830</v>
      </c>
      <c r="B579" s="3">
        <v>45049</v>
      </c>
      <c r="C579" t="s">
        <v>2017</v>
      </c>
      <c r="D579" t="s">
        <v>2026</v>
      </c>
      <c r="E579" s="8">
        <v>1247</v>
      </c>
      <c r="F579">
        <v>6</v>
      </c>
      <c r="G579">
        <v>10</v>
      </c>
      <c r="H579" s="8">
        <v>6733.8</v>
      </c>
      <c r="I579">
        <v>685.74</v>
      </c>
      <c r="J579">
        <v>2619.34</v>
      </c>
      <c r="K579" s="5">
        <f>IF(SalesData[[#This Row],[Total Revenue]]=0,0,SalesData[[#This Row],[Profit]]/SalesData[[#This Row],[Total Revenue]])</f>
        <v>0.38898393180670648</v>
      </c>
      <c r="L579" s="5" t="str">
        <f>TEXT(SalesData[[#This Row],[Date]],"mmm")</f>
        <v>May</v>
      </c>
      <c r="M579">
        <f>YEAR(SalesData[[#This Row],[Date]])</f>
        <v>2023</v>
      </c>
      <c r="N579">
        <f>WEEKNUM(SalesData[[#This Row],[Date]])</f>
        <v>18</v>
      </c>
      <c r="O579" t="s">
        <v>2142</v>
      </c>
      <c r="P579" t="s">
        <v>2523</v>
      </c>
      <c r="Q579" t="s">
        <v>2524</v>
      </c>
    </row>
    <row r="580" spans="1:17" x14ac:dyDescent="0.35">
      <c r="A580" t="s">
        <v>1783</v>
      </c>
      <c r="B580" s="3">
        <v>44935</v>
      </c>
      <c r="C580" t="s">
        <v>2020</v>
      </c>
      <c r="D580" t="s">
        <v>2028</v>
      </c>
      <c r="E580" s="8">
        <v>887</v>
      </c>
      <c r="F580">
        <v>8</v>
      </c>
      <c r="G580">
        <v>5</v>
      </c>
      <c r="H580" s="8">
        <v>6741.2</v>
      </c>
      <c r="I580">
        <v>674.38</v>
      </c>
      <c r="J580">
        <v>1346.2</v>
      </c>
      <c r="K580" s="5">
        <f>IF(SalesData[[#This Row],[Total Revenue]]=0,0,SalesData[[#This Row],[Profit]]/SalesData[[#This Row],[Total Revenue]])</f>
        <v>0.19969738325520681</v>
      </c>
      <c r="L580" s="5" t="str">
        <f>TEXT(SalesData[[#This Row],[Date]],"mmm")</f>
        <v>Jan</v>
      </c>
      <c r="M580">
        <f>YEAR(SalesData[[#This Row],[Date]])</f>
        <v>2023</v>
      </c>
      <c r="N580">
        <f>WEEKNUM(SalesData[[#This Row],[Date]])</f>
        <v>2</v>
      </c>
      <c r="O580" t="s">
        <v>2244</v>
      </c>
      <c r="P580" t="s">
        <v>2523</v>
      </c>
      <c r="Q580" t="s">
        <v>2526</v>
      </c>
    </row>
    <row r="581" spans="1:17" x14ac:dyDescent="0.35">
      <c r="A581" t="s">
        <v>809</v>
      </c>
      <c r="B581" s="3">
        <v>45025</v>
      </c>
      <c r="C581" t="s">
        <v>2017</v>
      </c>
      <c r="D581" t="s">
        <v>2026</v>
      </c>
      <c r="E581" s="8">
        <v>1874</v>
      </c>
      <c r="F581">
        <v>4</v>
      </c>
      <c r="G581">
        <v>10</v>
      </c>
      <c r="H581" s="8">
        <v>6746.4</v>
      </c>
      <c r="I581">
        <v>1495.55</v>
      </c>
      <c r="J581">
        <v>764.18</v>
      </c>
      <c r="K581" s="5">
        <f>IF(SalesData[[#This Row],[Total Revenue]]=0,0,SalesData[[#This Row],[Profit]]/SalesData[[#This Row],[Total Revenue]])</f>
        <v>0.11327226372583897</v>
      </c>
      <c r="L581" s="5" t="str">
        <f>TEXT(SalesData[[#This Row],[Date]],"mmm")</f>
        <v>Apr</v>
      </c>
      <c r="M581">
        <f>YEAR(SalesData[[#This Row],[Date]])</f>
        <v>2023</v>
      </c>
      <c r="N581">
        <f>WEEKNUM(SalesData[[#This Row],[Date]])</f>
        <v>15</v>
      </c>
      <c r="O581" t="s">
        <v>2425</v>
      </c>
      <c r="P581" t="s">
        <v>2522</v>
      </c>
      <c r="Q581" t="s">
        <v>2525</v>
      </c>
    </row>
    <row r="582" spans="1:17" x14ac:dyDescent="0.35">
      <c r="A582" t="s">
        <v>403</v>
      </c>
      <c r="B582" s="3">
        <v>45146</v>
      </c>
      <c r="C582" t="s">
        <v>2022</v>
      </c>
      <c r="D582" t="s">
        <v>2024</v>
      </c>
      <c r="E582" s="8">
        <v>2251</v>
      </c>
      <c r="F582">
        <v>3</v>
      </c>
      <c r="G582">
        <v>0</v>
      </c>
      <c r="H582" s="8">
        <v>6753</v>
      </c>
      <c r="I582">
        <v>1409.14</v>
      </c>
      <c r="J582">
        <v>2525.59</v>
      </c>
      <c r="K582" s="5">
        <f>IF(SalesData[[#This Row],[Total Revenue]]=0,0,SalesData[[#This Row],[Profit]]/SalesData[[#This Row],[Total Revenue]])</f>
        <v>0.37399526136531913</v>
      </c>
      <c r="L582" s="5" t="str">
        <f>TEXT(SalesData[[#This Row],[Date]],"mmm")</f>
        <v>Aug</v>
      </c>
      <c r="M582">
        <f>YEAR(SalesData[[#This Row],[Date]])</f>
        <v>2023</v>
      </c>
      <c r="N582">
        <f>WEEKNUM(SalesData[[#This Row],[Date]])</f>
        <v>32</v>
      </c>
      <c r="O582" t="s">
        <v>2082</v>
      </c>
      <c r="P582" t="s">
        <v>2523</v>
      </c>
      <c r="Q582" t="s">
        <v>2524</v>
      </c>
    </row>
    <row r="583" spans="1:17" x14ac:dyDescent="0.35">
      <c r="A583" t="s">
        <v>1229</v>
      </c>
      <c r="B583" s="3">
        <v>45152</v>
      </c>
      <c r="C583" t="s">
        <v>2022</v>
      </c>
      <c r="D583" t="s">
        <v>2024</v>
      </c>
      <c r="E583" s="8">
        <v>2252</v>
      </c>
      <c r="F583">
        <v>3</v>
      </c>
      <c r="G583">
        <v>0</v>
      </c>
      <c r="H583" s="8">
        <v>6756</v>
      </c>
      <c r="I583">
        <v>1241.3800000000001</v>
      </c>
      <c r="J583">
        <v>3031.87</v>
      </c>
      <c r="K583" s="5">
        <f>IF(SalesData[[#This Row],[Total Revenue]]=0,0,SalesData[[#This Row],[Profit]]/SalesData[[#This Row],[Total Revenue]])</f>
        <v>0.44876702190645351</v>
      </c>
      <c r="L583" s="5" t="str">
        <f>TEXT(SalesData[[#This Row],[Date]],"mmm")</f>
        <v>Aug</v>
      </c>
      <c r="M583">
        <f>YEAR(SalesData[[#This Row],[Date]])</f>
        <v>2023</v>
      </c>
      <c r="N583">
        <f>WEEKNUM(SalesData[[#This Row],[Date]])</f>
        <v>33</v>
      </c>
      <c r="O583" t="s">
        <v>2239</v>
      </c>
      <c r="P583" t="s">
        <v>2522</v>
      </c>
      <c r="Q583" t="s">
        <v>2526</v>
      </c>
    </row>
    <row r="584" spans="1:17" x14ac:dyDescent="0.35">
      <c r="A584" t="s">
        <v>1741</v>
      </c>
      <c r="B584" s="3">
        <v>45186</v>
      </c>
      <c r="C584" t="s">
        <v>2016</v>
      </c>
      <c r="D584" t="s">
        <v>2025</v>
      </c>
      <c r="E584" s="8">
        <v>2262</v>
      </c>
      <c r="F584">
        <v>3</v>
      </c>
      <c r="G584">
        <v>0</v>
      </c>
      <c r="H584" s="8">
        <v>6786</v>
      </c>
      <c r="I584">
        <v>1172.99</v>
      </c>
      <c r="J584">
        <v>3267.03</v>
      </c>
      <c r="K584" s="5">
        <f>IF(SalesData[[#This Row],[Total Revenue]]=0,0,SalesData[[#This Row],[Profit]]/SalesData[[#This Row],[Total Revenue]])</f>
        <v>0.48143678160919545</v>
      </c>
      <c r="L584" s="5" t="str">
        <f>TEXT(SalesData[[#This Row],[Date]],"mmm")</f>
        <v>Sep</v>
      </c>
      <c r="M584">
        <f>YEAR(SalesData[[#This Row],[Date]])</f>
        <v>2023</v>
      </c>
      <c r="N584">
        <f>WEEKNUM(SalesData[[#This Row],[Date]])</f>
        <v>38</v>
      </c>
      <c r="O584" t="s">
        <v>2507</v>
      </c>
      <c r="P584" t="s">
        <v>2523</v>
      </c>
      <c r="Q584" t="s">
        <v>2525</v>
      </c>
    </row>
    <row r="585" spans="1:17" x14ac:dyDescent="0.35">
      <c r="A585" t="s">
        <v>508</v>
      </c>
      <c r="B585" s="3">
        <v>45041</v>
      </c>
      <c r="C585" t="s">
        <v>2018</v>
      </c>
      <c r="D585" t="s">
        <v>2026</v>
      </c>
      <c r="E585" s="8">
        <v>1996</v>
      </c>
      <c r="F585">
        <v>4</v>
      </c>
      <c r="G585">
        <v>15</v>
      </c>
      <c r="H585" s="8">
        <v>6786.4</v>
      </c>
      <c r="I585">
        <v>1179.3499999999999</v>
      </c>
      <c r="J585">
        <v>2069</v>
      </c>
      <c r="K585" s="5">
        <f>IF(SalesData[[#This Row],[Total Revenue]]=0,0,SalesData[[#This Row],[Profit]]/SalesData[[#This Row],[Total Revenue]])</f>
        <v>0.30487445479193681</v>
      </c>
      <c r="L585" s="5" t="str">
        <f>TEXT(SalesData[[#This Row],[Date]],"mmm")</f>
        <v>Apr</v>
      </c>
      <c r="M585">
        <f>YEAR(SalesData[[#This Row],[Date]])</f>
        <v>2023</v>
      </c>
      <c r="N585">
        <f>WEEKNUM(SalesData[[#This Row],[Date]])</f>
        <v>17</v>
      </c>
      <c r="O585" t="s">
        <v>2133</v>
      </c>
      <c r="P585" t="s">
        <v>2522</v>
      </c>
      <c r="Q585" t="s">
        <v>2526</v>
      </c>
    </row>
    <row r="586" spans="1:17" x14ac:dyDescent="0.35">
      <c r="A586" t="s">
        <v>418</v>
      </c>
      <c r="B586" s="3">
        <v>44948</v>
      </c>
      <c r="C586" t="s">
        <v>2016</v>
      </c>
      <c r="D586" t="s">
        <v>2025</v>
      </c>
      <c r="E586" s="8">
        <v>1597</v>
      </c>
      <c r="F586">
        <v>5</v>
      </c>
      <c r="G586">
        <v>15</v>
      </c>
      <c r="H586" s="8">
        <v>6787.25</v>
      </c>
      <c r="I586">
        <v>984.76</v>
      </c>
      <c r="J586">
        <v>1863.45</v>
      </c>
      <c r="K586" s="5">
        <f>IF(SalesData[[#This Row],[Total Revenue]]=0,0,SalesData[[#This Row],[Profit]]/SalesData[[#This Row],[Total Revenue]])</f>
        <v>0.27455154885999483</v>
      </c>
      <c r="L586" s="5" t="str">
        <f>TEXT(SalesData[[#This Row],[Date]],"mmm")</f>
        <v>Jan</v>
      </c>
      <c r="M586">
        <f>YEAR(SalesData[[#This Row],[Date]])</f>
        <v>2023</v>
      </c>
      <c r="N586">
        <f>WEEKNUM(SalesData[[#This Row],[Date]])</f>
        <v>4</v>
      </c>
      <c r="O586" t="s">
        <v>2305</v>
      </c>
      <c r="P586" t="s">
        <v>2522</v>
      </c>
      <c r="Q586" t="s">
        <v>2527</v>
      </c>
    </row>
    <row r="587" spans="1:17" x14ac:dyDescent="0.35">
      <c r="A587" t="s">
        <v>165</v>
      </c>
      <c r="B587" s="3">
        <v>44957</v>
      </c>
      <c r="C587" t="s">
        <v>2016</v>
      </c>
      <c r="D587" t="s">
        <v>2025</v>
      </c>
      <c r="E587" s="8">
        <v>2263</v>
      </c>
      <c r="F587">
        <v>3</v>
      </c>
      <c r="G587">
        <v>0</v>
      </c>
      <c r="H587" s="8">
        <v>6789</v>
      </c>
      <c r="I587">
        <v>1730.56</v>
      </c>
      <c r="J587">
        <v>1597.33</v>
      </c>
      <c r="K587" s="5">
        <f>IF(SalesData[[#This Row],[Total Revenue]]=0,0,SalesData[[#This Row],[Profit]]/SalesData[[#This Row],[Total Revenue]])</f>
        <v>0.23528207394314332</v>
      </c>
      <c r="L587" s="5" t="str">
        <f>TEXT(SalesData[[#This Row],[Date]],"mmm")</f>
        <v>Jan</v>
      </c>
      <c r="M587">
        <f>YEAR(SalesData[[#This Row],[Date]])</f>
        <v>2023</v>
      </c>
      <c r="N587">
        <f>WEEKNUM(SalesData[[#This Row],[Date]])</f>
        <v>5</v>
      </c>
      <c r="O587" t="s">
        <v>2163</v>
      </c>
      <c r="P587" t="s">
        <v>2523</v>
      </c>
      <c r="Q587" t="s">
        <v>2526</v>
      </c>
    </row>
    <row r="588" spans="1:17" x14ac:dyDescent="0.35">
      <c r="A588" t="s">
        <v>901</v>
      </c>
      <c r="B588" s="3">
        <v>45237</v>
      </c>
      <c r="C588" t="s">
        <v>2018</v>
      </c>
      <c r="D588" t="s">
        <v>2026</v>
      </c>
      <c r="E588" s="8">
        <v>1194</v>
      </c>
      <c r="F588">
        <v>6</v>
      </c>
      <c r="G588">
        <v>5</v>
      </c>
      <c r="H588" s="8">
        <v>6805.8</v>
      </c>
      <c r="I588">
        <v>884.26</v>
      </c>
      <c r="J588">
        <v>1500.26</v>
      </c>
      <c r="K588" s="5">
        <f>IF(SalesData[[#This Row],[Total Revenue]]=0,0,SalesData[[#This Row],[Profit]]/SalesData[[#This Row],[Total Revenue]])</f>
        <v>0.22043844955773018</v>
      </c>
      <c r="L588" s="5" t="str">
        <f>TEXT(SalesData[[#This Row],[Date]],"mmm")</f>
        <v>Nov</v>
      </c>
      <c r="M588">
        <f>YEAR(SalesData[[#This Row],[Date]])</f>
        <v>2023</v>
      </c>
      <c r="N588">
        <f>WEEKNUM(SalesData[[#This Row],[Date]])</f>
        <v>45</v>
      </c>
      <c r="O588" t="s">
        <v>2134</v>
      </c>
      <c r="P588" t="s">
        <v>2523</v>
      </c>
      <c r="Q588" t="s">
        <v>2527</v>
      </c>
    </row>
    <row r="589" spans="1:17" x14ac:dyDescent="0.35">
      <c r="A589" t="s">
        <v>386</v>
      </c>
      <c r="B589" s="3">
        <v>45182</v>
      </c>
      <c r="C589" t="s">
        <v>2020</v>
      </c>
      <c r="D589" t="s">
        <v>2028</v>
      </c>
      <c r="E589" s="8">
        <v>1363</v>
      </c>
      <c r="F589">
        <v>5</v>
      </c>
      <c r="G589">
        <v>0</v>
      </c>
      <c r="H589" s="8">
        <v>6815</v>
      </c>
      <c r="I589">
        <v>1025.5</v>
      </c>
      <c r="J589">
        <v>1687.49</v>
      </c>
      <c r="K589" s="5">
        <f>IF(SalesData[[#This Row],[Total Revenue]]=0,0,SalesData[[#This Row],[Profit]]/SalesData[[#This Row],[Total Revenue]])</f>
        <v>0.2476140865737344</v>
      </c>
      <c r="L589" s="5" t="str">
        <f>TEXT(SalesData[[#This Row],[Date]],"mmm")</f>
        <v>Sep</v>
      </c>
      <c r="M589">
        <f>YEAR(SalesData[[#This Row],[Date]])</f>
        <v>2023</v>
      </c>
      <c r="N589">
        <f>WEEKNUM(SalesData[[#This Row],[Date]])</f>
        <v>37</v>
      </c>
      <c r="O589" t="s">
        <v>2291</v>
      </c>
      <c r="P589" t="s">
        <v>2523</v>
      </c>
      <c r="Q589" t="s">
        <v>2526</v>
      </c>
    </row>
    <row r="590" spans="1:17" x14ac:dyDescent="0.35">
      <c r="A590" t="s">
        <v>1546</v>
      </c>
      <c r="B590" s="3">
        <v>44988</v>
      </c>
      <c r="C590" t="s">
        <v>2015</v>
      </c>
      <c r="D590" t="s">
        <v>2025</v>
      </c>
      <c r="E590" s="8">
        <v>897</v>
      </c>
      <c r="F590">
        <v>8</v>
      </c>
      <c r="G590">
        <v>5</v>
      </c>
      <c r="H590" s="8">
        <v>6817.2</v>
      </c>
      <c r="I590">
        <v>635.01</v>
      </c>
      <c r="J590">
        <v>1737.12</v>
      </c>
      <c r="K590" s="5">
        <f>IF(SalesData[[#This Row],[Total Revenue]]=0,0,SalesData[[#This Row],[Profit]]/SalesData[[#This Row],[Total Revenue]])</f>
        <v>0.25481429325822919</v>
      </c>
      <c r="L590" s="5" t="str">
        <f>TEXT(SalesData[[#This Row],[Date]],"mmm")</f>
        <v>Mar</v>
      </c>
      <c r="M590">
        <f>YEAR(SalesData[[#This Row],[Date]])</f>
        <v>2023</v>
      </c>
      <c r="N590">
        <f>WEEKNUM(SalesData[[#This Row],[Date]])</f>
        <v>9</v>
      </c>
      <c r="O590" t="s">
        <v>2265</v>
      </c>
      <c r="P590" t="s">
        <v>2523</v>
      </c>
      <c r="Q590" t="s">
        <v>2527</v>
      </c>
    </row>
    <row r="591" spans="1:17" x14ac:dyDescent="0.35">
      <c r="A591" t="s">
        <v>13</v>
      </c>
      <c r="B591" s="3">
        <v>45168</v>
      </c>
      <c r="C591" t="s">
        <v>2013</v>
      </c>
      <c r="D591" t="s">
        <v>2023</v>
      </c>
      <c r="E591" s="8">
        <v>3792</v>
      </c>
      <c r="F591">
        <v>2</v>
      </c>
      <c r="G591">
        <v>10</v>
      </c>
      <c r="H591" s="8">
        <v>6825.6</v>
      </c>
      <c r="I591">
        <v>2831.54</v>
      </c>
      <c r="J591">
        <v>1162.52</v>
      </c>
      <c r="K591" s="5">
        <f>IF(SalesData[[#This Row],[Total Revenue]]=0,0,SalesData[[#This Row],[Profit]]/SalesData[[#This Row],[Total Revenue]])</f>
        <v>0.17031762775433659</v>
      </c>
      <c r="L591" s="5" t="str">
        <f>TEXT(SalesData[[#This Row],[Date]],"mmm")</f>
        <v>Aug</v>
      </c>
      <c r="M591">
        <f>YEAR(SalesData[[#This Row],[Date]])</f>
        <v>2023</v>
      </c>
      <c r="N591">
        <f>WEEKNUM(SalesData[[#This Row],[Date]])</f>
        <v>35</v>
      </c>
      <c r="O591" t="s">
        <v>2029</v>
      </c>
      <c r="P591" t="s">
        <v>2522</v>
      </c>
      <c r="Q591" t="s">
        <v>2524</v>
      </c>
    </row>
    <row r="592" spans="1:17" x14ac:dyDescent="0.35">
      <c r="A592" t="s">
        <v>1337</v>
      </c>
      <c r="B592" s="3">
        <v>45273</v>
      </c>
      <c r="C592" t="s">
        <v>2021</v>
      </c>
      <c r="D592" t="s">
        <v>2028</v>
      </c>
      <c r="E592" s="8">
        <v>3414</v>
      </c>
      <c r="F592">
        <v>2</v>
      </c>
      <c r="G592">
        <v>0</v>
      </c>
      <c r="H592" s="8">
        <v>6828</v>
      </c>
      <c r="I592">
        <v>2388.7600000000002</v>
      </c>
      <c r="J592">
        <v>2050.48</v>
      </c>
      <c r="K592" s="5">
        <f>IF(SalesData[[#This Row],[Total Revenue]]=0,0,SalesData[[#This Row],[Profit]]/SalesData[[#This Row],[Total Revenue]])</f>
        <v>0.30030462800234331</v>
      </c>
      <c r="L592" s="5" t="str">
        <f>TEXT(SalesData[[#This Row],[Date]],"mmm")</f>
        <v>Dec</v>
      </c>
      <c r="M592">
        <f>YEAR(SalesData[[#This Row],[Date]])</f>
        <v>2023</v>
      </c>
      <c r="N592">
        <f>WEEKNUM(SalesData[[#This Row],[Date]])</f>
        <v>50</v>
      </c>
      <c r="O592" t="s">
        <v>2118</v>
      </c>
      <c r="P592" t="s">
        <v>2523</v>
      </c>
      <c r="Q592" t="s">
        <v>2524</v>
      </c>
    </row>
    <row r="593" spans="1:17" x14ac:dyDescent="0.35">
      <c r="A593" t="s">
        <v>825</v>
      </c>
      <c r="B593" s="3">
        <v>45197</v>
      </c>
      <c r="C593" t="s">
        <v>2015</v>
      </c>
      <c r="D593" t="s">
        <v>2025</v>
      </c>
      <c r="E593" s="8">
        <v>1798</v>
      </c>
      <c r="F593">
        <v>4</v>
      </c>
      <c r="G593">
        <v>5</v>
      </c>
      <c r="H593" s="8">
        <v>6832.4</v>
      </c>
      <c r="I593">
        <v>1066.9100000000001</v>
      </c>
      <c r="J593">
        <v>2564.77</v>
      </c>
      <c r="K593" s="5">
        <f>IF(SalesData[[#This Row],[Total Revenue]]=0,0,SalesData[[#This Row],[Profit]]/SalesData[[#This Row],[Total Revenue]])</f>
        <v>0.3753834670101282</v>
      </c>
      <c r="L593" s="5" t="str">
        <f>TEXT(SalesData[[#This Row],[Date]],"mmm")</f>
        <v>Sep</v>
      </c>
      <c r="M593">
        <f>YEAR(SalesData[[#This Row],[Date]])</f>
        <v>2023</v>
      </c>
      <c r="N593">
        <f>WEEKNUM(SalesData[[#This Row],[Date]])</f>
        <v>39</v>
      </c>
      <c r="O593" t="s">
        <v>2134</v>
      </c>
      <c r="P593" t="s">
        <v>2523</v>
      </c>
      <c r="Q593" t="s">
        <v>2526</v>
      </c>
    </row>
    <row r="594" spans="1:17" x14ac:dyDescent="0.35">
      <c r="A594" t="s">
        <v>1837</v>
      </c>
      <c r="B594" s="3">
        <v>44996</v>
      </c>
      <c r="C594" t="s">
        <v>2022</v>
      </c>
      <c r="D594" t="s">
        <v>2024</v>
      </c>
      <c r="E594" s="8">
        <v>1201</v>
      </c>
      <c r="F594">
        <v>6</v>
      </c>
      <c r="G594">
        <v>5</v>
      </c>
      <c r="H594" s="8">
        <v>6845.7</v>
      </c>
      <c r="I594">
        <v>648.57000000000005</v>
      </c>
      <c r="J594">
        <v>2954.27</v>
      </c>
      <c r="K594" s="5">
        <f>IF(SalesData[[#This Row],[Total Revenue]]=0,0,SalesData[[#This Row],[Profit]]/SalesData[[#This Row],[Total Revenue]])</f>
        <v>0.43155119271951736</v>
      </c>
      <c r="L594" s="5" t="str">
        <f>TEXT(SalesData[[#This Row],[Date]],"mmm")</f>
        <v>Mar</v>
      </c>
      <c r="M594">
        <f>YEAR(SalesData[[#This Row],[Date]])</f>
        <v>2023</v>
      </c>
      <c r="N594">
        <f>WEEKNUM(SalesData[[#This Row],[Date]])</f>
        <v>10</v>
      </c>
      <c r="O594" t="s">
        <v>2090</v>
      </c>
      <c r="P594" t="s">
        <v>2523</v>
      </c>
      <c r="Q594" t="s">
        <v>2526</v>
      </c>
    </row>
    <row r="595" spans="1:17" x14ac:dyDescent="0.35">
      <c r="A595" t="s">
        <v>1015</v>
      </c>
      <c r="B595" s="3">
        <v>45214</v>
      </c>
      <c r="C595" t="s">
        <v>2019</v>
      </c>
      <c r="D595" t="s">
        <v>2027</v>
      </c>
      <c r="E595" s="8">
        <v>2539</v>
      </c>
      <c r="F595">
        <v>3</v>
      </c>
      <c r="G595">
        <v>10</v>
      </c>
      <c r="H595" s="8">
        <v>6855.3</v>
      </c>
      <c r="I595">
        <v>1784.69</v>
      </c>
      <c r="J595">
        <v>1501.22</v>
      </c>
      <c r="K595" s="5">
        <f>IF(SalesData[[#This Row],[Total Revenue]]=0,0,SalesData[[#This Row],[Profit]]/SalesData[[#This Row],[Total Revenue]])</f>
        <v>0.21898676936093242</v>
      </c>
      <c r="L595" s="5" t="str">
        <f>TEXT(SalesData[[#This Row],[Date]],"mmm")</f>
        <v>Oct</v>
      </c>
      <c r="M595">
        <f>YEAR(SalesData[[#This Row],[Date]])</f>
        <v>2023</v>
      </c>
      <c r="N595">
        <f>WEEKNUM(SalesData[[#This Row],[Date]])</f>
        <v>42</v>
      </c>
      <c r="O595" t="s">
        <v>2391</v>
      </c>
      <c r="P595" t="s">
        <v>2523</v>
      </c>
      <c r="Q595" t="s">
        <v>2524</v>
      </c>
    </row>
    <row r="596" spans="1:17" x14ac:dyDescent="0.35">
      <c r="A596" t="s">
        <v>399</v>
      </c>
      <c r="B596" s="3">
        <v>45116</v>
      </c>
      <c r="C596" t="s">
        <v>2020</v>
      </c>
      <c r="D596" t="s">
        <v>2028</v>
      </c>
      <c r="E596" s="8">
        <v>803</v>
      </c>
      <c r="F596">
        <v>9</v>
      </c>
      <c r="G596">
        <v>5</v>
      </c>
      <c r="H596" s="8">
        <v>6865.65</v>
      </c>
      <c r="I596">
        <v>460.22</v>
      </c>
      <c r="J596">
        <v>2723.63</v>
      </c>
      <c r="K596" s="5">
        <f>IF(SalesData[[#This Row],[Total Revenue]]=0,0,SalesData[[#This Row],[Profit]]/SalesData[[#This Row],[Total Revenue]])</f>
        <v>0.39670388091440728</v>
      </c>
      <c r="L596" s="5" t="str">
        <f>TEXT(SalesData[[#This Row],[Date]],"mmm")</f>
        <v>Jul</v>
      </c>
      <c r="M596">
        <f>YEAR(SalesData[[#This Row],[Date]])</f>
        <v>2023</v>
      </c>
      <c r="N596">
        <f>WEEKNUM(SalesData[[#This Row],[Date]])</f>
        <v>28</v>
      </c>
      <c r="O596" t="s">
        <v>2033</v>
      </c>
      <c r="P596" t="s">
        <v>2522</v>
      </c>
      <c r="Q596" t="s">
        <v>2525</v>
      </c>
    </row>
    <row r="597" spans="1:17" x14ac:dyDescent="0.35">
      <c r="A597" t="s">
        <v>966</v>
      </c>
      <c r="B597" s="3">
        <v>45231</v>
      </c>
      <c r="C597" t="s">
        <v>2015</v>
      </c>
      <c r="D597" t="s">
        <v>2025</v>
      </c>
      <c r="E597" s="8">
        <v>3614</v>
      </c>
      <c r="F597">
        <v>2</v>
      </c>
      <c r="G597">
        <v>5</v>
      </c>
      <c r="H597" s="8">
        <v>6866.6</v>
      </c>
      <c r="I597">
        <v>2723.11</v>
      </c>
      <c r="J597">
        <v>1420.38</v>
      </c>
      <c r="K597" s="5">
        <f>IF(SalesData[[#This Row],[Total Revenue]]=0,0,SalesData[[#This Row],[Profit]]/SalesData[[#This Row],[Total Revenue]])</f>
        <v>0.20685346459674367</v>
      </c>
      <c r="L597" s="5" t="str">
        <f>TEXT(SalesData[[#This Row],[Date]],"mmm")</f>
        <v>Nov</v>
      </c>
      <c r="M597">
        <f>YEAR(SalesData[[#This Row],[Date]])</f>
        <v>2023</v>
      </c>
      <c r="N597">
        <f>WEEKNUM(SalesData[[#This Row],[Date]])</f>
        <v>44</v>
      </c>
      <c r="O597" t="s">
        <v>2048</v>
      </c>
      <c r="P597" t="s">
        <v>2523</v>
      </c>
      <c r="Q597" t="s">
        <v>2526</v>
      </c>
    </row>
    <row r="598" spans="1:17" x14ac:dyDescent="0.35">
      <c r="A598" t="s">
        <v>1121</v>
      </c>
      <c r="B598" s="3">
        <v>45043</v>
      </c>
      <c r="C598" t="s">
        <v>2015</v>
      </c>
      <c r="D598" t="s">
        <v>2025</v>
      </c>
      <c r="E598" s="8">
        <v>1012</v>
      </c>
      <c r="F598">
        <v>8</v>
      </c>
      <c r="G598">
        <v>15</v>
      </c>
      <c r="H598" s="8">
        <v>6881.6</v>
      </c>
      <c r="I598">
        <v>564.66</v>
      </c>
      <c r="J598">
        <v>2364.3000000000002</v>
      </c>
      <c r="K598" s="5">
        <f>IF(SalesData[[#This Row],[Total Revenue]]=0,0,SalesData[[#This Row],[Profit]]/SalesData[[#This Row],[Total Revenue]])</f>
        <v>0.34356835619623344</v>
      </c>
      <c r="L598" s="5" t="str">
        <f>TEXT(SalesData[[#This Row],[Date]],"mmm")</f>
        <v>Apr</v>
      </c>
      <c r="M598">
        <f>YEAR(SalesData[[#This Row],[Date]])</f>
        <v>2023</v>
      </c>
      <c r="N598">
        <f>WEEKNUM(SalesData[[#This Row],[Date]])</f>
        <v>17</v>
      </c>
      <c r="O598" t="s">
        <v>2248</v>
      </c>
      <c r="P598" t="s">
        <v>2523</v>
      </c>
      <c r="Q598" t="s">
        <v>2524</v>
      </c>
    </row>
    <row r="599" spans="1:17" x14ac:dyDescent="0.35">
      <c r="A599" t="s">
        <v>832</v>
      </c>
      <c r="B599" s="3">
        <v>45052</v>
      </c>
      <c r="C599" t="s">
        <v>2017</v>
      </c>
      <c r="D599" t="s">
        <v>2026</v>
      </c>
      <c r="E599" s="8">
        <v>3624</v>
      </c>
      <c r="F599">
        <v>2</v>
      </c>
      <c r="G599">
        <v>5</v>
      </c>
      <c r="H599" s="8">
        <v>6885.6</v>
      </c>
      <c r="I599">
        <v>2852.55</v>
      </c>
      <c r="J599">
        <v>1180.51</v>
      </c>
      <c r="K599" s="5">
        <f>IF(SalesData[[#This Row],[Total Revenue]]=0,0,SalesData[[#This Row],[Profit]]/SalesData[[#This Row],[Total Revenue]])</f>
        <v>0.17144620657604276</v>
      </c>
      <c r="L599" s="5" t="str">
        <f>TEXT(SalesData[[#This Row],[Date]],"mmm")</f>
        <v>May</v>
      </c>
      <c r="M599">
        <f>YEAR(SalesData[[#This Row],[Date]])</f>
        <v>2023</v>
      </c>
      <c r="N599">
        <f>WEEKNUM(SalesData[[#This Row],[Date]])</f>
        <v>18</v>
      </c>
      <c r="O599" t="s">
        <v>2035</v>
      </c>
      <c r="P599" t="s">
        <v>2522</v>
      </c>
      <c r="Q599" t="s">
        <v>2524</v>
      </c>
    </row>
    <row r="600" spans="1:17" x14ac:dyDescent="0.35">
      <c r="A600" t="s">
        <v>1714</v>
      </c>
      <c r="B600" s="3">
        <v>45269</v>
      </c>
      <c r="C600" t="s">
        <v>2019</v>
      </c>
      <c r="D600" t="s">
        <v>2027</v>
      </c>
      <c r="E600" s="8">
        <v>2028</v>
      </c>
      <c r="F600">
        <v>4</v>
      </c>
      <c r="G600">
        <v>15</v>
      </c>
      <c r="H600" s="8">
        <v>6895.2</v>
      </c>
      <c r="I600">
        <v>1244.72</v>
      </c>
      <c r="J600">
        <v>1916.32</v>
      </c>
      <c r="K600" s="5">
        <f>IF(SalesData[[#This Row],[Total Revenue]]=0,0,SalesData[[#This Row],[Profit]]/SalesData[[#This Row],[Total Revenue]])</f>
        <v>0.27792087249100822</v>
      </c>
      <c r="L600" s="5" t="str">
        <f>TEXT(SalesData[[#This Row],[Date]],"mmm")</f>
        <v>Dec</v>
      </c>
      <c r="M600">
        <f>YEAR(SalesData[[#This Row],[Date]])</f>
        <v>2023</v>
      </c>
      <c r="N600">
        <f>WEEKNUM(SalesData[[#This Row],[Date]])</f>
        <v>49</v>
      </c>
      <c r="O600" t="s">
        <v>2455</v>
      </c>
      <c r="P600" t="s">
        <v>2522</v>
      </c>
      <c r="Q600" t="s">
        <v>2526</v>
      </c>
    </row>
    <row r="601" spans="1:17" x14ac:dyDescent="0.35">
      <c r="A601" t="s">
        <v>1751</v>
      </c>
      <c r="B601" s="3">
        <v>45237</v>
      </c>
      <c r="C601" t="s">
        <v>2020</v>
      </c>
      <c r="D601" t="s">
        <v>2028</v>
      </c>
      <c r="E601" s="8">
        <v>807</v>
      </c>
      <c r="F601">
        <v>9</v>
      </c>
      <c r="G601">
        <v>5</v>
      </c>
      <c r="H601" s="8">
        <v>6899.85</v>
      </c>
      <c r="I601">
        <v>603.6</v>
      </c>
      <c r="J601">
        <v>1467.43</v>
      </c>
      <c r="K601" s="5">
        <f>IF(SalesData[[#This Row],[Total Revenue]]=0,0,SalesData[[#This Row],[Profit]]/SalesData[[#This Row],[Total Revenue]])</f>
        <v>0.21267563787618571</v>
      </c>
      <c r="L601" s="5" t="str">
        <f>TEXT(SalesData[[#This Row],[Date]],"mmm")</f>
        <v>Nov</v>
      </c>
      <c r="M601">
        <f>YEAR(SalesData[[#This Row],[Date]])</f>
        <v>2023</v>
      </c>
      <c r="N601">
        <f>WEEKNUM(SalesData[[#This Row],[Date]])</f>
        <v>45</v>
      </c>
      <c r="O601" t="s">
        <v>2402</v>
      </c>
      <c r="P601" t="s">
        <v>2522</v>
      </c>
      <c r="Q601" t="s">
        <v>2524</v>
      </c>
    </row>
    <row r="602" spans="1:17" x14ac:dyDescent="0.35">
      <c r="A602" t="s">
        <v>402</v>
      </c>
      <c r="B602" s="3">
        <v>45111</v>
      </c>
      <c r="C602" t="s">
        <v>2018</v>
      </c>
      <c r="D602" t="s">
        <v>2026</v>
      </c>
      <c r="E602" s="8">
        <v>1039</v>
      </c>
      <c r="F602">
        <v>7</v>
      </c>
      <c r="G602">
        <v>5</v>
      </c>
      <c r="H602" s="8">
        <v>6909.35</v>
      </c>
      <c r="I602">
        <v>649.30999999999995</v>
      </c>
      <c r="J602">
        <v>2364.16</v>
      </c>
      <c r="K602" s="5">
        <f>IF(SalesData[[#This Row],[Total Revenue]]=0,0,SalesData[[#This Row],[Profit]]/SalesData[[#This Row],[Total Revenue]])</f>
        <v>0.34216822132327929</v>
      </c>
      <c r="L602" s="5" t="str">
        <f>TEXT(SalesData[[#This Row],[Date]],"mmm")</f>
        <v>Jul</v>
      </c>
      <c r="M602">
        <f>YEAR(SalesData[[#This Row],[Date]])</f>
        <v>2023</v>
      </c>
      <c r="N602">
        <f>WEEKNUM(SalesData[[#This Row],[Date]])</f>
        <v>27</v>
      </c>
      <c r="O602" t="s">
        <v>2161</v>
      </c>
      <c r="P602" t="s">
        <v>2523</v>
      </c>
      <c r="Q602" t="s">
        <v>2524</v>
      </c>
    </row>
    <row r="603" spans="1:17" x14ac:dyDescent="0.35">
      <c r="A603" t="s">
        <v>1416</v>
      </c>
      <c r="B603" s="3">
        <v>45142</v>
      </c>
      <c r="C603" t="s">
        <v>2014</v>
      </c>
      <c r="D603" t="s">
        <v>2024</v>
      </c>
      <c r="E603" s="8">
        <v>3459</v>
      </c>
      <c r="F603">
        <v>2</v>
      </c>
      <c r="G603">
        <v>0</v>
      </c>
      <c r="H603" s="8">
        <v>6918</v>
      </c>
      <c r="I603">
        <v>1795.78</v>
      </c>
      <c r="J603">
        <v>3326.44</v>
      </c>
      <c r="K603" s="5">
        <f>IF(SalesData[[#This Row],[Total Revenue]]=0,0,SalesData[[#This Row],[Profit]]/SalesData[[#This Row],[Total Revenue]])</f>
        <v>0.48083839259901706</v>
      </c>
      <c r="L603" s="5" t="str">
        <f>TEXT(SalesData[[#This Row],[Date]],"mmm")</f>
        <v>Aug</v>
      </c>
      <c r="M603">
        <f>YEAR(SalesData[[#This Row],[Date]])</f>
        <v>2023</v>
      </c>
      <c r="N603">
        <f>WEEKNUM(SalesData[[#This Row],[Date]])</f>
        <v>31</v>
      </c>
      <c r="O603" t="s">
        <v>2068</v>
      </c>
      <c r="P603" t="s">
        <v>2523</v>
      </c>
      <c r="Q603" t="s">
        <v>2525</v>
      </c>
    </row>
    <row r="604" spans="1:17" x14ac:dyDescent="0.35">
      <c r="A604" t="s">
        <v>1171</v>
      </c>
      <c r="B604" s="3">
        <v>44927</v>
      </c>
      <c r="C604" t="s">
        <v>2019</v>
      </c>
      <c r="D604" t="s">
        <v>2027</v>
      </c>
      <c r="E604" s="8">
        <v>1457</v>
      </c>
      <c r="F604">
        <v>5</v>
      </c>
      <c r="G604">
        <v>5</v>
      </c>
      <c r="H604" s="8">
        <v>6920.75</v>
      </c>
      <c r="I604">
        <v>988.86</v>
      </c>
      <c r="J604">
        <v>1976.44</v>
      </c>
      <c r="K604" s="5">
        <f>IF(SalesData[[#This Row],[Total Revenue]]=0,0,SalesData[[#This Row],[Profit]]/SalesData[[#This Row],[Total Revenue]])</f>
        <v>0.28558176498211901</v>
      </c>
      <c r="L604" s="5" t="str">
        <f>TEXT(SalesData[[#This Row],[Date]],"mmm")</f>
        <v>Jan</v>
      </c>
      <c r="M604">
        <f>YEAR(SalesData[[#This Row],[Date]])</f>
        <v>2023</v>
      </c>
      <c r="N604">
        <f>WEEKNUM(SalesData[[#This Row],[Date]])</f>
        <v>1</v>
      </c>
      <c r="O604" t="s">
        <v>2479</v>
      </c>
      <c r="P604" t="s">
        <v>2523</v>
      </c>
      <c r="Q604" t="s">
        <v>2526</v>
      </c>
    </row>
    <row r="605" spans="1:17" x14ac:dyDescent="0.35">
      <c r="A605" t="s">
        <v>306</v>
      </c>
      <c r="B605" s="3">
        <v>45085</v>
      </c>
      <c r="C605" t="s">
        <v>2015</v>
      </c>
      <c r="D605" t="s">
        <v>2025</v>
      </c>
      <c r="E605" s="8">
        <v>2568</v>
      </c>
      <c r="F605">
        <v>3</v>
      </c>
      <c r="G605">
        <v>10</v>
      </c>
      <c r="H605" s="8">
        <v>6933.6</v>
      </c>
      <c r="I605">
        <v>1948.26</v>
      </c>
      <c r="J605">
        <v>1088.82</v>
      </c>
      <c r="K605" s="5">
        <f>IF(SalesData[[#This Row],[Total Revenue]]=0,0,SalesData[[#This Row],[Profit]]/SalesData[[#This Row],[Total Revenue]])</f>
        <v>0.15703530633437174</v>
      </c>
      <c r="L605" s="5" t="str">
        <f>TEXT(SalesData[[#This Row],[Date]],"mmm")</f>
        <v>Jun</v>
      </c>
      <c r="M605">
        <f>YEAR(SalesData[[#This Row],[Date]])</f>
        <v>2023</v>
      </c>
      <c r="N605">
        <f>WEEKNUM(SalesData[[#This Row],[Date]])</f>
        <v>23</v>
      </c>
      <c r="O605" t="s">
        <v>2065</v>
      </c>
      <c r="P605" t="s">
        <v>2522</v>
      </c>
      <c r="Q605" t="s">
        <v>2524</v>
      </c>
    </row>
    <row r="606" spans="1:17" x14ac:dyDescent="0.35">
      <c r="A606" t="s">
        <v>1987</v>
      </c>
      <c r="B606" s="3">
        <v>45181</v>
      </c>
      <c r="C606" t="s">
        <v>2014</v>
      </c>
      <c r="D606" t="s">
        <v>2024</v>
      </c>
      <c r="E606" s="8">
        <v>1026</v>
      </c>
      <c r="F606">
        <v>8</v>
      </c>
      <c r="G606">
        <v>15</v>
      </c>
      <c r="H606" s="8">
        <v>6976.8</v>
      </c>
      <c r="I606">
        <v>766.79</v>
      </c>
      <c r="J606">
        <v>842.51</v>
      </c>
      <c r="K606" s="5">
        <f>IF(SalesData[[#This Row],[Total Revenue]]=0,0,SalesData[[#This Row],[Profit]]/SalesData[[#This Row],[Total Revenue]])</f>
        <v>0.12075880059626189</v>
      </c>
      <c r="L606" s="5" t="str">
        <f>TEXT(SalesData[[#This Row],[Date]],"mmm")</f>
        <v>Sep</v>
      </c>
      <c r="M606">
        <f>YEAR(SalesData[[#This Row],[Date]])</f>
        <v>2023</v>
      </c>
      <c r="N606">
        <f>WEEKNUM(SalesData[[#This Row],[Date]])</f>
        <v>37</v>
      </c>
      <c r="O606" t="s">
        <v>2445</v>
      </c>
      <c r="P606" t="s">
        <v>2522</v>
      </c>
      <c r="Q606" t="s">
        <v>2527</v>
      </c>
    </row>
    <row r="607" spans="1:17" x14ac:dyDescent="0.35">
      <c r="A607" t="s">
        <v>823</v>
      </c>
      <c r="B607" s="3">
        <v>45259</v>
      </c>
      <c r="C607" t="s">
        <v>2019</v>
      </c>
      <c r="D607" t="s">
        <v>2027</v>
      </c>
      <c r="E607" s="8">
        <v>1557</v>
      </c>
      <c r="F607">
        <v>5</v>
      </c>
      <c r="G607">
        <v>10</v>
      </c>
      <c r="H607" s="8">
        <v>7006.5</v>
      </c>
      <c r="I607">
        <v>1058.56</v>
      </c>
      <c r="J607">
        <v>1713.71</v>
      </c>
      <c r="K607" s="5">
        <f>IF(SalesData[[#This Row],[Total Revenue]]=0,0,SalesData[[#This Row],[Profit]]/SalesData[[#This Row],[Total Revenue]])</f>
        <v>0.24458859630343252</v>
      </c>
      <c r="L607" s="5" t="str">
        <f>TEXT(SalesData[[#This Row],[Date]],"mmm")</f>
        <v>Nov</v>
      </c>
      <c r="M607">
        <f>YEAR(SalesData[[#This Row],[Date]])</f>
        <v>2023</v>
      </c>
      <c r="N607">
        <f>WEEKNUM(SalesData[[#This Row],[Date]])</f>
        <v>48</v>
      </c>
      <c r="O607" t="s">
        <v>2277</v>
      </c>
      <c r="P607" t="s">
        <v>2523</v>
      </c>
      <c r="Q607" t="s">
        <v>2524</v>
      </c>
    </row>
    <row r="608" spans="1:17" x14ac:dyDescent="0.35">
      <c r="A608" t="s">
        <v>1244</v>
      </c>
      <c r="B608" s="3">
        <v>45016</v>
      </c>
      <c r="C608" t="s">
        <v>2014</v>
      </c>
      <c r="D608" t="s">
        <v>2024</v>
      </c>
      <c r="E608" s="8">
        <v>1231</v>
      </c>
      <c r="F608">
        <v>6</v>
      </c>
      <c r="G608">
        <v>5</v>
      </c>
      <c r="H608" s="8">
        <v>7016.7</v>
      </c>
      <c r="I608">
        <v>774.34</v>
      </c>
      <c r="J608">
        <v>2370.67</v>
      </c>
      <c r="K608" s="5">
        <f>IF(SalesData[[#This Row],[Total Revenue]]=0,0,SalesData[[#This Row],[Profit]]/SalesData[[#This Row],[Total Revenue]])</f>
        <v>0.33786110279761145</v>
      </c>
      <c r="L608" s="5" t="str">
        <f>TEXT(SalesData[[#This Row],[Date]],"mmm")</f>
        <v>Mar</v>
      </c>
      <c r="M608">
        <f>YEAR(SalesData[[#This Row],[Date]])</f>
        <v>2023</v>
      </c>
      <c r="N608">
        <f>WEEKNUM(SalesData[[#This Row],[Date]])</f>
        <v>13</v>
      </c>
      <c r="O608" t="s">
        <v>2159</v>
      </c>
      <c r="P608" t="s">
        <v>2522</v>
      </c>
      <c r="Q608" t="s">
        <v>2524</v>
      </c>
    </row>
    <row r="609" spans="1:17" x14ac:dyDescent="0.35">
      <c r="A609" t="s">
        <v>697</v>
      </c>
      <c r="B609" s="3">
        <v>45206</v>
      </c>
      <c r="C609" t="s">
        <v>2020</v>
      </c>
      <c r="D609" t="s">
        <v>2028</v>
      </c>
      <c r="E609" s="8">
        <v>2068</v>
      </c>
      <c r="F609">
        <v>4</v>
      </c>
      <c r="G609">
        <v>15</v>
      </c>
      <c r="H609" s="8">
        <v>7031.2</v>
      </c>
      <c r="I609">
        <v>1611.08</v>
      </c>
      <c r="J609">
        <v>586.89</v>
      </c>
      <c r="K609" s="5">
        <f>IF(SalesData[[#This Row],[Total Revenue]]=0,0,SalesData[[#This Row],[Profit]]/SalesData[[#This Row],[Total Revenue]])</f>
        <v>8.3469393560131985E-2</v>
      </c>
      <c r="L609" s="5" t="str">
        <f>TEXT(SalesData[[#This Row],[Date]],"mmm")</f>
        <v>Oct</v>
      </c>
      <c r="M609">
        <f>YEAR(SalesData[[#This Row],[Date]])</f>
        <v>2023</v>
      </c>
      <c r="N609">
        <f>WEEKNUM(SalesData[[#This Row],[Date]])</f>
        <v>40</v>
      </c>
      <c r="O609" t="s">
        <v>2332</v>
      </c>
      <c r="P609" t="s">
        <v>2522</v>
      </c>
      <c r="Q609" t="s">
        <v>2527</v>
      </c>
    </row>
    <row r="610" spans="1:17" x14ac:dyDescent="0.35">
      <c r="A610" t="s">
        <v>1980</v>
      </c>
      <c r="B610" s="3">
        <v>45105</v>
      </c>
      <c r="C610" t="s">
        <v>2013</v>
      </c>
      <c r="D610" t="s">
        <v>2023</v>
      </c>
      <c r="E610" s="8">
        <v>920</v>
      </c>
      <c r="F610">
        <v>9</v>
      </c>
      <c r="G610">
        <v>15</v>
      </c>
      <c r="H610" s="8">
        <v>7038</v>
      </c>
      <c r="I610">
        <v>694.8</v>
      </c>
      <c r="J610">
        <v>784.78</v>
      </c>
      <c r="K610" s="5">
        <f>IF(SalesData[[#This Row],[Total Revenue]]=0,0,SalesData[[#This Row],[Profit]]/SalesData[[#This Row],[Total Revenue]])</f>
        <v>0.1115061096902529</v>
      </c>
      <c r="L610" s="5" t="str">
        <f>TEXT(SalesData[[#This Row],[Date]],"mmm")</f>
        <v>Jun</v>
      </c>
      <c r="M610">
        <f>YEAR(SalesData[[#This Row],[Date]])</f>
        <v>2023</v>
      </c>
      <c r="N610">
        <f>WEEKNUM(SalesData[[#This Row],[Date]])</f>
        <v>26</v>
      </c>
      <c r="O610" t="s">
        <v>2100</v>
      </c>
      <c r="P610" t="s">
        <v>2523</v>
      </c>
      <c r="Q610" t="s">
        <v>2525</v>
      </c>
    </row>
    <row r="611" spans="1:17" x14ac:dyDescent="0.35">
      <c r="A611" t="s">
        <v>1649</v>
      </c>
      <c r="B611" s="3">
        <v>44976</v>
      </c>
      <c r="C611" t="s">
        <v>2014</v>
      </c>
      <c r="D611" t="s">
        <v>2024</v>
      </c>
      <c r="E611" s="8">
        <v>1855</v>
      </c>
      <c r="F611">
        <v>4</v>
      </c>
      <c r="G611">
        <v>5</v>
      </c>
      <c r="H611" s="8">
        <v>7049</v>
      </c>
      <c r="I611">
        <v>1375.33</v>
      </c>
      <c r="J611">
        <v>1547.68</v>
      </c>
      <c r="K611" s="5">
        <f>IF(SalesData[[#This Row],[Total Revenue]]=0,0,SalesData[[#This Row],[Profit]]/SalesData[[#This Row],[Total Revenue]])</f>
        <v>0.21956022130798697</v>
      </c>
      <c r="L611" s="5" t="str">
        <f>TEXT(SalesData[[#This Row],[Date]],"mmm")</f>
        <v>Feb</v>
      </c>
      <c r="M611">
        <f>YEAR(SalesData[[#This Row],[Date]])</f>
        <v>2023</v>
      </c>
      <c r="N611">
        <f>WEEKNUM(SalesData[[#This Row],[Date]])</f>
        <v>8</v>
      </c>
      <c r="O611" t="s">
        <v>2129</v>
      </c>
      <c r="P611" t="s">
        <v>2522</v>
      </c>
      <c r="Q611" t="s">
        <v>2526</v>
      </c>
    </row>
    <row r="612" spans="1:17" x14ac:dyDescent="0.35">
      <c r="A612" t="s">
        <v>1846</v>
      </c>
      <c r="B612" s="3">
        <v>45008</v>
      </c>
      <c r="C612" t="s">
        <v>2018</v>
      </c>
      <c r="D612" t="s">
        <v>2026</v>
      </c>
      <c r="E612" s="8">
        <v>1411</v>
      </c>
      <c r="F612">
        <v>5</v>
      </c>
      <c r="G612">
        <v>0</v>
      </c>
      <c r="H612" s="8">
        <v>7055</v>
      </c>
      <c r="I612">
        <v>802.67</v>
      </c>
      <c r="J612">
        <v>3041.63</v>
      </c>
      <c r="K612" s="5">
        <f>IF(SalesData[[#This Row],[Total Revenue]]=0,0,SalesData[[#This Row],[Profit]]/SalesData[[#This Row],[Total Revenue]])</f>
        <v>0.43113111268603826</v>
      </c>
      <c r="L612" s="5" t="str">
        <f>TEXT(SalesData[[#This Row],[Date]],"mmm")</f>
        <v>Mar</v>
      </c>
      <c r="M612">
        <f>YEAR(SalesData[[#This Row],[Date]])</f>
        <v>2023</v>
      </c>
      <c r="N612">
        <f>WEEKNUM(SalesData[[#This Row],[Date]])</f>
        <v>12</v>
      </c>
      <c r="O612" t="s">
        <v>2321</v>
      </c>
      <c r="P612" t="s">
        <v>2522</v>
      </c>
      <c r="Q612" t="s">
        <v>2524</v>
      </c>
    </row>
    <row r="613" spans="1:17" x14ac:dyDescent="0.35">
      <c r="A613" t="s">
        <v>401</v>
      </c>
      <c r="B613" s="3">
        <v>45004</v>
      </c>
      <c r="C613" t="s">
        <v>2015</v>
      </c>
      <c r="D613" t="s">
        <v>2025</v>
      </c>
      <c r="E613" s="8">
        <v>1966</v>
      </c>
      <c r="F613">
        <v>4</v>
      </c>
      <c r="G613">
        <v>10</v>
      </c>
      <c r="H613" s="8">
        <v>7077.6</v>
      </c>
      <c r="I613">
        <v>1197.19</v>
      </c>
      <c r="J613">
        <v>2288.86</v>
      </c>
      <c r="K613" s="5">
        <f>IF(SalesData[[#This Row],[Total Revenue]]=0,0,SalesData[[#This Row],[Profit]]/SalesData[[#This Row],[Total Revenue]])</f>
        <v>0.32339493613654346</v>
      </c>
      <c r="L613" s="5" t="str">
        <f>TEXT(SalesData[[#This Row],[Date]],"mmm")</f>
        <v>Mar</v>
      </c>
      <c r="M613">
        <f>YEAR(SalesData[[#This Row],[Date]])</f>
        <v>2023</v>
      </c>
      <c r="N613">
        <f>WEEKNUM(SalesData[[#This Row],[Date]])</f>
        <v>12</v>
      </c>
      <c r="O613" t="s">
        <v>2214</v>
      </c>
      <c r="P613" t="s">
        <v>2522</v>
      </c>
      <c r="Q613" t="s">
        <v>2527</v>
      </c>
    </row>
    <row r="614" spans="1:17" x14ac:dyDescent="0.35">
      <c r="A614" t="s">
        <v>329</v>
      </c>
      <c r="B614" s="3">
        <v>45144</v>
      </c>
      <c r="C614" t="s">
        <v>2017</v>
      </c>
      <c r="D614" t="s">
        <v>2026</v>
      </c>
      <c r="E614" s="8">
        <v>2779</v>
      </c>
      <c r="F614">
        <v>3</v>
      </c>
      <c r="G614">
        <v>15</v>
      </c>
      <c r="H614" s="8">
        <v>7086.45</v>
      </c>
      <c r="I614">
        <v>1565.59</v>
      </c>
      <c r="J614">
        <v>2389.67</v>
      </c>
      <c r="K614" s="5">
        <f>IF(SalesData[[#This Row],[Total Revenue]]=0,0,SalesData[[#This Row],[Profit]]/SalesData[[#This Row],[Total Revenue]])</f>
        <v>0.33721680107811386</v>
      </c>
      <c r="L614" s="5" t="str">
        <f>TEXT(SalesData[[#This Row],[Date]],"mmm")</f>
        <v>Aug</v>
      </c>
      <c r="M614">
        <f>YEAR(SalesData[[#This Row],[Date]])</f>
        <v>2023</v>
      </c>
      <c r="N614">
        <f>WEEKNUM(SalesData[[#This Row],[Date]])</f>
        <v>32</v>
      </c>
      <c r="O614" t="s">
        <v>2161</v>
      </c>
      <c r="P614" t="s">
        <v>2523</v>
      </c>
      <c r="Q614" t="s">
        <v>2524</v>
      </c>
    </row>
    <row r="615" spans="1:17" x14ac:dyDescent="0.35">
      <c r="A615" t="s">
        <v>973</v>
      </c>
      <c r="B615" s="3">
        <v>44934</v>
      </c>
      <c r="C615" t="s">
        <v>2016</v>
      </c>
      <c r="D615" t="s">
        <v>2025</v>
      </c>
      <c r="E615" s="8">
        <v>1867</v>
      </c>
      <c r="F615">
        <v>4</v>
      </c>
      <c r="G615">
        <v>5</v>
      </c>
      <c r="H615" s="8">
        <v>7094.6</v>
      </c>
      <c r="I615">
        <v>950.03</v>
      </c>
      <c r="J615">
        <v>3294.49</v>
      </c>
      <c r="K615" s="5">
        <f>IF(SalesData[[#This Row],[Total Revenue]]=0,0,SalesData[[#This Row],[Profit]]/SalesData[[#This Row],[Total Revenue]])</f>
        <v>0.46436585572125272</v>
      </c>
      <c r="L615" s="5" t="str">
        <f>TEXT(SalesData[[#This Row],[Date]],"mmm")</f>
        <v>Jan</v>
      </c>
      <c r="M615">
        <f>YEAR(SalesData[[#This Row],[Date]])</f>
        <v>2023</v>
      </c>
      <c r="N615">
        <f>WEEKNUM(SalesData[[#This Row],[Date]])</f>
        <v>2</v>
      </c>
      <c r="O615" t="s">
        <v>2178</v>
      </c>
      <c r="P615" t="s">
        <v>2522</v>
      </c>
      <c r="Q615" t="s">
        <v>2524</v>
      </c>
    </row>
    <row r="616" spans="1:17" x14ac:dyDescent="0.35">
      <c r="A616" t="s">
        <v>1465</v>
      </c>
      <c r="B616" s="3">
        <v>45061</v>
      </c>
      <c r="C616" t="s">
        <v>2015</v>
      </c>
      <c r="D616" t="s">
        <v>2025</v>
      </c>
      <c r="E616" s="8">
        <v>1867</v>
      </c>
      <c r="F616">
        <v>4</v>
      </c>
      <c r="G616">
        <v>5</v>
      </c>
      <c r="H616" s="8">
        <v>7094.6</v>
      </c>
      <c r="I616">
        <v>1268.1199999999999</v>
      </c>
      <c r="J616">
        <v>2022.12</v>
      </c>
      <c r="K616" s="5">
        <f>IF(SalesData[[#This Row],[Total Revenue]]=0,0,SalesData[[#This Row],[Profit]]/SalesData[[#This Row],[Total Revenue]])</f>
        <v>0.28502241141149603</v>
      </c>
      <c r="L616" s="5" t="str">
        <f>TEXT(SalesData[[#This Row],[Date]],"mmm")</f>
        <v>May</v>
      </c>
      <c r="M616">
        <f>YEAR(SalesData[[#This Row],[Date]])</f>
        <v>2023</v>
      </c>
      <c r="N616">
        <f>WEEKNUM(SalesData[[#This Row],[Date]])</f>
        <v>20</v>
      </c>
      <c r="O616" t="s">
        <v>2485</v>
      </c>
      <c r="P616" t="s">
        <v>2522</v>
      </c>
      <c r="Q616" t="s">
        <v>2524</v>
      </c>
    </row>
    <row r="617" spans="1:17" x14ac:dyDescent="0.35">
      <c r="A617" t="s">
        <v>1287</v>
      </c>
      <c r="B617" s="3">
        <v>45113</v>
      </c>
      <c r="C617" t="s">
        <v>2022</v>
      </c>
      <c r="D617" t="s">
        <v>2024</v>
      </c>
      <c r="E617" s="8">
        <v>3741</v>
      </c>
      <c r="F617">
        <v>2</v>
      </c>
      <c r="G617">
        <v>5</v>
      </c>
      <c r="H617" s="8">
        <v>7107.9</v>
      </c>
      <c r="I617">
        <v>2716.27</v>
      </c>
      <c r="J617">
        <v>1675.35</v>
      </c>
      <c r="K617" s="5">
        <f>IF(SalesData[[#This Row],[Total Revenue]]=0,0,SalesData[[#This Row],[Profit]]/SalesData[[#This Row],[Total Revenue]])</f>
        <v>0.23570252817287807</v>
      </c>
      <c r="L617" s="5" t="str">
        <f>TEXT(SalesData[[#This Row],[Date]],"mmm")</f>
        <v>Jul</v>
      </c>
      <c r="M617">
        <f>YEAR(SalesData[[#This Row],[Date]])</f>
        <v>2023</v>
      </c>
      <c r="N617">
        <f>WEEKNUM(SalesData[[#This Row],[Date]])</f>
        <v>27</v>
      </c>
      <c r="O617" t="s">
        <v>2189</v>
      </c>
      <c r="P617" t="s">
        <v>2522</v>
      </c>
      <c r="Q617" t="s">
        <v>2524</v>
      </c>
    </row>
    <row r="618" spans="1:17" x14ac:dyDescent="0.35">
      <c r="A618" t="s">
        <v>1375</v>
      </c>
      <c r="B618" s="3">
        <v>45255</v>
      </c>
      <c r="C618" t="s">
        <v>2020</v>
      </c>
      <c r="D618" t="s">
        <v>2028</v>
      </c>
      <c r="E618" s="8">
        <v>1426</v>
      </c>
      <c r="F618">
        <v>5</v>
      </c>
      <c r="G618">
        <v>0</v>
      </c>
      <c r="H618" s="8">
        <v>7130</v>
      </c>
      <c r="I618">
        <v>873.2</v>
      </c>
      <c r="J618">
        <v>2763.98</v>
      </c>
      <c r="K618" s="5">
        <f>IF(SalesData[[#This Row],[Total Revenue]]=0,0,SalesData[[#This Row],[Profit]]/SalesData[[#This Row],[Total Revenue]])</f>
        <v>0.38765497896213186</v>
      </c>
      <c r="L618" s="5" t="str">
        <f>TEXT(SalesData[[#This Row],[Date]],"mmm")</f>
        <v>Nov</v>
      </c>
      <c r="M618">
        <f>YEAR(SalesData[[#This Row],[Date]])</f>
        <v>2023</v>
      </c>
      <c r="N618">
        <f>WEEKNUM(SalesData[[#This Row],[Date]])</f>
        <v>47</v>
      </c>
      <c r="O618" t="s">
        <v>2195</v>
      </c>
      <c r="P618" t="s">
        <v>2522</v>
      </c>
      <c r="Q618" t="s">
        <v>2525</v>
      </c>
    </row>
    <row r="619" spans="1:17" x14ac:dyDescent="0.35">
      <c r="A619" t="s">
        <v>100</v>
      </c>
      <c r="B619" s="3">
        <v>44948</v>
      </c>
      <c r="C619" t="s">
        <v>2018</v>
      </c>
      <c r="D619" t="s">
        <v>2026</v>
      </c>
      <c r="E619" s="8">
        <v>1051</v>
      </c>
      <c r="F619">
        <v>8</v>
      </c>
      <c r="G619">
        <v>15</v>
      </c>
      <c r="H619" s="8">
        <v>7146.8</v>
      </c>
      <c r="I619">
        <v>795.88</v>
      </c>
      <c r="J619">
        <v>779.77</v>
      </c>
      <c r="K619" s="5">
        <f>IF(SalesData[[#This Row],[Total Revenue]]=0,0,SalesData[[#This Row],[Profit]]/SalesData[[#This Row],[Total Revenue]])</f>
        <v>0.1091075726199138</v>
      </c>
      <c r="L619" s="5" t="str">
        <f>TEXT(SalesData[[#This Row],[Date]],"mmm")</f>
        <v>Jan</v>
      </c>
      <c r="M619">
        <f>YEAR(SalesData[[#This Row],[Date]])</f>
        <v>2023</v>
      </c>
      <c r="N619">
        <f>WEEKNUM(SalesData[[#This Row],[Date]])</f>
        <v>4</v>
      </c>
      <c r="O619" t="s">
        <v>2107</v>
      </c>
      <c r="P619" t="s">
        <v>2523</v>
      </c>
      <c r="Q619" t="s">
        <v>2526</v>
      </c>
    </row>
    <row r="620" spans="1:17" x14ac:dyDescent="0.35">
      <c r="A620" t="s">
        <v>1335</v>
      </c>
      <c r="B620" s="3">
        <v>44966</v>
      </c>
      <c r="C620" t="s">
        <v>2016</v>
      </c>
      <c r="D620" t="s">
        <v>2025</v>
      </c>
      <c r="E620" s="8">
        <v>2105</v>
      </c>
      <c r="F620">
        <v>4</v>
      </c>
      <c r="G620">
        <v>15</v>
      </c>
      <c r="H620" s="8">
        <v>7157</v>
      </c>
      <c r="I620">
        <v>1261.8</v>
      </c>
      <c r="J620">
        <v>2109.7800000000002</v>
      </c>
      <c r="K620" s="5">
        <f>IF(SalesData[[#This Row],[Total Revenue]]=0,0,SalesData[[#This Row],[Profit]]/SalesData[[#This Row],[Total Revenue]])</f>
        <v>0.29478552466117092</v>
      </c>
      <c r="L620" s="5" t="str">
        <f>TEXT(SalesData[[#This Row],[Date]],"mmm")</f>
        <v>Feb</v>
      </c>
      <c r="M620">
        <f>YEAR(SalesData[[#This Row],[Date]])</f>
        <v>2023</v>
      </c>
      <c r="N620">
        <f>WEEKNUM(SalesData[[#This Row],[Date]])</f>
        <v>6</v>
      </c>
      <c r="O620" t="s">
        <v>2138</v>
      </c>
      <c r="P620" t="s">
        <v>2523</v>
      </c>
      <c r="Q620" t="s">
        <v>2526</v>
      </c>
    </row>
    <row r="621" spans="1:17" x14ac:dyDescent="0.35">
      <c r="A621" t="s">
        <v>75</v>
      </c>
      <c r="B621" s="3">
        <v>44979</v>
      </c>
      <c r="C621" t="s">
        <v>2015</v>
      </c>
      <c r="D621" t="s">
        <v>2025</v>
      </c>
      <c r="E621" s="8">
        <v>3588</v>
      </c>
      <c r="F621">
        <v>2</v>
      </c>
      <c r="G621">
        <v>0</v>
      </c>
      <c r="H621" s="8">
        <v>7176</v>
      </c>
      <c r="I621">
        <v>2526.2800000000002</v>
      </c>
      <c r="J621">
        <v>2123.4299999999998</v>
      </c>
      <c r="K621" s="5">
        <f>IF(SalesData[[#This Row],[Total Revenue]]=0,0,SalesData[[#This Row],[Profit]]/SalesData[[#This Row],[Total Revenue]])</f>
        <v>0.29590719063545146</v>
      </c>
      <c r="L621" s="5" t="str">
        <f>TEXT(SalesData[[#This Row],[Date]],"mmm")</f>
        <v>Feb</v>
      </c>
      <c r="M621">
        <f>YEAR(SalesData[[#This Row],[Date]])</f>
        <v>2023</v>
      </c>
      <c r="N621">
        <f>WEEKNUM(SalesData[[#This Row],[Date]])</f>
        <v>8</v>
      </c>
      <c r="O621" t="s">
        <v>2084</v>
      </c>
      <c r="P621" t="s">
        <v>2523</v>
      </c>
      <c r="Q621" t="s">
        <v>2525</v>
      </c>
    </row>
    <row r="622" spans="1:17" x14ac:dyDescent="0.35">
      <c r="A622" t="s">
        <v>570</v>
      </c>
      <c r="B622" s="3">
        <v>44968</v>
      </c>
      <c r="C622" t="s">
        <v>2016</v>
      </c>
      <c r="D622" t="s">
        <v>2025</v>
      </c>
      <c r="E622" s="8">
        <v>3998</v>
      </c>
      <c r="F622">
        <v>2</v>
      </c>
      <c r="G622">
        <v>10</v>
      </c>
      <c r="H622" s="8">
        <v>7196.4</v>
      </c>
      <c r="I622">
        <v>2317.3000000000002</v>
      </c>
      <c r="J622">
        <v>2561.8000000000002</v>
      </c>
      <c r="K622" s="5">
        <f>IF(SalesData[[#This Row],[Total Revenue]]=0,0,SalesData[[#This Row],[Profit]]/SalesData[[#This Row],[Total Revenue]])</f>
        <v>0.35598354732922022</v>
      </c>
      <c r="L622" s="5" t="str">
        <f>TEXT(SalesData[[#This Row],[Date]],"mmm")</f>
        <v>Feb</v>
      </c>
      <c r="M622">
        <f>YEAR(SalesData[[#This Row],[Date]])</f>
        <v>2023</v>
      </c>
      <c r="N622">
        <f>WEEKNUM(SalesData[[#This Row],[Date]])</f>
        <v>6</v>
      </c>
      <c r="O622" t="s">
        <v>2291</v>
      </c>
      <c r="P622" t="s">
        <v>2523</v>
      </c>
      <c r="Q622" t="s">
        <v>2526</v>
      </c>
    </row>
    <row r="623" spans="1:17" x14ac:dyDescent="0.35">
      <c r="A623" t="s">
        <v>1613</v>
      </c>
      <c r="B623" s="3">
        <v>45031</v>
      </c>
      <c r="C623" t="s">
        <v>2020</v>
      </c>
      <c r="D623" t="s">
        <v>2028</v>
      </c>
      <c r="E623" s="8">
        <v>1084</v>
      </c>
      <c r="F623">
        <v>7</v>
      </c>
      <c r="G623">
        <v>5</v>
      </c>
      <c r="H623" s="8">
        <v>7208.6</v>
      </c>
      <c r="I623">
        <v>782.21</v>
      </c>
      <c r="J623">
        <v>1733.12</v>
      </c>
      <c r="K623" s="5">
        <f>IF(SalesData[[#This Row],[Total Revenue]]=0,0,SalesData[[#This Row],[Profit]]/SalesData[[#This Row],[Total Revenue]])</f>
        <v>0.24042393807396717</v>
      </c>
      <c r="L623" s="5" t="str">
        <f>TEXT(SalesData[[#This Row],[Date]],"mmm")</f>
        <v>Apr</v>
      </c>
      <c r="M623">
        <f>YEAR(SalesData[[#This Row],[Date]])</f>
        <v>2023</v>
      </c>
      <c r="N623">
        <f>WEEKNUM(SalesData[[#This Row],[Date]])</f>
        <v>15</v>
      </c>
      <c r="O623" t="s">
        <v>2485</v>
      </c>
      <c r="P623" t="s">
        <v>2522</v>
      </c>
      <c r="Q623" t="s">
        <v>2525</v>
      </c>
    </row>
    <row r="624" spans="1:17" x14ac:dyDescent="0.35">
      <c r="A624" t="s">
        <v>990</v>
      </c>
      <c r="B624" s="3">
        <v>45239</v>
      </c>
      <c r="C624" t="s">
        <v>2018</v>
      </c>
      <c r="D624" t="s">
        <v>2026</v>
      </c>
      <c r="E624" s="8">
        <v>3811</v>
      </c>
      <c r="F624">
        <v>2</v>
      </c>
      <c r="G624">
        <v>5</v>
      </c>
      <c r="H624" s="8">
        <v>7240.9</v>
      </c>
      <c r="I624">
        <v>2710.34</v>
      </c>
      <c r="J624">
        <v>1820.22</v>
      </c>
      <c r="K624" s="5">
        <f>IF(SalesData[[#This Row],[Total Revenue]]=0,0,SalesData[[#This Row],[Profit]]/SalesData[[#This Row],[Total Revenue]])</f>
        <v>0.25138035327100222</v>
      </c>
      <c r="L624" s="5" t="str">
        <f>TEXT(SalesData[[#This Row],[Date]],"mmm")</f>
        <v>Nov</v>
      </c>
      <c r="M624">
        <f>YEAR(SalesData[[#This Row],[Date]])</f>
        <v>2023</v>
      </c>
      <c r="N624">
        <f>WEEKNUM(SalesData[[#This Row],[Date]])</f>
        <v>45</v>
      </c>
      <c r="O624" t="s">
        <v>2294</v>
      </c>
      <c r="P624" t="s">
        <v>2523</v>
      </c>
      <c r="Q624" t="s">
        <v>2524</v>
      </c>
    </row>
    <row r="625" spans="1:17" x14ac:dyDescent="0.35">
      <c r="A625" t="s">
        <v>869</v>
      </c>
      <c r="B625" s="3">
        <v>45203</v>
      </c>
      <c r="C625" t="s">
        <v>2019</v>
      </c>
      <c r="D625" t="s">
        <v>2027</v>
      </c>
      <c r="E625" s="8">
        <v>4260</v>
      </c>
      <c r="F625">
        <v>2</v>
      </c>
      <c r="G625">
        <v>15</v>
      </c>
      <c r="H625" s="8">
        <v>7242</v>
      </c>
      <c r="I625">
        <v>2550.6</v>
      </c>
      <c r="J625">
        <v>2140.8000000000002</v>
      </c>
      <c r="K625" s="5">
        <f>IF(SalesData[[#This Row],[Total Revenue]]=0,0,SalesData[[#This Row],[Profit]]/SalesData[[#This Row],[Total Revenue]])</f>
        <v>0.29560894780447394</v>
      </c>
      <c r="L625" s="5" t="str">
        <f>TEXT(SalesData[[#This Row],[Date]],"mmm")</f>
        <v>Oct</v>
      </c>
      <c r="M625">
        <f>YEAR(SalesData[[#This Row],[Date]])</f>
        <v>2023</v>
      </c>
      <c r="N625">
        <f>WEEKNUM(SalesData[[#This Row],[Date]])</f>
        <v>40</v>
      </c>
      <c r="O625" t="s">
        <v>2391</v>
      </c>
      <c r="P625" t="s">
        <v>2522</v>
      </c>
      <c r="Q625" t="s">
        <v>2526</v>
      </c>
    </row>
    <row r="626" spans="1:17" x14ac:dyDescent="0.35">
      <c r="A626" t="s">
        <v>1506</v>
      </c>
      <c r="B626" s="3">
        <v>45051</v>
      </c>
      <c r="C626" t="s">
        <v>2018</v>
      </c>
      <c r="D626" t="s">
        <v>2026</v>
      </c>
      <c r="E626" s="8">
        <v>806</v>
      </c>
      <c r="F626">
        <v>10</v>
      </c>
      <c r="G626">
        <v>10</v>
      </c>
      <c r="H626" s="8">
        <v>7254</v>
      </c>
      <c r="I626">
        <v>611.82000000000005</v>
      </c>
      <c r="J626">
        <v>1135.83</v>
      </c>
      <c r="K626" s="5">
        <f>IF(SalesData[[#This Row],[Total Revenue]]=0,0,SalesData[[#This Row],[Profit]]/SalesData[[#This Row],[Total Revenue]])</f>
        <v>0.15657981803143092</v>
      </c>
      <c r="L626" s="5" t="str">
        <f>TEXT(SalesData[[#This Row],[Date]],"mmm")</f>
        <v>May</v>
      </c>
      <c r="M626">
        <f>YEAR(SalesData[[#This Row],[Date]])</f>
        <v>2023</v>
      </c>
      <c r="N626">
        <f>WEEKNUM(SalesData[[#This Row],[Date]])</f>
        <v>18</v>
      </c>
      <c r="O626" t="s">
        <v>2459</v>
      </c>
      <c r="P626" t="s">
        <v>2522</v>
      </c>
      <c r="Q626" t="s">
        <v>2525</v>
      </c>
    </row>
    <row r="627" spans="1:17" x14ac:dyDescent="0.35">
      <c r="A627" t="s">
        <v>911</v>
      </c>
      <c r="B627" s="3">
        <v>44999</v>
      </c>
      <c r="C627" t="s">
        <v>2021</v>
      </c>
      <c r="D627" t="s">
        <v>2028</v>
      </c>
      <c r="E627" s="8">
        <v>2419</v>
      </c>
      <c r="F627">
        <v>3</v>
      </c>
      <c r="G627">
        <v>0</v>
      </c>
      <c r="H627" s="8">
        <v>7257</v>
      </c>
      <c r="I627">
        <v>1929.94</v>
      </c>
      <c r="J627">
        <v>1467.19</v>
      </c>
      <c r="K627" s="5">
        <f>IF(SalesData[[#This Row],[Total Revenue]]=0,0,SalesData[[#This Row],[Profit]]/SalesData[[#This Row],[Total Revenue]])</f>
        <v>0.20217583023287861</v>
      </c>
      <c r="L627" s="5" t="str">
        <f>TEXT(SalesData[[#This Row],[Date]],"mmm")</f>
        <v>Mar</v>
      </c>
      <c r="M627">
        <f>YEAR(SalesData[[#This Row],[Date]])</f>
        <v>2023</v>
      </c>
      <c r="N627">
        <f>WEEKNUM(SalesData[[#This Row],[Date]])</f>
        <v>11</v>
      </c>
      <c r="O627" t="s">
        <v>2267</v>
      </c>
      <c r="P627" t="s">
        <v>2523</v>
      </c>
      <c r="Q627" t="s">
        <v>2526</v>
      </c>
    </row>
    <row r="628" spans="1:17" x14ac:dyDescent="0.35">
      <c r="A628" t="s">
        <v>611</v>
      </c>
      <c r="B628" s="3">
        <v>45103</v>
      </c>
      <c r="C628" t="s">
        <v>2018</v>
      </c>
      <c r="D628" t="s">
        <v>2026</v>
      </c>
      <c r="E628" s="8">
        <v>4035</v>
      </c>
      <c r="F628">
        <v>2</v>
      </c>
      <c r="G628">
        <v>10</v>
      </c>
      <c r="H628" s="8">
        <v>7263</v>
      </c>
      <c r="I628">
        <v>2414.5700000000002</v>
      </c>
      <c r="J628">
        <v>2433.87</v>
      </c>
      <c r="K628" s="5">
        <f>IF(SalesData[[#This Row],[Total Revenue]]=0,0,SalesData[[#This Row],[Profit]]/SalesData[[#This Row],[Total Revenue]])</f>
        <v>0.33510532837670381</v>
      </c>
      <c r="L628" s="5" t="str">
        <f>TEXT(SalesData[[#This Row],[Date]],"mmm")</f>
        <v>Jun</v>
      </c>
      <c r="M628">
        <f>YEAR(SalesData[[#This Row],[Date]])</f>
        <v>2023</v>
      </c>
      <c r="N628">
        <f>WEEKNUM(SalesData[[#This Row],[Date]])</f>
        <v>26</v>
      </c>
      <c r="O628" t="s">
        <v>2144</v>
      </c>
      <c r="P628" t="s">
        <v>2523</v>
      </c>
      <c r="Q628" t="s">
        <v>2526</v>
      </c>
    </row>
    <row r="629" spans="1:17" x14ac:dyDescent="0.35">
      <c r="A629" t="s">
        <v>321</v>
      </c>
      <c r="B629" s="3">
        <v>45195</v>
      </c>
      <c r="C629" t="s">
        <v>2022</v>
      </c>
      <c r="D629" t="s">
        <v>2024</v>
      </c>
      <c r="E629" s="8">
        <v>3638</v>
      </c>
      <c r="F629">
        <v>2</v>
      </c>
      <c r="G629">
        <v>0</v>
      </c>
      <c r="H629" s="8">
        <v>7276</v>
      </c>
      <c r="I629">
        <v>1979.88</v>
      </c>
      <c r="J629">
        <v>3316.24</v>
      </c>
      <c r="K629" s="5">
        <f>IF(SalesData[[#This Row],[Total Revenue]]=0,0,SalesData[[#This Row],[Profit]]/SalesData[[#This Row],[Total Revenue]])</f>
        <v>0.45577789994502471</v>
      </c>
      <c r="L629" s="5" t="str">
        <f>TEXT(SalesData[[#This Row],[Date]],"mmm")</f>
        <v>Sep</v>
      </c>
      <c r="M629">
        <f>YEAR(SalesData[[#This Row],[Date]])</f>
        <v>2023</v>
      </c>
      <c r="N629">
        <f>WEEKNUM(SalesData[[#This Row],[Date]])</f>
        <v>39</v>
      </c>
      <c r="O629" t="s">
        <v>2257</v>
      </c>
      <c r="P629" t="s">
        <v>2522</v>
      </c>
      <c r="Q629" t="s">
        <v>2527</v>
      </c>
    </row>
    <row r="630" spans="1:17" x14ac:dyDescent="0.35">
      <c r="A630" t="s">
        <v>1099</v>
      </c>
      <c r="B630" s="3">
        <v>44981</v>
      </c>
      <c r="C630" t="s">
        <v>2017</v>
      </c>
      <c r="D630" t="s">
        <v>2026</v>
      </c>
      <c r="E630" s="8">
        <v>2142</v>
      </c>
      <c r="F630">
        <v>4</v>
      </c>
      <c r="G630">
        <v>15</v>
      </c>
      <c r="H630" s="8">
        <v>7282.8</v>
      </c>
      <c r="I630">
        <v>1468.5</v>
      </c>
      <c r="J630">
        <v>1408.78</v>
      </c>
      <c r="K630" s="5">
        <f>IF(SalesData[[#This Row],[Total Revenue]]=0,0,SalesData[[#This Row],[Profit]]/SalesData[[#This Row],[Total Revenue]])</f>
        <v>0.19343933651892128</v>
      </c>
      <c r="L630" s="5" t="str">
        <f>TEXT(SalesData[[#This Row],[Date]],"mmm")</f>
        <v>Feb</v>
      </c>
      <c r="M630">
        <f>YEAR(SalesData[[#This Row],[Date]])</f>
        <v>2023</v>
      </c>
      <c r="N630">
        <f>WEEKNUM(SalesData[[#This Row],[Date]])</f>
        <v>8</v>
      </c>
      <c r="O630" t="s">
        <v>2232</v>
      </c>
      <c r="P630" t="s">
        <v>2522</v>
      </c>
      <c r="Q630" t="s">
        <v>2524</v>
      </c>
    </row>
    <row r="631" spans="1:17" x14ac:dyDescent="0.35">
      <c r="A631" t="s">
        <v>1064</v>
      </c>
      <c r="B631" s="3">
        <v>45068</v>
      </c>
      <c r="C631" t="s">
        <v>2020</v>
      </c>
      <c r="D631" t="s">
        <v>2028</v>
      </c>
      <c r="E631" s="8">
        <v>2025</v>
      </c>
      <c r="F631">
        <v>4</v>
      </c>
      <c r="G631">
        <v>10</v>
      </c>
      <c r="H631" s="8">
        <v>7290</v>
      </c>
      <c r="I631">
        <v>1532.77</v>
      </c>
      <c r="J631">
        <v>1158.93</v>
      </c>
      <c r="K631" s="5">
        <f>IF(SalesData[[#This Row],[Total Revenue]]=0,0,SalesData[[#This Row],[Profit]]/SalesData[[#This Row],[Total Revenue]])</f>
        <v>0.15897530864197532</v>
      </c>
      <c r="L631" s="5" t="str">
        <f>TEXT(SalesData[[#This Row],[Date]],"mmm")</f>
        <v>May</v>
      </c>
      <c r="M631">
        <f>YEAR(SalesData[[#This Row],[Date]])</f>
        <v>2023</v>
      </c>
      <c r="N631">
        <f>WEEKNUM(SalesData[[#This Row],[Date]])</f>
        <v>21</v>
      </c>
      <c r="O631" t="s">
        <v>2056</v>
      </c>
      <c r="P631" t="s">
        <v>2523</v>
      </c>
      <c r="Q631" t="s">
        <v>2524</v>
      </c>
    </row>
    <row r="632" spans="1:17" x14ac:dyDescent="0.35">
      <c r="A632" t="s">
        <v>1432</v>
      </c>
      <c r="B632" s="3">
        <v>45135</v>
      </c>
      <c r="C632" t="s">
        <v>2015</v>
      </c>
      <c r="D632" t="s">
        <v>2025</v>
      </c>
      <c r="E632" s="8">
        <v>1216</v>
      </c>
      <c r="F632">
        <v>6</v>
      </c>
      <c r="G632">
        <v>0</v>
      </c>
      <c r="H632" s="8">
        <v>7296</v>
      </c>
      <c r="I632">
        <v>769.24</v>
      </c>
      <c r="J632">
        <v>2680.57</v>
      </c>
      <c r="K632" s="5">
        <f>IF(SalesData[[#This Row],[Total Revenue]]=0,0,SalesData[[#This Row],[Profit]]/SalesData[[#This Row],[Total Revenue]])</f>
        <v>0.36740268640350882</v>
      </c>
      <c r="L632" s="5" t="str">
        <f>TEXT(SalesData[[#This Row],[Date]],"mmm")</f>
        <v>Jul</v>
      </c>
      <c r="M632">
        <f>YEAR(SalesData[[#This Row],[Date]])</f>
        <v>2023</v>
      </c>
      <c r="N632">
        <f>WEEKNUM(SalesData[[#This Row],[Date]])</f>
        <v>30</v>
      </c>
      <c r="O632" t="s">
        <v>2311</v>
      </c>
      <c r="P632" t="s">
        <v>2523</v>
      </c>
      <c r="Q632" t="s">
        <v>2526</v>
      </c>
    </row>
    <row r="633" spans="1:17" x14ac:dyDescent="0.35">
      <c r="A633" t="s">
        <v>1047</v>
      </c>
      <c r="B633" s="3">
        <v>45029</v>
      </c>
      <c r="C633" t="s">
        <v>2015</v>
      </c>
      <c r="D633" t="s">
        <v>2025</v>
      </c>
      <c r="E633" s="8">
        <v>3841</v>
      </c>
      <c r="F633">
        <v>2</v>
      </c>
      <c r="G633">
        <v>5</v>
      </c>
      <c r="H633" s="8">
        <v>7297.9</v>
      </c>
      <c r="I633">
        <v>2481.8200000000002</v>
      </c>
      <c r="J633">
        <v>2334.2600000000002</v>
      </c>
      <c r="K633" s="5">
        <f>IF(SalesData[[#This Row],[Total Revenue]]=0,0,SalesData[[#This Row],[Profit]]/SalesData[[#This Row],[Total Revenue]])</f>
        <v>0.31985365653133097</v>
      </c>
      <c r="L633" s="5" t="str">
        <f>TEXT(SalesData[[#This Row],[Date]],"mmm")</f>
        <v>Apr</v>
      </c>
      <c r="M633">
        <f>YEAR(SalesData[[#This Row],[Date]])</f>
        <v>2023</v>
      </c>
      <c r="N633">
        <f>WEEKNUM(SalesData[[#This Row],[Date]])</f>
        <v>15</v>
      </c>
      <c r="O633" t="s">
        <v>2464</v>
      </c>
      <c r="P633" t="s">
        <v>2522</v>
      </c>
      <c r="Q633" t="s">
        <v>2524</v>
      </c>
    </row>
    <row r="634" spans="1:17" x14ac:dyDescent="0.35">
      <c r="A634" t="s">
        <v>1854</v>
      </c>
      <c r="B634" s="3">
        <v>45086</v>
      </c>
      <c r="C634" t="s">
        <v>2017</v>
      </c>
      <c r="D634" t="s">
        <v>2026</v>
      </c>
      <c r="E634" s="8">
        <v>1719</v>
      </c>
      <c r="F634">
        <v>5</v>
      </c>
      <c r="G634">
        <v>15</v>
      </c>
      <c r="H634" s="8">
        <v>7305.75</v>
      </c>
      <c r="I634">
        <v>957.96</v>
      </c>
      <c r="J634">
        <v>2515.9699999999998</v>
      </c>
      <c r="K634" s="5">
        <f>IF(SalesData[[#This Row],[Total Revenue]]=0,0,SalesData[[#This Row],[Profit]]/SalesData[[#This Row],[Total Revenue]])</f>
        <v>0.344382164733258</v>
      </c>
      <c r="L634" s="5" t="str">
        <f>TEXT(SalesData[[#This Row],[Date]],"mmm")</f>
        <v>Jun</v>
      </c>
      <c r="M634">
        <f>YEAR(SalesData[[#This Row],[Date]])</f>
        <v>2023</v>
      </c>
      <c r="N634">
        <f>WEEKNUM(SalesData[[#This Row],[Date]])</f>
        <v>23</v>
      </c>
      <c r="O634" t="s">
        <v>2051</v>
      </c>
      <c r="P634" t="s">
        <v>2523</v>
      </c>
      <c r="Q634" t="s">
        <v>2527</v>
      </c>
    </row>
    <row r="635" spans="1:17" x14ac:dyDescent="0.35">
      <c r="A635" t="s">
        <v>1598</v>
      </c>
      <c r="B635" s="3">
        <v>45036</v>
      </c>
      <c r="C635" t="s">
        <v>2018</v>
      </c>
      <c r="D635" t="s">
        <v>2026</v>
      </c>
      <c r="E635" s="8">
        <v>1231</v>
      </c>
      <c r="F635">
        <v>7</v>
      </c>
      <c r="G635">
        <v>15</v>
      </c>
      <c r="H635" s="8">
        <v>7324.45</v>
      </c>
      <c r="I635">
        <v>812.92</v>
      </c>
      <c r="J635">
        <v>1634.04</v>
      </c>
      <c r="K635" s="5">
        <f>IF(SalesData[[#This Row],[Total Revenue]]=0,0,SalesData[[#This Row],[Profit]]/SalesData[[#This Row],[Total Revenue]])</f>
        <v>0.22309388418243009</v>
      </c>
      <c r="L635" s="5" t="str">
        <f>TEXT(SalesData[[#This Row],[Date]],"mmm")</f>
        <v>Apr</v>
      </c>
      <c r="M635">
        <f>YEAR(SalesData[[#This Row],[Date]])</f>
        <v>2023</v>
      </c>
      <c r="N635">
        <f>WEEKNUM(SalesData[[#This Row],[Date]])</f>
        <v>16</v>
      </c>
      <c r="O635" t="s">
        <v>2339</v>
      </c>
      <c r="P635" t="s">
        <v>2523</v>
      </c>
      <c r="Q635" t="s">
        <v>2524</v>
      </c>
    </row>
    <row r="636" spans="1:17" x14ac:dyDescent="0.35">
      <c r="A636" t="s">
        <v>1537</v>
      </c>
      <c r="B636" s="3">
        <v>45028</v>
      </c>
      <c r="C636" t="s">
        <v>2015</v>
      </c>
      <c r="D636" t="s">
        <v>2025</v>
      </c>
      <c r="E636" s="8">
        <v>863</v>
      </c>
      <c r="F636">
        <v>10</v>
      </c>
      <c r="G636">
        <v>15</v>
      </c>
      <c r="H636" s="8">
        <v>7335.5</v>
      </c>
      <c r="I636">
        <v>460.74</v>
      </c>
      <c r="J636">
        <v>2728.05</v>
      </c>
      <c r="K636" s="5">
        <f>IF(SalesData[[#This Row],[Total Revenue]]=0,0,SalesData[[#This Row],[Profit]]/SalesData[[#This Row],[Total Revenue]])</f>
        <v>0.37189693954059033</v>
      </c>
      <c r="L636" s="5" t="str">
        <f>TEXT(SalesData[[#This Row],[Date]],"mmm")</f>
        <v>Apr</v>
      </c>
      <c r="M636">
        <f>YEAR(SalesData[[#This Row],[Date]])</f>
        <v>2023</v>
      </c>
      <c r="N636">
        <f>WEEKNUM(SalesData[[#This Row],[Date]])</f>
        <v>15</v>
      </c>
      <c r="O636" t="s">
        <v>2109</v>
      </c>
      <c r="P636" t="s">
        <v>2522</v>
      </c>
      <c r="Q636" t="s">
        <v>2525</v>
      </c>
    </row>
    <row r="637" spans="1:17" x14ac:dyDescent="0.35">
      <c r="A637" t="s">
        <v>1838</v>
      </c>
      <c r="B637" s="3">
        <v>45252</v>
      </c>
      <c r="C637" t="s">
        <v>2020</v>
      </c>
      <c r="D637" t="s">
        <v>2028</v>
      </c>
      <c r="E637" s="8">
        <v>1441</v>
      </c>
      <c r="F637">
        <v>6</v>
      </c>
      <c r="G637">
        <v>15</v>
      </c>
      <c r="H637" s="8">
        <v>7349.1</v>
      </c>
      <c r="I637">
        <v>895.1</v>
      </c>
      <c r="J637">
        <v>1978.52</v>
      </c>
      <c r="K637" s="5">
        <f>IF(SalesData[[#This Row],[Total Revenue]]=0,0,SalesData[[#This Row],[Profit]]/SalesData[[#This Row],[Total Revenue]])</f>
        <v>0.26921936019376519</v>
      </c>
      <c r="L637" s="5" t="str">
        <f>TEXT(SalesData[[#This Row],[Date]],"mmm")</f>
        <v>Nov</v>
      </c>
      <c r="M637">
        <f>YEAR(SalesData[[#This Row],[Date]])</f>
        <v>2023</v>
      </c>
      <c r="N637">
        <f>WEEKNUM(SalesData[[#This Row],[Date]])</f>
        <v>47</v>
      </c>
      <c r="O637" t="s">
        <v>2063</v>
      </c>
      <c r="P637" t="s">
        <v>2522</v>
      </c>
      <c r="Q637" t="s">
        <v>2525</v>
      </c>
    </row>
    <row r="638" spans="1:17" x14ac:dyDescent="0.35">
      <c r="A638" t="s">
        <v>578</v>
      </c>
      <c r="B638" s="3">
        <v>45131</v>
      </c>
      <c r="C638" t="s">
        <v>2015</v>
      </c>
      <c r="D638" t="s">
        <v>2025</v>
      </c>
      <c r="E638" s="8">
        <v>921</v>
      </c>
      <c r="F638">
        <v>8</v>
      </c>
      <c r="G638">
        <v>0</v>
      </c>
      <c r="H638" s="8">
        <v>7368</v>
      </c>
      <c r="I638">
        <v>557.1</v>
      </c>
      <c r="J638">
        <v>2911.19</v>
      </c>
      <c r="K638" s="5">
        <f>IF(SalesData[[#This Row],[Total Revenue]]=0,0,SalesData[[#This Row],[Profit]]/SalesData[[#This Row],[Total Revenue]])</f>
        <v>0.39511264929424539</v>
      </c>
      <c r="L638" s="5" t="str">
        <f>TEXT(SalesData[[#This Row],[Date]],"mmm")</f>
        <v>Jul</v>
      </c>
      <c r="M638">
        <f>YEAR(SalesData[[#This Row],[Date]])</f>
        <v>2023</v>
      </c>
      <c r="N638">
        <f>WEEKNUM(SalesData[[#This Row],[Date]])</f>
        <v>30</v>
      </c>
      <c r="O638" t="s">
        <v>2202</v>
      </c>
      <c r="P638" t="s">
        <v>2522</v>
      </c>
      <c r="Q638" t="s">
        <v>2525</v>
      </c>
    </row>
    <row r="639" spans="1:17" x14ac:dyDescent="0.35">
      <c r="A639" t="s">
        <v>1114</v>
      </c>
      <c r="B639" s="3">
        <v>44950</v>
      </c>
      <c r="C639" t="s">
        <v>2018</v>
      </c>
      <c r="D639" t="s">
        <v>2026</v>
      </c>
      <c r="E639" s="8">
        <v>1228</v>
      </c>
      <c r="F639">
        <v>6</v>
      </c>
      <c r="G639">
        <v>0</v>
      </c>
      <c r="H639" s="8">
        <v>7368</v>
      </c>
      <c r="I639">
        <v>965.25</v>
      </c>
      <c r="J639">
        <v>1576.49</v>
      </c>
      <c r="K639" s="5">
        <f>IF(SalesData[[#This Row],[Total Revenue]]=0,0,SalesData[[#This Row],[Profit]]/SalesData[[#This Row],[Total Revenue]])</f>
        <v>0.21396444082519001</v>
      </c>
      <c r="L639" s="5" t="str">
        <f>TEXT(SalesData[[#This Row],[Date]],"mmm")</f>
        <v>Jan</v>
      </c>
      <c r="M639">
        <f>YEAR(SalesData[[#This Row],[Date]])</f>
        <v>2023</v>
      </c>
      <c r="N639">
        <f>WEEKNUM(SalesData[[#This Row],[Date]])</f>
        <v>4</v>
      </c>
      <c r="O639" t="s">
        <v>2114</v>
      </c>
      <c r="P639" t="s">
        <v>2523</v>
      </c>
      <c r="Q639" t="s">
        <v>2524</v>
      </c>
    </row>
    <row r="640" spans="1:17" x14ac:dyDescent="0.35">
      <c r="A640" t="s">
        <v>1459</v>
      </c>
      <c r="B640" s="3">
        <v>45274</v>
      </c>
      <c r="C640" t="s">
        <v>2019</v>
      </c>
      <c r="D640" t="s">
        <v>2027</v>
      </c>
      <c r="E640" s="8">
        <v>922</v>
      </c>
      <c r="F640">
        <v>8</v>
      </c>
      <c r="G640">
        <v>0</v>
      </c>
      <c r="H640" s="8">
        <v>7376</v>
      </c>
      <c r="I640">
        <v>498.25</v>
      </c>
      <c r="J640">
        <v>3390.03</v>
      </c>
      <c r="K640" s="5">
        <f>IF(SalesData[[#This Row],[Total Revenue]]=0,0,SalesData[[#This Row],[Profit]]/SalesData[[#This Row],[Total Revenue]])</f>
        <v>0.45960276572668113</v>
      </c>
      <c r="L640" s="5" t="str">
        <f>TEXT(SalesData[[#This Row],[Date]],"mmm")</f>
        <v>Dec</v>
      </c>
      <c r="M640">
        <f>YEAR(SalesData[[#This Row],[Date]])</f>
        <v>2023</v>
      </c>
      <c r="N640">
        <f>WEEKNUM(SalesData[[#This Row],[Date]])</f>
        <v>50</v>
      </c>
      <c r="O640" t="s">
        <v>2494</v>
      </c>
      <c r="P640" t="s">
        <v>2522</v>
      </c>
      <c r="Q640" t="s">
        <v>2526</v>
      </c>
    </row>
    <row r="641" spans="1:17" x14ac:dyDescent="0.35">
      <c r="A641" t="s">
        <v>1851</v>
      </c>
      <c r="B641" s="3">
        <v>45203</v>
      </c>
      <c r="C641" t="s">
        <v>2018</v>
      </c>
      <c r="D641" t="s">
        <v>2026</v>
      </c>
      <c r="E641" s="8">
        <v>1481</v>
      </c>
      <c r="F641">
        <v>5</v>
      </c>
      <c r="G641">
        <v>0</v>
      </c>
      <c r="H641" s="8">
        <v>7405</v>
      </c>
      <c r="I641">
        <v>1018.72</v>
      </c>
      <c r="J641">
        <v>2311.39</v>
      </c>
      <c r="K641" s="5">
        <f>IF(SalesData[[#This Row],[Total Revenue]]=0,0,SalesData[[#This Row],[Profit]]/SalesData[[#This Row],[Total Revenue]])</f>
        <v>0.31213909520594191</v>
      </c>
      <c r="L641" s="5" t="str">
        <f>TEXT(SalesData[[#This Row],[Date]],"mmm")</f>
        <v>Oct</v>
      </c>
      <c r="M641">
        <f>YEAR(SalesData[[#This Row],[Date]])</f>
        <v>2023</v>
      </c>
      <c r="N641">
        <f>WEEKNUM(SalesData[[#This Row],[Date]])</f>
        <v>40</v>
      </c>
      <c r="O641" t="s">
        <v>2249</v>
      </c>
      <c r="P641" t="s">
        <v>2522</v>
      </c>
      <c r="Q641" t="s">
        <v>2526</v>
      </c>
    </row>
    <row r="642" spans="1:17" x14ac:dyDescent="0.35">
      <c r="A642" t="s">
        <v>597</v>
      </c>
      <c r="B642" s="3">
        <v>45078</v>
      </c>
      <c r="C642" t="s">
        <v>2021</v>
      </c>
      <c r="D642" t="s">
        <v>2028</v>
      </c>
      <c r="E642" s="8">
        <v>2057</v>
      </c>
      <c r="F642">
        <v>4</v>
      </c>
      <c r="G642">
        <v>10</v>
      </c>
      <c r="H642" s="8">
        <v>7405.2</v>
      </c>
      <c r="I642">
        <v>1450.54</v>
      </c>
      <c r="J642">
        <v>1603.04</v>
      </c>
      <c r="K642" s="5">
        <f>IF(SalesData[[#This Row],[Total Revenue]]=0,0,SalesData[[#This Row],[Profit]]/SalesData[[#This Row],[Total Revenue]])</f>
        <v>0.21647490952303786</v>
      </c>
      <c r="L642" s="5" t="str">
        <f>TEXT(SalesData[[#This Row],[Date]],"mmm")</f>
        <v>Jun</v>
      </c>
      <c r="M642">
        <f>YEAR(SalesData[[#This Row],[Date]])</f>
        <v>2023</v>
      </c>
      <c r="N642">
        <f>WEEKNUM(SalesData[[#This Row],[Date]])</f>
        <v>22</v>
      </c>
      <c r="O642" t="s">
        <v>2106</v>
      </c>
      <c r="P642" t="s">
        <v>2523</v>
      </c>
      <c r="Q642" t="s">
        <v>2527</v>
      </c>
    </row>
    <row r="643" spans="1:17" x14ac:dyDescent="0.35">
      <c r="A643" t="s">
        <v>1630</v>
      </c>
      <c r="B643" s="3">
        <v>44978</v>
      </c>
      <c r="C643" t="s">
        <v>2017</v>
      </c>
      <c r="D643" t="s">
        <v>2026</v>
      </c>
      <c r="E643" s="8">
        <v>2601</v>
      </c>
      <c r="F643">
        <v>3</v>
      </c>
      <c r="G643">
        <v>5</v>
      </c>
      <c r="H643" s="8">
        <v>7412.85</v>
      </c>
      <c r="I643">
        <v>1844.14</v>
      </c>
      <c r="J643">
        <v>1880.44</v>
      </c>
      <c r="K643" s="5">
        <f>IF(SalesData[[#This Row],[Total Revenue]]=0,0,SalesData[[#This Row],[Profit]]/SalesData[[#This Row],[Total Revenue]])</f>
        <v>0.25367301375314488</v>
      </c>
      <c r="L643" s="5" t="str">
        <f>TEXT(SalesData[[#This Row],[Date]],"mmm")</f>
        <v>Feb</v>
      </c>
      <c r="M643">
        <f>YEAR(SalesData[[#This Row],[Date]])</f>
        <v>2023</v>
      </c>
      <c r="N643">
        <f>WEEKNUM(SalesData[[#This Row],[Date]])</f>
        <v>8</v>
      </c>
      <c r="O643" t="s">
        <v>2154</v>
      </c>
      <c r="P643" t="s">
        <v>2522</v>
      </c>
      <c r="Q643" t="s">
        <v>2525</v>
      </c>
    </row>
    <row r="644" spans="1:17" x14ac:dyDescent="0.35">
      <c r="A644" t="s">
        <v>635</v>
      </c>
      <c r="B644" s="3">
        <v>45094</v>
      </c>
      <c r="C644" t="s">
        <v>2016</v>
      </c>
      <c r="D644" t="s">
        <v>2025</v>
      </c>
      <c r="E644" s="8">
        <v>868</v>
      </c>
      <c r="F644">
        <v>9</v>
      </c>
      <c r="G644">
        <v>5</v>
      </c>
      <c r="H644" s="8">
        <v>7421.4</v>
      </c>
      <c r="I644">
        <v>521.74</v>
      </c>
      <c r="J644">
        <v>2725.76</v>
      </c>
      <c r="K644" s="5">
        <f>IF(SalesData[[#This Row],[Total Revenue]]=0,0,SalesData[[#This Row],[Profit]]/SalesData[[#This Row],[Total Revenue]])</f>
        <v>0.36728380090009977</v>
      </c>
      <c r="L644" s="5" t="str">
        <f>TEXT(SalesData[[#This Row],[Date]],"mmm")</f>
        <v>Jun</v>
      </c>
      <c r="M644">
        <f>YEAR(SalesData[[#This Row],[Date]])</f>
        <v>2023</v>
      </c>
      <c r="N644">
        <f>WEEKNUM(SalesData[[#This Row],[Date]])</f>
        <v>24</v>
      </c>
      <c r="O644" t="s">
        <v>2350</v>
      </c>
      <c r="P644" t="s">
        <v>2523</v>
      </c>
      <c r="Q644" t="s">
        <v>2526</v>
      </c>
    </row>
    <row r="645" spans="1:17" x14ac:dyDescent="0.35">
      <c r="A645" t="s">
        <v>1794</v>
      </c>
      <c r="B645" s="3">
        <v>45273</v>
      </c>
      <c r="C645" t="s">
        <v>2019</v>
      </c>
      <c r="D645" t="s">
        <v>2027</v>
      </c>
      <c r="E645" s="8">
        <v>4366</v>
      </c>
      <c r="F645">
        <v>2</v>
      </c>
      <c r="G645">
        <v>15</v>
      </c>
      <c r="H645" s="8">
        <v>7422.2</v>
      </c>
      <c r="I645">
        <v>3339.87</v>
      </c>
      <c r="J645">
        <v>742.46</v>
      </c>
      <c r="K645" s="5">
        <f>IF(SalesData[[#This Row],[Total Revenue]]=0,0,SalesData[[#This Row],[Profit]]/SalesData[[#This Row],[Total Revenue]])</f>
        <v>0.10003233542615397</v>
      </c>
      <c r="L645" s="5" t="str">
        <f>TEXT(SalesData[[#This Row],[Date]],"mmm")</f>
        <v>Dec</v>
      </c>
      <c r="M645">
        <f>YEAR(SalesData[[#This Row],[Date]])</f>
        <v>2023</v>
      </c>
      <c r="N645">
        <f>WEEKNUM(SalesData[[#This Row],[Date]])</f>
        <v>50</v>
      </c>
      <c r="O645" t="s">
        <v>2458</v>
      </c>
      <c r="P645" t="s">
        <v>2522</v>
      </c>
      <c r="Q645" t="s">
        <v>2525</v>
      </c>
    </row>
    <row r="646" spans="1:17" x14ac:dyDescent="0.35">
      <c r="A646" t="s">
        <v>504</v>
      </c>
      <c r="B646" s="3">
        <v>44957</v>
      </c>
      <c r="C646" t="s">
        <v>2019</v>
      </c>
      <c r="D646" t="s">
        <v>2027</v>
      </c>
      <c r="E646" s="8">
        <v>1378</v>
      </c>
      <c r="F646">
        <v>6</v>
      </c>
      <c r="G646">
        <v>10</v>
      </c>
      <c r="H646" s="8">
        <v>7441.2</v>
      </c>
      <c r="I646">
        <v>747.05</v>
      </c>
      <c r="J646">
        <v>2958.88</v>
      </c>
      <c r="K646" s="5">
        <f>IF(SalesData[[#This Row],[Total Revenue]]=0,0,SalesData[[#This Row],[Profit]]/SalesData[[#This Row],[Total Revenue]])</f>
        <v>0.39763479008762032</v>
      </c>
      <c r="L646" s="5" t="str">
        <f>TEXT(SalesData[[#This Row],[Date]],"mmm")</f>
        <v>Jan</v>
      </c>
      <c r="M646">
        <f>YEAR(SalesData[[#This Row],[Date]])</f>
        <v>2023</v>
      </c>
      <c r="N646">
        <f>WEEKNUM(SalesData[[#This Row],[Date]])</f>
        <v>5</v>
      </c>
      <c r="O646" t="s">
        <v>2197</v>
      </c>
      <c r="P646" t="s">
        <v>2523</v>
      </c>
      <c r="Q646" t="s">
        <v>2524</v>
      </c>
    </row>
    <row r="647" spans="1:17" x14ac:dyDescent="0.35">
      <c r="A647" t="s">
        <v>609</v>
      </c>
      <c r="B647" s="3">
        <v>45256</v>
      </c>
      <c r="C647" t="s">
        <v>2016</v>
      </c>
      <c r="D647" t="s">
        <v>2025</v>
      </c>
      <c r="E647" s="8">
        <v>827</v>
      </c>
      <c r="F647">
        <v>10</v>
      </c>
      <c r="G647">
        <v>10</v>
      </c>
      <c r="H647" s="8">
        <v>7443</v>
      </c>
      <c r="I647">
        <v>445.1</v>
      </c>
      <c r="J647">
        <v>2991.97</v>
      </c>
      <c r="K647" s="5">
        <f>IF(SalesData[[#This Row],[Total Revenue]]=0,0,SalesData[[#This Row],[Profit]]/SalesData[[#This Row],[Total Revenue]])</f>
        <v>0.40198441488647046</v>
      </c>
      <c r="L647" s="5" t="str">
        <f>TEXT(SalesData[[#This Row],[Date]],"mmm")</f>
        <v>Nov</v>
      </c>
      <c r="M647">
        <f>YEAR(SalesData[[#This Row],[Date]])</f>
        <v>2023</v>
      </c>
      <c r="N647">
        <f>WEEKNUM(SalesData[[#This Row],[Date]])</f>
        <v>48</v>
      </c>
      <c r="O647" t="s">
        <v>2136</v>
      </c>
      <c r="P647" t="s">
        <v>2523</v>
      </c>
      <c r="Q647" t="s">
        <v>2525</v>
      </c>
    </row>
    <row r="648" spans="1:17" x14ac:dyDescent="0.35">
      <c r="A648" t="s">
        <v>196</v>
      </c>
      <c r="B648" s="3">
        <v>44976</v>
      </c>
      <c r="C648" t="s">
        <v>2014</v>
      </c>
      <c r="D648" t="s">
        <v>2024</v>
      </c>
      <c r="E648" s="8">
        <v>1959</v>
      </c>
      <c r="F648">
        <v>4</v>
      </c>
      <c r="G648">
        <v>5</v>
      </c>
      <c r="H648" s="8">
        <v>7444.2</v>
      </c>
      <c r="I648">
        <v>1226.24</v>
      </c>
      <c r="J648">
        <v>2539.2399999999998</v>
      </c>
      <c r="K648" s="5">
        <f>IF(SalesData[[#This Row],[Total Revenue]]=0,0,SalesData[[#This Row],[Profit]]/SalesData[[#This Row],[Total Revenue]])</f>
        <v>0.34110314070014236</v>
      </c>
      <c r="L648" s="5" t="str">
        <f>TEXT(SalesData[[#This Row],[Date]],"mmm")</f>
        <v>Feb</v>
      </c>
      <c r="M648">
        <f>YEAR(SalesData[[#This Row],[Date]])</f>
        <v>2023</v>
      </c>
      <c r="N648">
        <f>WEEKNUM(SalesData[[#This Row],[Date]])</f>
        <v>8</v>
      </c>
      <c r="O648" t="s">
        <v>2181</v>
      </c>
      <c r="P648" t="s">
        <v>2523</v>
      </c>
      <c r="Q648" t="s">
        <v>2526</v>
      </c>
    </row>
    <row r="649" spans="1:17" x14ac:dyDescent="0.35">
      <c r="A649" t="s">
        <v>1093</v>
      </c>
      <c r="B649" s="3">
        <v>45006</v>
      </c>
      <c r="C649" t="s">
        <v>2019</v>
      </c>
      <c r="D649" t="s">
        <v>2027</v>
      </c>
      <c r="E649" s="8">
        <v>1489</v>
      </c>
      <c r="F649">
        <v>5</v>
      </c>
      <c r="G649">
        <v>0</v>
      </c>
      <c r="H649" s="8">
        <v>7445</v>
      </c>
      <c r="I649">
        <v>1172.07</v>
      </c>
      <c r="J649">
        <v>1584.63</v>
      </c>
      <c r="K649" s="5">
        <f>IF(SalesData[[#This Row],[Total Revenue]]=0,0,SalesData[[#This Row],[Profit]]/SalesData[[#This Row],[Total Revenue]])</f>
        <v>0.2128448623237072</v>
      </c>
      <c r="L649" s="5" t="str">
        <f>TEXT(SalesData[[#This Row],[Date]],"mmm")</f>
        <v>Mar</v>
      </c>
      <c r="M649">
        <f>YEAR(SalesData[[#This Row],[Date]])</f>
        <v>2023</v>
      </c>
      <c r="N649">
        <f>WEEKNUM(SalesData[[#This Row],[Date]])</f>
        <v>12</v>
      </c>
      <c r="O649" t="s">
        <v>2176</v>
      </c>
      <c r="P649" t="s">
        <v>2523</v>
      </c>
      <c r="Q649" t="s">
        <v>2524</v>
      </c>
    </row>
    <row r="650" spans="1:17" x14ac:dyDescent="0.35">
      <c r="A650" t="s">
        <v>473</v>
      </c>
      <c r="B650" s="3">
        <v>45170</v>
      </c>
      <c r="C650" t="s">
        <v>2022</v>
      </c>
      <c r="D650" t="s">
        <v>2024</v>
      </c>
      <c r="E650" s="8">
        <v>1461</v>
      </c>
      <c r="F650">
        <v>6</v>
      </c>
      <c r="G650">
        <v>15</v>
      </c>
      <c r="H650" s="8">
        <v>7451.1</v>
      </c>
      <c r="I650">
        <v>1059.92</v>
      </c>
      <c r="J650">
        <v>1091.5899999999999</v>
      </c>
      <c r="K650" s="5">
        <f>IF(SalesData[[#This Row],[Total Revenue]]=0,0,SalesData[[#This Row],[Profit]]/SalesData[[#This Row],[Total Revenue]])</f>
        <v>0.14650051670223185</v>
      </c>
      <c r="L650" s="5" t="str">
        <f>TEXT(SalesData[[#This Row],[Date]],"mmm")</f>
        <v>Sep</v>
      </c>
      <c r="M650">
        <f>YEAR(SalesData[[#This Row],[Date]])</f>
        <v>2023</v>
      </c>
      <c r="N650">
        <f>WEEKNUM(SalesData[[#This Row],[Date]])</f>
        <v>35</v>
      </c>
      <c r="O650" t="s">
        <v>2324</v>
      </c>
      <c r="P650" t="s">
        <v>2522</v>
      </c>
      <c r="Q650" t="s">
        <v>2527</v>
      </c>
    </row>
    <row r="651" spans="1:17" x14ac:dyDescent="0.35">
      <c r="A651" t="s">
        <v>330</v>
      </c>
      <c r="B651" s="3">
        <v>45176</v>
      </c>
      <c r="C651" t="s">
        <v>2017</v>
      </c>
      <c r="D651" t="s">
        <v>2026</v>
      </c>
      <c r="E651" s="8">
        <v>1863</v>
      </c>
      <c r="F651">
        <v>4</v>
      </c>
      <c r="G651">
        <v>0</v>
      </c>
      <c r="H651" s="8">
        <v>7452</v>
      </c>
      <c r="I651">
        <v>994.4</v>
      </c>
      <c r="J651">
        <v>3474.4</v>
      </c>
      <c r="K651" s="5">
        <f>IF(SalesData[[#This Row],[Total Revenue]]=0,0,SalesData[[#This Row],[Profit]]/SalesData[[#This Row],[Total Revenue]])</f>
        <v>0.46623725174449815</v>
      </c>
      <c r="L651" s="5" t="str">
        <f>TEXT(SalesData[[#This Row],[Date]],"mmm")</f>
        <v>Sep</v>
      </c>
      <c r="M651">
        <f>YEAR(SalesData[[#This Row],[Date]])</f>
        <v>2023</v>
      </c>
      <c r="N651">
        <f>WEEKNUM(SalesData[[#This Row],[Date]])</f>
        <v>36</v>
      </c>
      <c r="O651" t="s">
        <v>2264</v>
      </c>
      <c r="P651" t="s">
        <v>2523</v>
      </c>
      <c r="Q651" t="s">
        <v>2525</v>
      </c>
    </row>
    <row r="652" spans="1:17" x14ac:dyDescent="0.35">
      <c r="A652" t="s">
        <v>1646</v>
      </c>
      <c r="B652" s="3">
        <v>45032</v>
      </c>
      <c r="C652" t="s">
        <v>2020</v>
      </c>
      <c r="D652" t="s">
        <v>2028</v>
      </c>
      <c r="E652" s="8">
        <v>872</v>
      </c>
      <c r="F652">
        <v>9</v>
      </c>
      <c r="G652">
        <v>5</v>
      </c>
      <c r="H652" s="8">
        <v>7455.6</v>
      </c>
      <c r="I652">
        <v>559.41999999999996</v>
      </c>
      <c r="J652">
        <v>2420.83</v>
      </c>
      <c r="K652" s="5">
        <f>IF(SalesData[[#This Row],[Total Revenue]]=0,0,SalesData[[#This Row],[Profit]]/SalesData[[#This Row],[Total Revenue]])</f>
        <v>0.3246995546971404</v>
      </c>
      <c r="L652" s="5" t="str">
        <f>TEXT(SalesData[[#This Row],[Date]],"mmm")</f>
        <v>Apr</v>
      </c>
      <c r="M652">
        <f>YEAR(SalesData[[#This Row],[Date]])</f>
        <v>2023</v>
      </c>
      <c r="N652">
        <f>WEEKNUM(SalesData[[#This Row],[Date]])</f>
        <v>16</v>
      </c>
      <c r="O652" t="s">
        <v>2431</v>
      </c>
      <c r="P652" t="s">
        <v>2522</v>
      </c>
      <c r="Q652" t="s">
        <v>2524</v>
      </c>
    </row>
    <row r="653" spans="1:17" x14ac:dyDescent="0.35">
      <c r="A653" t="s">
        <v>691</v>
      </c>
      <c r="B653" s="3">
        <v>45085</v>
      </c>
      <c r="C653" t="s">
        <v>2020</v>
      </c>
      <c r="D653" t="s">
        <v>2028</v>
      </c>
      <c r="E653" s="8">
        <v>3929</v>
      </c>
      <c r="F653">
        <v>2</v>
      </c>
      <c r="G653">
        <v>5</v>
      </c>
      <c r="H653" s="8">
        <v>7465.1</v>
      </c>
      <c r="I653">
        <v>2219.38</v>
      </c>
      <c r="J653">
        <v>3026.34</v>
      </c>
      <c r="K653" s="5">
        <f>IF(SalesData[[#This Row],[Total Revenue]]=0,0,SalesData[[#This Row],[Profit]]/SalesData[[#This Row],[Total Revenue]])</f>
        <v>0.40539845413993114</v>
      </c>
      <c r="L653" s="5" t="str">
        <f>TEXT(SalesData[[#This Row],[Date]],"mmm")</f>
        <v>Jun</v>
      </c>
      <c r="M653">
        <f>YEAR(SalesData[[#This Row],[Date]])</f>
        <v>2023</v>
      </c>
      <c r="N653">
        <f>WEEKNUM(SalesData[[#This Row],[Date]])</f>
        <v>23</v>
      </c>
      <c r="O653" t="s">
        <v>2038</v>
      </c>
      <c r="P653" t="s">
        <v>2523</v>
      </c>
      <c r="Q653" t="s">
        <v>2526</v>
      </c>
    </row>
    <row r="654" spans="1:17" x14ac:dyDescent="0.35">
      <c r="A654" t="s">
        <v>1279</v>
      </c>
      <c r="B654" s="3">
        <v>45096</v>
      </c>
      <c r="C654" t="s">
        <v>2014</v>
      </c>
      <c r="D654" t="s">
        <v>2024</v>
      </c>
      <c r="E654" s="8">
        <v>1967</v>
      </c>
      <c r="F654">
        <v>4</v>
      </c>
      <c r="G654">
        <v>5</v>
      </c>
      <c r="H654" s="8">
        <v>7474.6</v>
      </c>
      <c r="I654">
        <v>1109.0999999999999</v>
      </c>
      <c r="J654">
        <v>3038.18</v>
      </c>
      <c r="K654" s="5">
        <f>IF(SalesData[[#This Row],[Total Revenue]]=0,0,SalesData[[#This Row],[Profit]]/SalesData[[#This Row],[Total Revenue]])</f>
        <v>0.4064672357049206</v>
      </c>
      <c r="L654" s="5" t="str">
        <f>TEXT(SalesData[[#This Row],[Date]],"mmm")</f>
        <v>Jun</v>
      </c>
      <c r="M654">
        <f>YEAR(SalesData[[#This Row],[Date]])</f>
        <v>2023</v>
      </c>
      <c r="N654">
        <f>WEEKNUM(SalesData[[#This Row],[Date]])</f>
        <v>25</v>
      </c>
      <c r="O654" t="s">
        <v>2494</v>
      </c>
      <c r="P654" t="s">
        <v>2522</v>
      </c>
      <c r="Q654" t="s">
        <v>2525</v>
      </c>
    </row>
    <row r="655" spans="1:17" x14ac:dyDescent="0.35">
      <c r="A655" t="s">
        <v>1000</v>
      </c>
      <c r="B655" s="3">
        <v>45124</v>
      </c>
      <c r="C655" t="s">
        <v>2015</v>
      </c>
      <c r="D655" t="s">
        <v>2025</v>
      </c>
      <c r="E655" s="8">
        <v>4406</v>
      </c>
      <c r="F655">
        <v>2</v>
      </c>
      <c r="G655">
        <v>15</v>
      </c>
      <c r="H655" s="8">
        <v>7490.2</v>
      </c>
      <c r="I655">
        <v>3274.57</v>
      </c>
      <c r="J655">
        <v>941.05</v>
      </c>
      <c r="K655" s="5">
        <f>IF(SalesData[[#This Row],[Total Revenue]]=0,0,SalesData[[#This Row],[Profit]]/SalesData[[#This Row],[Total Revenue]])</f>
        <v>0.12563749966623053</v>
      </c>
      <c r="L655" s="5" t="str">
        <f>TEXT(SalesData[[#This Row],[Date]],"mmm")</f>
        <v>Jul</v>
      </c>
      <c r="M655">
        <f>YEAR(SalesData[[#This Row],[Date]])</f>
        <v>2023</v>
      </c>
      <c r="N655">
        <f>WEEKNUM(SalesData[[#This Row],[Date]])</f>
        <v>29</v>
      </c>
      <c r="O655" t="s">
        <v>2203</v>
      </c>
      <c r="P655" t="s">
        <v>2523</v>
      </c>
      <c r="Q655" t="s">
        <v>2524</v>
      </c>
    </row>
    <row r="656" spans="1:17" x14ac:dyDescent="0.35">
      <c r="A656" t="s">
        <v>1248</v>
      </c>
      <c r="B656" s="3">
        <v>45007</v>
      </c>
      <c r="C656" t="s">
        <v>2013</v>
      </c>
      <c r="D656" t="s">
        <v>2023</v>
      </c>
      <c r="E656" s="8">
        <v>1189</v>
      </c>
      <c r="F656">
        <v>7</v>
      </c>
      <c r="G656">
        <v>10</v>
      </c>
      <c r="H656" s="8">
        <v>7490.7</v>
      </c>
      <c r="I656">
        <v>829.86</v>
      </c>
      <c r="J656">
        <v>1681.65</v>
      </c>
      <c r="K656" s="5">
        <f>IF(SalesData[[#This Row],[Total Revenue]]=0,0,SalesData[[#This Row],[Profit]]/SalesData[[#This Row],[Total Revenue]])</f>
        <v>0.224498377988706</v>
      </c>
      <c r="L656" s="5" t="str">
        <f>TEXT(SalesData[[#This Row],[Date]],"mmm")</f>
        <v>Mar</v>
      </c>
      <c r="M656">
        <f>YEAR(SalesData[[#This Row],[Date]])</f>
        <v>2023</v>
      </c>
      <c r="N656">
        <f>WEEKNUM(SalesData[[#This Row],[Date]])</f>
        <v>12</v>
      </c>
      <c r="O656" t="s">
        <v>2257</v>
      </c>
      <c r="P656" t="s">
        <v>2522</v>
      </c>
      <c r="Q656" t="s">
        <v>2527</v>
      </c>
    </row>
    <row r="657" spans="1:17" x14ac:dyDescent="0.35">
      <c r="A657" t="s">
        <v>1107</v>
      </c>
      <c r="B657" s="3">
        <v>44981</v>
      </c>
      <c r="C657" t="s">
        <v>2016</v>
      </c>
      <c r="D657" t="s">
        <v>2025</v>
      </c>
      <c r="E657" s="8">
        <v>1763</v>
      </c>
      <c r="F657">
        <v>5</v>
      </c>
      <c r="G657">
        <v>15</v>
      </c>
      <c r="H657" s="8">
        <v>7492.75</v>
      </c>
      <c r="I657">
        <v>1168.1600000000001</v>
      </c>
      <c r="J657">
        <v>1651.95</v>
      </c>
      <c r="K657" s="5">
        <f>IF(SalesData[[#This Row],[Total Revenue]]=0,0,SalesData[[#This Row],[Profit]]/SalesData[[#This Row],[Total Revenue]])</f>
        <v>0.22047312401988589</v>
      </c>
      <c r="L657" s="5" t="str">
        <f>TEXT(SalesData[[#This Row],[Date]],"mmm")</f>
        <v>Feb</v>
      </c>
      <c r="M657">
        <f>YEAR(SalesData[[#This Row],[Date]])</f>
        <v>2023</v>
      </c>
      <c r="N657">
        <f>WEEKNUM(SalesData[[#This Row],[Date]])</f>
        <v>8</v>
      </c>
      <c r="O657" t="s">
        <v>2057</v>
      </c>
      <c r="P657" t="s">
        <v>2522</v>
      </c>
      <c r="Q657" t="s">
        <v>2526</v>
      </c>
    </row>
    <row r="658" spans="1:17" x14ac:dyDescent="0.35">
      <c r="A658" t="s">
        <v>41</v>
      </c>
      <c r="B658" s="3">
        <v>45206</v>
      </c>
      <c r="C658" t="s">
        <v>2022</v>
      </c>
      <c r="D658" t="s">
        <v>2024</v>
      </c>
      <c r="E658" s="8">
        <v>2644</v>
      </c>
      <c r="F658">
        <v>3</v>
      </c>
      <c r="G658">
        <v>5</v>
      </c>
      <c r="H658" s="8">
        <v>7535.4</v>
      </c>
      <c r="I658">
        <v>1995.09</v>
      </c>
      <c r="J658">
        <v>1550.12</v>
      </c>
      <c r="K658" s="5">
        <f>IF(SalesData[[#This Row],[Total Revenue]]=0,0,SalesData[[#This Row],[Profit]]/SalesData[[#This Row],[Total Revenue]])</f>
        <v>0.20571170740770231</v>
      </c>
      <c r="L658" s="5" t="str">
        <f>TEXT(SalesData[[#This Row],[Date]],"mmm")</f>
        <v>Oct</v>
      </c>
      <c r="M658">
        <f>YEAR(SalesData[[#This Row],[Date]])</f>
        <v>2023</v>
      </c>
      <c r="N658">
        <f>WEEKNUM(SalesData[[#This Row],[Date]])</f>
        <v>40</v>
      </c>
      <c r="O658" t="s">
        <v>2056</v>
      </c>
      <c r="P658" t="s">
        <v>2522</v>
      </c>
      <c r="Q658" t="s">
        <v>2525</v>
      </c>
    </row>
    <row r="659" spans="1:17" x14ac:dyDescent="0.35">
      <c r="A659" t="s">
        <v>375</v>
      </c>
      <c r="B659" s="3">
        <v>45021</v>
      </c>
      <c r="C659" t="s">
        <v>2015</v>
      </c>
      <c r="D659" t="s">
        <v>2025</v>
      </c>
      <c r="E659" s="8">
        <v>1774</v>
      </c>
      <c r="F659">
        <v>5</v>
      </c>
      <c r="G659">
        <v>15</v>
      </c>
      <c r="H659" s="8">
        <v>7539.5</v>
      </c>
      <c r="I659">
        <v>1280.73</v>
      </c>
      <c r="J659">
        <v>1135.8699999999999</v>
      </c>
      <c r="K659" s="5">
        <f>IF(SalesData[[#This Row],[Total Revenue]]=0,0,SalesData[[#This Row],[Profit]]/SalesData[[#This Row],[Total Revenue]])</f>
        <v>0.15065587903707142</v>
      </c>
      <c r="L659" s="5" t="str">
        <f>TEXT(SalesData[[#This Row],[Date]],"mmm")</f>
        <v>Apr</v>
      </c>
      <c r="M659">
        <f>YEAR(SalesData[[#This Row],[Date]])</f>
        <v>2023</v>
      </c>
      <c r="N659">
        <f>WEEKNUM(SalesData[[#This Row],[Date]])</f>
        <v>14</v>
      </c>
      <c r="O659" t="s">
        <v>2285</v>
      </c>
      <c r="P659" t="s">
        <v>2522</v>
      </c>
      <c r="Q659" t="s">
        <v>2524</v>
      </c>
    </row>
    <row r="660" spans="1:17" x14ac:dyDescent="0.35">
      <c r="A660" t="s">
        <v>1845</v>
      </c>
      <c r="B660" s="3">
        <v>45117</v>
      </c>
      <c r="C660" t="s">
        <v>2022</v>
      </c>
      <c r="D660" t="s">
        <v>2024</v>
      </c>
      <c r="E660" s="8">
        <v>3777</v>
      </c>
      <c r="F660">
        <v>2</v>
      </c>
      <c r="G660">
        <v>0</v>
      </c>
      <c r="H660" s="8">
        <v>7554</v>
      </c>
      <c r="I660">
        <v>2639.72</v>
      </c>
      <c r="J660">
        <v>2274.5700000000002</v>
      </c>
      <c r="K660" s="5">
        <f>IF(SalesData[[#This Row],[Total Revenue]]=0,0,SalesData[[#This Row],[Profit]]/SalesData[[#This Row],[Total Revenue]])</f>
        <v>0.30110802223987293</v>
      </c>
      <c r="L660" s="5" t="str">
        <f>TEXT(SalesData[[#This Row],[Date]],"mmm")</f>
        <v>Jul</v>
      </c>
      <c r="M660">
        <f>YEAR(SalesData[[#This Row],[Date]])</f>
        <v>2023</v>
      </c>
      <c r="N660">
        <f>WEEKNUM(SalesData[[#This Row],[Date]])</f>
        <v>28</v>
      </c>
      <c r="O660" t="s">
        <v>2457</v>
      </c>
      <c r="P660" t="s">
        <v>2523</v>
      </c>
      <c r="Q660" t="s">
        <v>2524</v>
      </c>
    </row>
    <row r="661" spans="1:17" x14ac:dyDescent="0.35">
      <c r="A661" t="s">
        <v>1061</v>
      </c>
      <c r="B661" s="3">
        <v>45055</v>
      </c>
      <c r="C661" t="s">
        <v>2017</v>
      </c>
      <c r="D661" t="s">
        <v>2026</v>
      </c>
      <c r="E661" s="8">
        <v>1779</v>
      </c>
      <c r="F661">
        <v>5</v>
      </c>
      <c r="G661">
        <v>15</v>
      </c>
      <c r="H661" s="8">
        <v>7560.75</v>
      </c>
      <c r="I661">
        <v>1053.98</v>
      </c>
      <c r="J661">
        <v>2290.83</v>
      </c>
      <c r="K661" s="5">
        <f>IF(SalesData[[#This Row],[Total Revenue]]=0,0,SalesData[[#This Row],[Profit]]/SalesData[[#This Row],[Total Revenue]])</f>
        <v>0.30298978275964683</v>
      </c>
      <c r="L661" s="5" t="str">
        <f>TEXT(SalesData[[#This Row],[Date]],"mmm")</f>
        <v>May</v>
      </c>
      <c r="M661">
        <f>YEAR(SalesData[[#This Row],[Date]])</f>
        <v>2023</v>
      </c>
      <c r="N661">
        <f>WEEKNUM(SalesData[[#This Row],[Date]])</f>
        <v>19</v>
      </c>
      <c r="O661" t="s">
        <v>2047</v>
      </c>
      <c r="P661" t="s">
        <v>2522</v>
      </c>
      <c r="Q661" t="s">
        <v>2527</v>
      </c>
    </row>
    <row r="662" spans="1:17" x14ac:dyDescent="0.35">
      <c r="A662" t="s">
        <v>579</v>
      </c>
      <c r="B662" s="3">
        <v>45250</v>
      </c>
      <c r="C662" t="s">
        <v>2018</v>
      </c>
      <c r="D662" t="s">
        <v>2026</v>
      </c>
      <c r="E662" s="8">
        <v>1893</v>
      </c>
      <c r="F662">
        <v>4</v>
      </c>
      <c r="G662">
        <v>0</v>
      </c>
      <c r="H662" s="8">
        <v>7572</v>
      </c>
      <c r="I662">
        <v>1245.25</v>
      </c>
      <c r="J662">
        <v>2591</v>
      </c>
      <c r="K662" s="5">
        <f>IF(SalesData[[#This Row],[Total Revenue]]=0,0,SalesData[[#This Row],[Profit]]/SalesData[[#This Row],[Total Revenue]])</f>
        <v>0.34218172213417858</v>
      </c>
      <c r="L662" s="5" t="str">
        <f>TEXT(SalesData[[#This Row],[Date]],"mmm")</f>
        <v>Nov</v>
      </c>
      <c r="M662">
        <f>YEAR(SalesData[[#This Row],[Date]])</f>
        <v>2023</v>
      </c>
      <c r="N662">
        <f>WEEKNUM(SalesData[[#This Row],[Date]])</f>
        <v>47</v>
      </c>
      <c r="O662" t="s">
        <v>2291</v>
      </c>
      <c r="P662" t="s">
        <v>2522</v>
      </c>
      <c r="Q662" t="s">
        <v>2526</v>
      </c>
    </row>
    <row r="663" spans="1:17" x14ac:dyDescent="0.35">
      <c r="A663" t="s">
        <v>949</v>
      </c>
      <c r="B663" s="3">
        <v>45118</v>
      </c>
      <c r="C663" t="s">
        <v>2018</v>
      </c>
      <c r="D663" t="s">
        <v>2026</v>
      </c>
      <c r="E663" s="8">
        <v>2807</v>
      </c>
      <c r="F663">
        <v>3</v>
      </c>
      <c r="G663">
        <v>10</v>
      </c>
      <c r="H663" s="8">
        <v>7578.9</v>
      </c>
      <c r="I663">
        <v>1876.79</v>
      </c>
      <c r="J663">
        <v>1948.53</v>
      </c>
      <c r="K663" s="5">
        <f>IF(SalesData[[#This Row],[Total Revenue]]=0,0,SalesData[[#This Row],[Profit]]/SalesData[[#This Row],[Total Revenue]])</f>
        <v>0.25709931520405338</v>
      </c>
      <c r="L663" s="5" t="str">
        <f>TEXT(SalesData[[#This Row],[Date]],"mmm")</f>
        <v>Jul</v>
      </c>
      <c r="M663">
        <f>YEAR(SalesData[[#This Row],[Date]])</f>
        <v>2023</v>
      </c>
      <c r="N663">
        <f>WEEKNUM(SalesData[[#This Row],[Date]])</f>
        <v>28</v>
      </c>
      <c r="O663" t="s">
        <v>2193</v>
      </c>
      <c r="P663" t="s">
        <v>2522</v>
      </c>
      <c r="Q663" t="s">
        <v>2524</v>
      </c>
    </row>
    <row r="664" spans="1:17" x14ac:dyDescent="0.35">
      <c r="A664" t="s">
        <v>1786</v>
      </c>
      <c r="B664" s="3">
        <v>45253</v>
      </c>
      <c r="C664" t="s">
        <v>2016</v>
      </c>
      <c r="D664" t="s">
        <v>2025</v>
      </c>
      <c r="E664" s="8">
        <v>1516</v>
      </c>
      <c r="F664">
        <v>5</v>
      </c>
      <c r="G664">
        <v>0</v>
      </c>
      <c r="H664" s="8">
        <v>7580</v>
      </c>
      <c r="I664">
        <v>1017.8</v>
      </c>
      <c r="J664">
        <v>2490.9899999999998</v>
      </c>
      <c r="K664" s="5">
        <f>IF(SalesData[[#This Row],[Total Revenue]]=0,0,SalesData[[#This Row],[Profit]]/SalesData[[#This Row],[Total Revenue]])</f>
        <v>0.32862664907651712</v>
      </c>
      <c r="L664" s="5" t="str">
        <f>TEXT(SalesData[[#This Row],[Date]],"mmm")</f>
        <v>Nov</v>
      </c>
      <c r="M664">
        <f>YEAR(SalesData[[#This Row],[Date]])</f>
        <v>2023</v>
      </c>
      <c r="N664">
        <f>WEEKNUM(SalesData[[#This Row],[Date]])</f>
        <v>47</v>
      </c>
      <c r="O664" t="s">
        <v>2075</v>
      </c>
      <c r="P664" t="s">
        <v>2522</v>
      </c>
      <c r="Q664" t="s">
        <v>2524</v>
      </c>
    </row>
    <row r="665" spans="1:17" x14ac:dyDescent="0.35">
      <c r="A665" t="s">
        <v>895</v>
      </c>
      <c r="B665" s="3">
        <v>45048</v>
      </c>
      <c r="C665" t="s">
        <v>2022</v>
      </c>
      <c r="D665" t="s">
        <v>2024</v>
      </c>
      <c r="E665" s="8">
        <v>1404</v>
      </c>
      <c r="F665">
        <v>6</v>
      </c>
      <c r="G665">
        <v>10</v>
      </c>
      <c r="H665" s="8">
        <v>7581.6</v>
      </c>
      <c r="I665">
        <v>1026.1099999999999</v>
      </c>
      <c r="J665">
        <v>1424.94</v>
      </c>
      <c r="K665" s="5">
        <f>IF(SalesData[[#This Row],[Total Revenue]]=0,0,SalesData[[#This Row],[Profit]]/SalesData[[#This Row],[Total Revenue]])</f>
        <v>0.18794713516935738</v>
      </c>
      <c r="L665" s="5" t="str">
        <f>TEXT(SalesData[[#This Row],[Date]],"mmm")</f>
        <v>May</v>
      </c>
      <c r="M665">
        <f>YEAR(SalesData[[#This Row],[Date]])</f>
        <v>2023</v>
      </c>
      <c r="N665">
        <f>WEEKNUM(SalesData[[#This Row],[Date]])</f>
        <v>18</v>
      </c>
      <c r="O665" t="s">
        <v>2057</v>
      </c>
      <c r="P665" t="s">
        <v>2523</v>
      </c>
      <c r="Q665" t="s">
        <v>2524</v>
      </c>
    </row>
    <row r="666" spans="1:17" x14ac:dyDescent="0.35">
      <c r="A666" t="s">
        <v>538</v>
      </c>
      <c r="B666" s="3">
        <v>45278</v>
      </c>
      <c r="C666" t="s">
        <v>2020</v>
      </c>
      <c r="D666" t="s">
        <v>2028</v>
      </c>
      <c r="E666" s="8">
        <v>3793</v>
      </c>
      <c r="F666">
        <v>2</v>
      </c>
      <c r="G666">
        <v>0</v>
      </c>
      <c r="H666" s="8">
        <v>7586</v>
      </c>
      <c r="I666">
        <v>2940.58</v>
      </c>
      <c r="J666">
        <v>1704.85</v>
      </c>
      <c r="K666" s="5">
        <f>IF(SalesData[[#This Row],[Total Revenue]]=0,0,SalesData[[#This Row],[Profit]]/SalesData[[#This Row],[Total Revenue]])</f>
        <v>0.22473635644608489</v>
      </c>
      <c r="L666" s="5" t="str">
        <f>TEXT(SalesData[[#This Row],[Date]],"mmm")</f>
        <v>Dec</v>
      </c>
      <c r="M666">
        <f>YEAR(SalesData[[#This Row],[Date]])</f>
        <v>2023</v>
      </c>
      <c r="N666">
        <f>WEEKNUM(SalesData[[#This Row],[Date]])</f>
        <v>51</v>
      </c>
      <c r="O666" t="s">
        <v>2125</v>
      </c>
      <c r="P666" t="s">
        <v>2522</v>
      </c>
      <c r="Q666" t="s">
        <v>2525</v>
      </c>
    </row>
    <row r="667" spans="1:17" x14ac:dyDescent="0.35">
      <c r="A667" t="s">
        <v>355</v>
      </c>
      <c r="B667" s="3">
        <v>45221</v>
      </c>
      <c r="C667" t="s">
        <v>2017</v>
      </c>
      <c r="D667" t="s">
        <v>2026</v>
      </c>
      <c r="E667" s="8">
        <v>1690</v>
      </c>
      <c r="F667">
        <v>5</v>
      </c>
      <c r="G667">
        <v>10</v>
      </c>
      <c r="H667" s="8">
        <v>7605</v>
      </c>
      <c r="I667">
        <v>1271.1400000000001</v>
      </c>
      <c r="J667">
        <v>1249.31</v>
      </c>
      <c r="K667" s="5">
        <f>IF(SalesData[[#This Row],[Total Revenue]]=0,0,SalesData[[#This Row],[Profit]]/SalesData[[#This Row],[Total Revenue]])</f>
        <v>0.1642748191978961</v>
      </c>
      <c r="L667" s="5" t="str">
        <f>TEXT(SalesData[[#This Row],[Date]],"mmm")</f>
        <v>Oct</v>
      </c>
      <c r="M667">
        <f>YEAR(SalesData[[#This Row],[Date]])</f>
        <v>2023</v>
      </c>
      <c r="N667">
        <f>WEEKNUM(SalesData[[#This Row],[Date]])</f>
        <v>43</v>
      </c>
      <c r="O667" t="s">
        <v>2270</v>
      </c>
      <c r="P667" t="s">
        <v>2522</v>
      </c>
      <c r="Q667" t="s">
        <v>2527</v>
      </c>
    </row>
    <row r="668" spans="1:17" x14ac:dyDescent="0.35">
      <c r="A668" t="s">
        <v>1466</v>
      </c>
      <c r="B668" s="3">
        <v>45228</v>
      </c>
      <c r="C668" t="s">
        <v>2016</v>
      </c>
      <c r="D668" t="s">
        <v>2025</v>
      </c>
      <c r="E668" s="8">
        <v>3804</v>
      </c>
      <c r="F668">
        <v>2</v>
      </c>
      <c r="G668">
        <v>0</v>
      </c>
      <c r="H668" s="8">
        <v>7608</v>
      </c>
      <c r="I668">
        <v>2117.2600000000002</v>
      </c>
      <c r="J668">
        <v>3373.48</v>
      </c>
      <c r="K668" s="5">
        <f>IF(SalesData[[#This Row],[Total Revenue]]=0,0,SalesData[[#This Row],[Profit]]/SalesData[[#This Row],[Total Revenue]])</f>
        <v>0.44341219768664564</v>
      </c>
      <c r="L668" s="5" t="str">
        <f>TEXT(SalesData[[#This Row],[Date]],"mmm")</f>
        <v>Oct</v>
      </c>
      <c r="M668">
        <f>YEAR(SalesData[[#This Row],[Date]])</f>
        <v>2023</v>
      </c>
      <c r="N668">
        <f>WEEKNUM(SalesData[[#This Row],[Date]])</f>
        <v>44</v>
      </c>
      <c r="O668" t="s">
        <v>2445</v>
      </c>
      <c r="P668" t="s">
        <v>2522</v>
      </c>
      <c r="Q668" t="s">
        <v>2524</v>
      </c>
    </row>
    <row r="669" spans="1:17" x14ac:dyDescent="0.35">
      <c r="A669" t="s">
        <v>1518</v>
      </c>
      <c r="B669" s="3">
        <v>45131</v>
      </c>
      <c r="C669" t="s">
        <v>2013</v>
      </c>
      <c r="D669" t="s">
        <v>2023</v>
      </c>
      <c r="E669" s="8">
        <v>4230</v>
      </c>
      <c r="F669">
        <v>2</v>
      </c>
      <c r="G669">
        <v>10</v>
      </c>
      <c r="H669" s="8">
        <v>7614</v>
      </c>
      <c r="I669">
        <v>2118.36</v>
      </c>
      <c r="J669">
        <v>3377.29</v>
      </c>
      <c r="K669" s="5">
        <f>IF(SalesData[[#This Row],[Total Revenue]]=0,0,SalesData[[#This Row],[Profit]]/SalesData[[#This Row],[Total Revenue]])</f>
        <v>0.44356317310218019</v>
      </c>
      <c r="L669" s="5" t="str">
        <f>TEXT(SalesData[[#This Row],[Date]],"mmm")</f>
        <v>Jul</v>
      </c>
      <c r="M669">
        <f>YEAR(SalesData[[#This Row],[Date]])</f>
        <v>2023</v>
      </c>
      <c r="N669">
        <f>WEEKNUM(SalesData[[#This Row],[Date]])</f>
        <v>30</v>
      </c>
      <c r="O669" t="s">
        <v>2079</v>
      </c>
      <c r="P669" t="s">
        <v>2522</v>
      </c>
      <c r="Q669" t="s">
        <v>2525</v>
      </c>
    </row>
    <row r="670" spans="1:17" x14ac:dyDescent="0.35">
      <c r="A670" t="s">
        <v>533</v>
      </c>
      <c r="B670" s="3">
        <v>44999</v>
      </c>
      <c r="C670" t="s">
        <v>2014</v>
      </c>
      <c r="D670" t="s">
        <v>2024</v>
      </c>
      <c r="E670" s="8">
        <v>941</v>
      </c>
      <c r="F670">
        <v>9</v>
      </c>
      <c r="G670">
        <v>10</v>
      </c>
      <c r="H670" s="8">
        <v>7622.1</v>
      </c>
      <c r="I670">
        <v>698.64</v>
      </c>
      <c r="J670">
        <v>1334.37</v>
      </c>
      <c r="K670" s="5">
        <f>IF(SalesData[[#This Row],[Total Revenue]]=0,0,SalesData[[#This Row],[Profit]]/SalesData[[#This Row],[Total Revenue]])</f>
        <v>0.17506592671311053</v>
      </c>
      <c r="L670" s="5" t="str">
        <f>TEXT(SalesData[[#This Row],[Date]],"mmm")</f>
        <v>Mar</v>
      </c>
      <c r="M670">
        <f>YEAR(SalesData[[#This Row],[Date]])</f>
        <v>2023</v>
      </c>
      <c r="N670">
        <f>WEEKNUM(SalesData[[#This Row],[Date]])</f>
        <v>11</v>
      </c>
      <c r="O670" t="s">
        <v>2348</v>
      </c>
      <c r="P670" t="s">
        <v>2522</v>
      </c>
      <c r="Q670" t="s">
        <v>2525</v>
      </c>
    </row>
    <row r="671" spans="1:17" x14ac:dyDescent="0.35">
      <c r="A671" t="s">
        <v>584</v>
      </c>
      <c r="B671" s="3">
        <v>45147</v>
      </c>
      <c r="C671" t="s">
        <v>2017</v>
      </c>
      <c r="D671" t="s">
        <v>2026</v>
      </c>
      <c r="E671" s="8">
        <v>2991</v>
      </c>
      <c r="F671">
        <v>3</v>
      </c>
      <c r="G671">
        <v>15</v>
      </c>
      <c r="H671" s="8">
        <v>7627.05</v>
      </c>
      <c r="I671">
        <v>1644.14</v>
      </c>
      <c r="J671">
        <v>2694.64</v>
      </c>
      <c r="K671" s="5">
        <f>IF(SalesData[[#This Row],[Total Revenue]]=0,0,SalesData[[#This Row],[Profit]]/SalesData[[#This Row],[Total Revenue]])</f>
        <v>0.35330042414826174</v>
      </c>
      <c r="L671" s="5" t="str">
        <f>TEXT(SalesData[[#This Row],[Date]],"mmm")</f>
        <v>Aug</v>
      </c>
      <c r="M671">
        <f>YEAR(SalesData[[#This Row],[Date]])</f>
        <v>2023</v>
      </c>
      <c r="N671">
        <f>WEEKNUM(SalesData[[#This Row],[Date]])</f>
        <v>32</v>
      </c>
      <c r="O671" t="s">
        <v>2223</v>
      </c>
      <c r="P671" t="s">
        <v>2522</v>
      </c>
      <c r="Q671" t="s">
        <v>2524</v>
      </c>
    </row>
    <row r="672" spans="1:17" x14ac:dyDescent="0.35">
      <c r="A672" t="s">
        <v>1396</v>
      </c>
      <c r="B672" s="3">
        <v>45133</v>
      </c>
      <c r="C672" t="s">
        <v>2022</v>
      </c>
      <c r="D672" t="s">
        <v>2024</v>
      </c>
      <c r="E672" s="8">
        <v>1695</v>
      </c>
      <c r="F672">
        <v>5</v>
      </c>
      <c r="G672">
        <v>10</v>
      </c>
      <c r="H672" s="8">
        <v>7627.5</v>
      </c>
      <c r="I672">
        <v>1332.03</v>
      </c>
      <c r="J672">
        <v>967.34</v>
      </c>
      <c r="K672" s="5">
        <f>IF(SalesData[[#This Row],[Total Revenue]]=0,0,SalesData[[#This Row],[Profit]]/SalesData[[#This Row],[Total Revenue]])</f>
        <v>0.12682268108816783</v>
      </c>
      <c r="L672" s="5" t="str">
        <f>TEXT(SalesData[[#This Row],[Date]],"mmm")</f>
        <v>Jul</v>
      </c>
      <c r="M672">
        <f>YEAR(SalesData[[#This Row],[Date]])</f>
        <v>2023</v>
      </c>
      <c r="N672">
        <f>WEEKNUM(SalesData[[#This Row],[Date]])</f>
        <v>30</v>
      </c>
      <c r="O672" t="s">
        <v>2203</v>
      </c>
      <c r="P672" t="s">
        <v>2522</v>
      </c>
      <c r="Q672" t="s">
        <v>2526</v>
      </c>
    </row>
    <row r="673" spans="1:17" x14ac:dyDescent="0.35">
      <c r="A673" t="s">
        <v>134</v>
      </c>
      <c r="B673" s="3">
        <v>45242</v>
      </c>
      <c r="C673" t="s">
        <v>2016</v>
      </c>
      <c r="D673" t="s">
        <v>2025</v>
      </c>
      <c r="E673" s="8">
        <v>4242</v>
      </c>
      <c r="F673">
        <v>2</v>
      </c>
      <c r="G673">
        <v>10</v>
      </c>
      <c r="H673" s="8">
        <v>7635.6</v>
      </c>
      <c r="I673">
        <v>2701.06</v>
      </c>
      <c r="J673">
        <v>2233.4699999999998</v>
      </c>
      <c r="K673" s="5">
        <f>IF(SalesData[[#This Row],[Total Revenue]]=0,0,SalesData[[#This Row],[Profit]]/SalesData[[#This Row],[Total Revenue]])</f>
        <v>0.29250746503221747</v>
      </c>
      <c r="L673" s="5" t="str">
        <f>TEXT(SalesData[[#This Row],[Date]],"mmm")</f>
        <v>Nov</v>
      </c>
      <c r="M673">
        <f>YEAR(SalesData[[#This Row],[Date]])</f>
        <v>2023</v>
      </c>
      <c r="N673">
        <f>WEEKNUM(SalesData[[#This Row],[Date]])</f>
        <v>46</v>
      </c>
      <c r="O673" t="s">
        <v>2137</v>
      </c>
      <c r="P673" t="s">
        <v>2523</v>
      </c>
      <c r="Q673" t="s">
        <v>2526</v>
      </c>
    </row>
    <row r="674" spans="1:17" x14ac:dyDescent="0.35">
      <c r="A674" t="s">
        <v>1889</v>
      </c>
      <c r="B674" s="3">
        <v>44955</v>
      </c>
      <c r="C674" t="s">
        <v>2016</v>
      </c>
      <c r="D674" t="s">
        <v>2025</v>
      </c>
      <c r="E674" s="8">
        <v>3820</v>
      </c>
      <c r="F674">
        <v>2</v>
      </c>
      <c r="G674">
        <v>0</v>
      </c>
      <c r="H674" s="8">
        <v>7640</v>
      </c>
      <c r="I674">
        <v>1955.16</v>
      </c>
      <c r="J674">
        <v>3729.68</v>
      </c>
      <c r="K674" s="5">
        <f>IF(SalesData[[#This Row],[Total Revenue]]=0,0,SalesData[[#This Row],[Profit]]/SalesData[[#This Row],[Total Revenue]])</f>
        <v>0.48817801047120418</v>
      </c>
      <c r="L674" s="5" t="str">
        <f>TEXT(SalesData[[#This Row],[Date]],"mmm")</f>
        <v>Jan</v>
      </c>
      <c r="M674">
        <f>YEAR(SalesData[[#This Row],[Date]])</f>
        <v>2023</v>
      </c>
      <c r="N674">
        <f>WEEKNUM(SalesData[[#This Row],[Date]])</f>
        <v>5</v>
      </c>
      <c r="O674" t="s">
        <v>2402</v>
      </c>
      <c r="P674" t="s">
        <v>2522</v>
      </c>
      <c r="Q674" t="s">
        <v>2524</v>
      </c>
    </row>
    <row r="675" spans="1:17" x14ac:dyDescent="0.35">
      <c r="A675" t="s">
        <v>572</v>
      </c>
      <c r="B675" s="3">
        <v>45158</v>
      </c>
      <c r="C675" t="s">
        <v>2017</v>
      </c>
      <c r="D675" t="s">
        <v>2026</v>
      </c>
      <c r="E675" s="8">
        <v>4497</v>
      </c>
      <c r="F675">
        <v>2</v>
      </c>
      <c r="G675">
        <v>15</v>
      </c>
      <c r="H675" s="8">
        <v>7644.9</v>
      </c>
      <c r="I675">
        <v>2890.77</v>
      </c>
      <c r="J675">
        <v>1863.37</v>
      </c>
      <c r="K675" s="5">
        <f>IF(SalesData[[#This Row],[Total Revenue]]=0,0,SalesData[[#This Row],[Profit]]/SalesData[[#This Row],[Total Revenue]])</f>
        <v>0.24374027129197243</v>
      </c>
      <c r="L675" s="5" t="str">
        <f>TEXT(SalesData[[#This Row],[Date]],"mmm")</f>
        <v>Aug</v>
      </c>
      <c r="M675">
        <f>YEAR(SalesData[[#This Row],[Date]])</f>
        <v>2023</v>
      </c>
      <c r="N675">
        <f>WEEKNUM(SalesData[[#This Row],[Date]])</f>
        <v>34</v>
      </c>
      <c r="O675" t="s">
        <v>2244</v>
      </c>
      <c r="P675" t="s">
        <v>2522</v>
      </c>
      <c r="Q675" t="s">
        <v>2526</v>
      </c>
    </row>
    <row r="676" spans="1:17" x14ac:dyDescent="0.35">
      <c r="A676" t="s">
        <v>703</v>
      </c>
      <c r="B676" s="3">
        <v>45197</v>
      </c>
      <c r="C676" t="s">
        <v>2020</v>
      </c>
      <c r="D676" t="s">
        <v>2028</v>
      </c>
      <c r="E676" s="8">
        <v>1093</v>
      </c>
      <c r="F676">
        <v>7</v>
      </c>
      <c r="G676">
        <v>0</v>
      </c>
      <c r="H676" s="8">
        <v>7651</v>
      </c>
      <c r="I676">
        <v>567.32000000000005</v>
      </c>
      <c r="J676">
        <v>3679.76</v>
      </c>
      <c r="K676" s="5">
        <f>IF(SalesData[[#This Row],[Total Revenue]]=0,0,SalesData[[#This Row],[Profit]]/SalesData[[#This Row],[Total Revenue]])</f>
        <v>0.48095150960658739</v>
      </c>
      <c r="L676" s="5" t="str">
        <f>TEXT(SalesData[[#This Row],[Date]],"mmm")</f>
        <v>Sep</v>
      </c>
      <c r="M676">
        <f>YEAR(SalesData[[#This Row],[Date]])</f>
        <v>2023</v>
      </c>
      <c r="N676">
        <f>WEEKNUM(SalesData[[#This Row],[Date]])</f>
        <v>39</v>
      </c>
      <c r="O676" t="s">
        <v>2273</v>
      </c>
      <c r="P676" t="s">
        <v>2522</v>
      </c>
      <c r="Q676" t="s">
        <v>2524</v>
      </c>
    </row>
    <row r="677" spans="1:17" x14ac:dyDescent="0.35">
      <c r="A677" t="s">
        <v>784</v>
      </c>
      <c r="B677" s="3">
        <v>45208</v>
      </c>
      <c r="C677" t="s">
        <v>2015</v>
      </c>
      <c r="D677" t="s">
        <v>2025</v>
      </c>
      <c r="E677" s="8">
        <v>1343</v>
      </c>
      <c r="F677">
        <v>6</v>
      </c>
      <c r="G677">
        <v>5</v>
      </c>
      <c r="H677" s="8">
        <v>7655.1</v>
      </c>
      <c r="I677">
        <v>1050.3699999999999</v>
      </c>
      <c r="J677">
        <v>1352.9</v>
      </c>
      <c r="K677" s="5">
        <f>IF(SalesData[[#This Row],[Total Revenue]]=0,0,SalesData[[#This Row],[Profit]]/SalesData[[#This Row],[Total Revenue]])</f>
        <v>0.17673185196796906</v>
      </c>
      <c r="L677" s="5" t="str">
        <f>TEXT(SalesData[[#This Row],[Date]],"mmm")</f>
        <v>Oct</v>
      </c>
      <c r="M677">
        <f>YEAR(SalesData[[#This Row],[Date]])</f>
        <v>2023</v>
      </c>
      <c r="N677">
        <f>WEEKNUM(SalesData[[#This Row],[Date]])</f>
        <v>41</v>
      </c>
      <c r="O677" t="s">
        <v>2190</v>
      </c>
      <c r="P677" t="s">
        <v>2522</v>
      </c>
      <c r="Q677" t="s">
        <v>2526</v>
      </c>
    </row>
    <row r="678" spans="1:17" x14ac:dyDescent="0.35">
      <c r="A678" t="s">
        <v>1284</v>
      </c>
      <c r="B678" s="3">
        <v>45232</v>
      </c>
      <c r="C678" t="s">
        <v>2015</v>
      </c>
      <c r="D678" t="s">
        <v>2025</v>
      </c>
      <c r="E678" s="8">
        <v>1503</v>
      </c>
      <c r="F678">
        <v>6</v>
      </c>
      <c r="G678">
        <v>15</v>
      </c>
      <c r="H678" s="8">
        <v>7665.3</v>
      </c>
      <c r="I678">
        <v>1188.47</v>
      </c>
      <c r="J678">
        <v>534.5</v>
      </c>
      <c r="K678" s="5">
        <f>IF(SalesData[[#This Row],[Total Revenue]]=0,0,SalesData[[#This Row],[Profit]]/SalesData[[#This Row],[Total Revenue]])</f>
        <v>6.9729821402945744E-2</v>
      </c>
      <c r="L678" s="5" t="str">
        <f>TEXT(SalesData[[#This Row],[Date]],"mmm")</f>
        <v>Nov</v>
      </c>
      <c r="M678">
        <f>YEAR(SalesData[[#This Row],[Date]])</f>
        <v>2023</v>
      </c>
      <c r="N678">
        <f>WEEKNUM(SalesData[[#This Row],[Date]])</f>
        <v>44</v>
      </c>
      <c r="O678" t="s">
        <v>2458</v>
      </c>
      <c r="P678" t="s">
        <v>2522</v>
      </c>
      <c r="Q678" t="s">
        <v>2526</v>
      </c>
    </row>
    <row r="679" spans="1:17" x14ac:dyDescent="0.35">
      <c r="A679" t="s">
        <v>960</v>
      </c>
      <c r="B679" s="3">
        <v>44996</v>
      </c>
      <c r="C679" t="s">
        <v>2017</v>
      </c>
      <c r="D679" t="s">
        <v>2026</v>
      </c>
      <c r="E679" s="8">
        <v>807</v>
      </c>
      <c r="F679">
        <v>10</v>
      </c>
      <c r="G679">
        <v>5</v>
      </c>
      <c r="H679" s="8">
        <v>7666.5</v>
      </c>
      <c r="I679">
        <v>420.29</v>
      </c>
      <c r="J679">
        <v>3463.57</v>
      </c>
      <c r="K679" s="5">
        <f>IF(SalesData[[#This Row],[Total Revenue]]=0,0,SalesData[[#This Row],[Profit]]/SalesData[[#This Row],[Total Revenue]])</f>
        <v>0.45177982130046307</v>
      </c>
      <c r="L679" s="5" t="str">
        <f>TEXT(SalesData[[#This Row],[Date]],"mmm")</f>
        <v>Mar</v>
      </c>
      <c r="M679">
        <f>YEAR(SalesData[[#This Row],[Date]])</f>
        <v>2023</v>
      </c>
      <c r="N679">
        <f>WEEKNUM(SalesData[[#This Row],[Date]])</f>
        <v>10</v>
      </c>
      <c r="O679" t="s">
        <v>2449</v>
      </c>
      <c r="P679" t="s">
        <v>2522</v>
      </c>
      <c r="Q679" t="s">
        <v>2526</v>
      </c>
    </row>
    <row r="680" spans="1:17" x14ac:dyDescent="0.35">
      <c r="A680" t="s">
        <v>1777</v>
      </c>
      <c r="B680" s="3">
        <v>45128</v>
      </c>
      <c r="C680" t="s">
        <v>2019</v>
      </c>
      <c r="D680" t="s">
        <v>2027</v>
      </c>
      <c r="E680" s="8">
        <v>1616</v>
      </c>
      <c r="F680">
        <v>5</v>
      </c>
      <c r="G680">
        <v>5</v>
      </c>
      <c r="H680" s="8">
        <v>7676</v>
      </c>
      <c r="I680">
        <v>1027.8</v>
      </c>
      <c r="J680">
        <v>2537.0100000000002</v>
      </c>
      <c r="K680" s="5">
        <f>IF(SalesData[[#This Row],[Total Revenue]]=0,0,SalesData[[#This Row],[Profit]]/SalesData[[#This Row],[Total Revenue]])</f>
        <v>0.33051198540906723</v>
      </c>
      <c r="L680" s="5" t="str">
        <f>TEXT(SalesData[[#This Row],[Date]],"mmm")</f>
        <v>Jul</v>
      </c>
      <c r="M680">
        <f>YEAR(SalesData[[#This Row],[Date]])</f>
        <v>2023</v>
      </c>
      <c r="N680">
        <f>WEEKNUM(SalesData[[#This Row],[Date]])</f>
        <v>29</v>
      </c>
      <c r="O680" t="s">
        <v>2194</v>
      </c>
      <c r="P680" t="s">
        <v>2523</v>
      </c>
      <c r="Q680" t="s">
        <v>2525</v>
      </c>
    </row>
    <row r="681" spans="1:17" x14ac:dyDescent="0.35">
      <c r="A681" t="s">
        <v>221</v>
      </c>
      <c r="B681" s="3">
        <v>45214</v>
      </c>
      <c r="C681" t="s">
        <v>2015</v>
      </c>
      <c r="D681" t="s">
        <v>2025</v>
      </c>
      <c r="E681" s="8">
        <v>3841</v>
      </c>
      <c r="F681">
        <v>2</v>
      </c>
      <c r="G681">
        <v>0</v>
      </c>
      <c r="H681" s="8">
        <v>7682</v>
      </c>
      <c r="I681">
        <v>2852.83</v>
      </c>
      <c r="J681">
        <v>1976.34</v>
      </c>
      <c r="K681" s="5">
        <f>IF(SalesData[[#This Row],[Total Revenue]]=0,0,SalesData[[#This Row],[Profit]]/SalesData[[#This Row],[Total Revenue]])</f>
        <v>0.25726894038010933</v>
      </c>
      <c r="L681" s="5" t="str">
        <f>TEXT(SalesData[[#This Row],[Date]],"mmm")</f>
        <v>Oct</v>
      </c>
      <c r="M681">
        <f>YEAR(SalesData[[#This Row],[Date]])</f>
        <v>2023</v>
      </c>
      <c r="N681">
        <f>WEEKNUM(SalesData[[#This Row],[Date]])</f>
        <v>42</v>
      </c>
      <c r="O681" t="s">
        <v>2198</v>
      </c>
      <c r="P681" t="s">
        <v>2522</v>
      </c>
      <c r="Q681" t="s">
        <v>2525</v>
      </c>
    </row>
    <row r="682" spans="1:17" x14ac:dyDescent="0.35">
      <c r="A682" t="s">
        <v>1072</v>
      </c>
      <c r="B682" s="3">
        <v>44996</v>
      </c>
      <c r="C682" t="s">
        <v>2020</v>
      </c>
      <c r="D682" t="s">
        <v>2028</v>
      </c>
      <c r="E682" s="8">
        <v>1282</v>
      </c>
      <c r="F682">
        <v>6</v>
      </c>
      <c r="G682">
        <v>0</v>
      </c>
      <c r="H682" s="8">
        <v>7692</v>
      </c>
      <c r="I682">
        <v>661.9</v>
      </c>
      <c r="J682">
        <v>3720.62</v>
      </c>
      <c r="K682" s="5">
        <f>IF(SalesData[[#This Row],[Total Revenue]]=0,0,SalesData[[#This Row],[Profit]]/SalesData[[#This Row],[Total Revenue]])</f>
        <v>0.48369994799791988</v>
      </c>
      <c r="L682" s="5" t="str">
        <f>TEXT(SalesData[[#This Row],[Date]],"mmm")</f>
        <v>Mar</v>
      </c>
      <c r="M682">
        <f>YEAR(SalesData[[#This Row],[Date]])</f>
        <v>2023</v>
      </c>
      <c r="N682">
        <f>WEEKNUM(SalesData[[#This Row],[Date]])</f>
        <v>10</v>
      </c>
      <c r="O682" t="s">
        <v>2033</v>
      </c>
      <c r="P682" t="s">
        <v>2523</v>
      </c>
      <c r="Q682" t="s">
        <v>2526</v>
      </c>
    </row>
    <row r="683" spans="1:17" x14ac:dyDescent="0.35">
      <c r="A683" t="s">
        <v>1798</v>
      </c>
      <c r="B683" s="3">
        <v>45239</v>
      </c>
      <c r="C683" t="s">
        <v>2019</v>
      </c>
      <c r="D683" t="s">
        <v>2027</v>
      </c>
      <c r="E683" s="8">
        <v>4545</v>
      </c>
      <c r="F683">
        <v>2</v>
      </c>
      <c r="G683">
        <v>15</v>
      </c>
      <c r="H683" s="8">
        <v>7726.5</v>
      </c>
      <c r="I683">
        <v>2613.63</v>
      </c>
      <c r="J683">
        <v>2499.25</v>
      </c>
      <c r="K683" s="5">
        <f>IF(SalesData[[#This Row],[Total Revenue]]=0,0,SalesData[[#This Row],[Profit]]/SalesData[[#This Row],[Total Revenue]])</f>
        <v>0.32346469941111761</v>
      </c>
      <c r="L683" s="5" t="str">
        <f>TEXT(SalesData[[#This Row],[Date]],"mmm")</f>
        <v>Nov</v>
      </c>
      <c r="M683">
        <f>YEAR(SalesData[[#This Row],[Date]])</f>
        <v>2023</v>
      </c>
      <c r="N683">
        <f>WEEKNUM(SalesData[[#This Row],[Date]])</f>
        <v>45</v>
      </c>
      <c r="O683" t="s">
        <v>2060</v>
      </c>
      <c r="P683" t="s">
        <v>2522</v>
      </c>
      <c r="Q683" t="s">
        <v>2525</v>
      </c>
    </row>
    <row r="684" spans="1:17" x14ac:dyDescent="0.35">
      <c r="A684" t="s">
        <v>1716</v>
      </c>
      <c r="B684" s="3">
        <v>44952</v>
      </c>
      <c r="C684" t="s">
        <v>2022</v>
      </c>
      <c r="D684" t="s">
        <v>2024</v>
      </c>
      <c r="E684" s="8">
        <v>4297</v>
      </c>
      <c r="F684">
        <v>2</v>
      </c>
      <c r="G684">
        <v>10</v>
      </c>
      <c r="H684" s="8">
        <v>7734.6</v>
      </c>
      <c r="I684">
        <v>2406.3200000000002</v>
      </c>
      <c r="J684">
        <v>2921.96</v>
      </c>
      <c r="K684" s="5">
        <f>IF(SalesData[[#This Row],[Total Revenue]]=0,0,SalesData[[#This Row],[Profit]]/SalesData[[#This Row],[Total Revenue]])</f>
        <v>0.37777777777777777</v>
      </c>
      <c r="L684" s="5" t="str">
        <f>TEXT(SalesData[[#This Row],[Date]],"mmm")</f>
        <v>Jan</v>
      </c>
      <c r="M684">
        <f>YEAR(SalesData[[#This Row],[Date]])</f>
        <v>2023</v>
      </c>
      <c r="N684">
        <f>WEEKNUM(SalesData[[#This Row],[Date]])</f>
        <v>4</v>
      </c>
      <c r="O684" t="s">
        <v>2355</v>
      </c>
      <c r="P684" t="s">
        <v>2522</v>
      </c>
      <c r="Q684" t="s">
        <v>2527</v>
      </c>
    </row>
    <row r="685" spans="1:17" x14ac:dyDescent="0.35">
      <c r="A685" t="s">
        <v>712</v>
      </c>
      <c r="B685" s="3">
        <v>45155</v>
      </c>
      <c r="C685" t="s">
        <v>2017</v>
      </c>
      <c r="D685" t="s">
        <v>2026</v>
      </c>
      <c r="E685" s="8">
        <v>4073</v>
      </c>
      <c r="F685">
        <v>2</v>
      </c>
      <c r="G685">
        <v>5</v>
      </c>
      <c r="H685" s="8">
        <v>7738.7</v>
      </c>
      <c r="I685">
        <v>2239.19</v>
      </c>
      <c r="J685">
        <v>3260.32</v>
      </c>
      <c r="K685" s="5">
        <f>IF(SalesData[[#This Row],[Total Revenue]]=0,0,SalesData[[#This Row],[Profit]]/SalesData[[#This Row],[Total Revenue]])</f>
        <v>0.42130073526561312</v>
      </c>
      <c r="L685" s="5" t="str">
        <f>TEXT(SalesData[[#This Row],[Date]],"mmm")</f>
        <v>Aug</v>
      </c>
      <c r="M685">
        <f>YEAR(SalesData[[#This Row],[Date]])</f>
        <v>2023</v>
      </c>
      <c r="N685">
        <f>WEEKNUM(SalesData[[#This Row],[Date]])</f>
        <v>33</v>
      </c>
      <c r="O685" t="s">
        <v>2250</v>
      </c>
      <c r="P685" t="s">
        <v>2523</v>
      </c>
      <c r="Q685" t="s">
        <v>2524</v>
      </c>
    </row>
    <row r="686" spans="1:17" x14ac:dyDescent="0.35">
      <c r="A686" t="s">
        <v>1923</v>
      </c>
      <c r="B686" s="3">
        <v>45237</v>
      </c>
      <c r="C686" t="s">
        <v>2016</v>
      </c>
      <c r="D686" t="s">
        <v>2025</v>
      </c>
      <c r="E686" s="8">
        <v>2156</v>
      </c>
      <c r="F686">
        <v>4</v>
      </c>
      <c r="G686">
        <v>10</v>
      </c>
      <c r="H686" s="8">
        <v>7761.6</v>
      </c>
      <c r="I686">
        <v>1154.32</v>
      </c>
      <c r="J686">
        <v>3144.34</v>
      </c>
      <c r="K686" s="5">
        <f>IF(SalesData[[#This Row],[Total Revenue]]=0,0,SalesData[[#This Row],[Profit]]/SalesData[[#This Row],[Total Revenue]])</f>
        <v>0.40511492475778188</v>
      </c>
      <c r="L686" s="5" t="str">
        <f>TEXT(SalesData[[#This Row],[Date]],"mmm")</f>
        <v>Nov</v>
      </c>
      <c r="M686">
        <f>YEAR(SalesData[[#This Row],[Date]])</f>
        <v>2023</v>
      </c>
      <c r="N686">
        <f>WEEKNUM(SalesData[[#This Row],[Date]])</f>
        <v>45</v>
      </c>
      <c r="O686" t="s">
        <v>2190</v>
      </c>
      <c r="P686" t="s">
        <v>2522</v>
      </c>
      <c r="Q686" t="s">
        <v>2525</v>
      </c>
    </row>
    <row r="687" spans="1:17" x14ac:dyDescent="0.35">
      <c r="A687" t="s">
        <v>1495</v>
      </c>
      <c r="B687" s="3">
        <v>45174</v>
      </c>
      <c r="C687" t="s">
        <v>2018</v>
      </c>
      <c r="D687" t="s">
        <v>2026</v>
      </c>
      <c r="E687" s="8">
        <v>3048</v>
      </c>
      <c r="F687">
        <v>3</v>
      </c>
      <c r="G687">
        <v>15</v>
      </c>
      <c r="H687" s="8">
        <v>7772.4</v>
      </c>
      <c r="I687">
        <v>1792.95</v>
      </c>
      <c r="J687">
        <v>2393.5500000000002</v>
      </c>
      <c r="K687" s="5">
        <f>IF(SalesData[[#This Row],[Total Revenue]]=0,0,SalesData[[#This Row],[Profit]]/SalesData[[#This Row],[Total Revenue]])</f>
        <v>0.30795507179249654</v>
      </c>
      <c r="L687" s="5" t="str">
        <f>TEXT(SalesData[[#This Row],[Date]],"mmm")</f>
        <v>Sep</v>
      </c>
      <c r="M687">
        <f>YEAR(SalesData[[#This Row],[Date]])</f>
        <v>2023</v>
      </c>
      <c r="N687">
        <f>WEEKNUM(SalesData[[#This Row],[Date]])</f>
        <v>36</v>
      </c>
      <c r="O687" t="s">
        <v>2056</v>
      </c>
      <c r="P687" t="s">
        <v>2522</v>
      </c>
      <c r="Q687" t="s">
        <v>2527</v>
      </c>
    </row>
    <row r="688" spans="1:17" x14ac:dyDescent="0.35">
      <c r="A688" t="s">
        <v>884</v>
      </c>
      <c r="B688" s="3">
        <v>45080</v>
      </c>
      <c r="C688" t="s">
        <v>2013</v>
      </c>
      <c r="D688" t="s">
        <v>2023</v>
      </c>
      <c r="E688" s="8">
        <v>1944</v>
      </c>
      <c r="F688">
        <v>4</v>
      </c>
      <c r="G688">
        <v>0</v>
      </c>
      <c r="H688" s="8">
        <v>7776</v>
      </c>
      <c r="I688">
        <v>1238.55</v>
      </c>
      <c r="J688">
        <v>2821.78</v>
      </c>
      <c r="K688" s="5">
        <f>IF(SalesData[[#This Row],[Total Revenue]]=0,0,SalesData[[#This Row],[Profit]]/SalesData[[#This Row],[Total Revenue]])</f>
        <v>0.3628832304526749</v>
      </c>
      <c r="L688" s="5" t="str">
        <f>TEXT(SalesData[[#This Row],[Date]],"mmm")</f>
        <v>Jun</v>
      </c>
      <c r="M688">
        <f>YEAR(SalesData[[#This Row],[Date]])</f>
        <v>2023</v>
      </c>
      <c r="N688">
        <f>WEEKNUM(SalesData[[#This Row],[Date]])</f>
        <v>22</v>
      </c>
      <c r="O688" t="s">
        <v>2436</v>
      </c>
      <c r="P688" t="s">
        <v>2522</v>
      </c>
      <c r="Q688" t="s">
        <v>2527</v>
      </c>
    </row>
    <row r="689" spans="1:17" x14ac:dyDescent="0.35">
      <c r="A689" t="s">
        <v>1492</v>
      </c>
      <c r="B689" s="3">
        <v>44978</v>
      </c>
      <c r="C689" t="s">
        <v>2017</v>
      </c>
      <c r="D689" t="s">
        <v>2026</v>
      </c>
      <c r="E689" s="8">
        <v>4575</v>
      </c>
      <c r="F689">
        <v>2</v>
      </c>
      <c r="G689">
        <v>15</v>
      </c>
      <c r="H689" s="8">
        <v>7777.5</v>
      </c>
      <c r="I689">
        <v>2531.12</v>
      </c>
      <c r="J689">
        <v>2715.26</v>
      </c>
      <c r="K689" s="5">
        <f>IF(SalesData[[#This Row],[Total Revenue]]=0,0,SalesData[[#This Row],[Profit]]/SalesData[[#This Row],[Total Revenue]])</f>
        <v>0.34911732561877212</v>
      </c>
      <c r="L689" s="5" t="str">
        <f>TEXT(SalesData[[#This Row],[Date]],"mmm")</f>
        <v>Feb</v>
      </c>
      <c r="M689">
        <f>YEAR(SalesData[[#This Row],[Date]])</f>
        <v>2023</v>
      </c>
      <c r="N689">
        <f>WEEKNUM(SalesData[[#This Row],[Date]])</f>
        <v>8</v>
      </c>
      <c r="O689" t="s">
        <v>2409</v>
      </c>
      <c r="P689" t="s">
        <v>2523</v>
      </c>
      <c r="Q689" t="s">
        <v>2524</v>
      </c>
    </row>
    <row r="690" spans="1:17" x14ac:dyDescent="0.35">
      <c r="A690" t="s">
        <v>1852</v>
      </c>
      <c r="B690" s="3">
        <v>45223</v>
      </c>
      <c r="C690" t="s">
        <v>2017</v>
      </c>
      <c r="D690" t="s">
        <v>2026</v>
      </c>
      <c r="E690" s="8">
        <v>1024</v>
      </c>
      <c r="F690">
        <v>8</v>
      </c>
      <c r="G690">
        <v>5</v>
      </c>
      <c r="H690" s="8">
        <v>7782.4</v>
      </c>
      <c r="I690">
        <v>565.12</v>
      </c>
      <c r="J690">
        <v>3261.46</v>
      </c>
      <c r="K690" s="5">
        <f>IF(SalesData[[#This Row],[Total Revenue]]=0,0,SalesData[[#This Row],[Profit]]/SalesData[[#This Row],[Total Revenue]])</f>
        <v>0.41908151726973686</v>
      </c>
      <c r="L690" s="5" t="str">
        <f>TEXT(SalesData[[#This Row],[Date]],"mmm")</f>
        <v>Oct</v>
      </c>
      <c r="M690">
        <f>YEAR(SalesData[[#This Row],[Date]])</f>
        <v>2023</v>
      </c>
      <c r="N690">
        <f>WEEKNUM(SalesData[[#This Row],[Date]])</f>
        <v>43</v>
      </c>
      <c r="O690" t="s">
        <v>2319</v>
      </c>
      <c r="P690" t="s">
        <v>2523</v>
      </c>
      <c r="Q690" t="s">
        <v>2524</v>
      </c>
    </row>
    <row r="691" spans="1:17" x14ac:dyDescent="0.35">
      <c r="A691" t="s">
        <v>1247</v>
      </c>
      <c r="B691" s="3">
        <v>45006</v>
      </c>
      <c r="C691" t="s">
        <v>2015</v>
      </c>
      <c r="D691" t="s">
        <v>2025</v>
      </c>
      <c r="E691" s="8">
        <v>4597</v>
      </c>
      <c r="F691">
        <v>2</v>
      </c>
      <c r="G691">
        <v>15</v>
      </c>
      <c r="H691" s="8">
        <v>7814.9</v>
      </c>
      <c r="I691">
        <v>2332.5300000000002</v>
      </c>
      <c r="J691">
        <v>3149.85</v>
      </c>
      <c r="K691" s="5">
        <f>IF(SalesData[[#This Row],[Total Revenue]]=0,0,SalesData[[#This Row],[Profit]]/SalesData[[#This Row],[Total Revenue]])</f>
        <v>0.40305698089546893</v>
      </c>
      <c r="L691" s="5" t="str">
        <f>TEXT(SalesData[[#This Row],[Date]],"mmm")</f>
        <v>Mar</v>
      </c>
      <c r="M691">
        <f>YEAR(SalesData[[#This Row],[Date]])</f>
        <v>2023</v>
      </c>
      <c r="N691">
        <f>WEEKNUM(SalesData[[#This Row],[Date]])</f>
        <v>12</v>
      </c>
      <c r="O691" t="s">
        <v>2304</v>
      </c>
      <c r="P691" t="s">
        <v>2522</v>
      </c>
      <c r="Q691" t="s">
        <v>2526</v>
      </c>
    </row>
    <row r="692" spans="1:17" x14ac:dyDescent="0.35">
      <c r="A692" t="s">
        <v>1178</v>
      </c>
      <c r="B692" s="3">
        <v>45025</v>
      </c>
      <c r="C692" t="s">
        <v>2021</v>
      </c>
      <c r="D692" t="s">
        <v>2028</v>
      </c>
      <c r="E692" s="8">
        <v>3065</v>
      </c>
      <c r="F692">
        <v>3</v>
      </c>
      <c r="G692">
        <v>15</v>
      </c>
      <c r="H692" s="8">
        <v>7815.75</v>
      </c>
      <c r="I692">
        <v>1970.02</v>
      </c>
      <c r="J692">
        <v>1905.69</v>
      </c>
      <c r="K692" s="5">
        <f>IF(SalesData[[#This Row],[Total Revenue]]=0,0,SalesData[[#This Row],[Profit]]/SalesData[[#This Row],[Total Revenue]])</f>
        <v>0.24382688801458594</v>
      </c>
      <c r="L692" s="5" t="str">
        <f>TEXT(SalesData[[#This Row],[Date]],"mmm")</f>
        <v>Apr</v>
      </c>
      <c r="M692">
        <f>YEAR(SalesData[[#This Row],[Date]])</f>
        <v>2023</v>
      </c>
      <c r="N692">
        <f>WEEKNUM(SalesData[[#This Row],[Date]])</f>
        <v>15</v>
      </c>
      <c r="O692" t="s">
        <v>2043</v>
      </c>
      <c r="P692" t="s">
        <v>2522</v>
      </c>
      <c r="Q692" t="s">
        <v>2527</v>
      </c>
    </row>
    <row r="693" spans="1:17" x14ac:dyDescent="0.35">
      <c r="A693" t="s">
        <v>1599</v>
      </c>
      <c r="B693" s="3">
        <v>45158</v>
      </c>
      <c r="C693" t="s">
        <v>2021</v>
      </c>
      <c r="D693" t="s">
        <v>2028</v>
      </c>
      <c r="E693" s="8">
        <v>4121</v>
      </c>
      <c r="F693">
        <v>2</v>
      </c>
      <c r="G693">
        <v>5</v>
      </c>
      <c r="H693" s="8">
        <v>7829.9</v>
      </c>
      <c r="I693">
        <v>2928.1</v>
      </c>
      <c r="J693">
        <v>1973.7</v>
      </c>
      <c r="K693" s="5">
        <f>IF(SalesData[[#This Row],[Total Revenue]]=0,0,SalesData[[#This Row],[Profit]]/SalesData[[#This Row],[Total Revenue]])</f>
        <v>0.25207218482994675</v>
      </c>
      <c r="L693" s="5" t="str">
        <f>TEXT(SalesData[[#This Row],[Date]],"mmm")</f>
        <v>Aug</v>
      </c>
      <c r="M693">
        <f>YEAR(SalesData[[#This Row],[Date]])</f>
        <v>2023</v>
      </c>
      <c r="N693">
        <f>WEEKNUM(SalesData[[#This Row],[Date]])</f>
        <v>34</v>
      </c>
      <c r="O693" t="s">
        <v>2176</v>
      </c>
      <c r="P693" t="s">
        <v>2523</v>
      </c>
      <c r="Q693" t="s">
        <v>2526</v>
      </c>
    </row>
    <row r="694" spans="1:17" x14ac:dyDescent="0.35">
      <c r="A694" t="s">
        <v>1316</v>
      </c>
      <c r="B694" s="3">
        <v>44991</v>
      </c>
      <c r="C694" t="s">
        <v>2016</v>
      </c>
      <c r="D694" t="s">
        <v>2025</v>
      </c>
      <c r="E694" s="8">
        <v>3915</v>
      </c>
      <c r="F694">
        <v>2</v>
      </c>
      <c r="G694">
        <v>0</v>
      </c>
      <c r="H694" s="8">
        <v>7830</v>
      </c>
      <c r="I694">
        <v>2692.99</v>
      </c>
      <c r="J694">
        <v>2444.02</v>
      </c>
      <c r="K694" s="5">
        <f>IF(SalesData[[#This Row],[Total Revenue]]=0,0,SalesData[[#This Row],[Profit]]/SalesData[[#This Row],[Total Revenue]])</f>
        <v>0.3121353767560664</v>
      </c>
      <c r="L694" s="5" t="str">
        <f>TEXT(SalesData[[#This Row],[Date]],"mmm")</f>
        <v>Mar</v>
      </c>
      <c r="M694">
        <f>YEAR(SalesData[[#This Row],[Date]])</f>
        <v>2023</v>
      </c>
      <c r="N694">
        <f>WEEKNUM(SalesData[[#This Row],[Date]])</f>
        <v>10</v>
      </c>
      <c r="O694" t="s">
        <v>2135</v>
      </c>
      <c r="P694" t="s">
        <v>2523</v>
      </c>
      <c r="Q694" t="s">
        <v>2524</v>
      </c>
    </row>
    <row r="695" spans="1:17" x14ac:dyDescent="0.35">
      <c r="A695" t="s">
        <v>1517</v>
      </c>
      <c r="B695" s="3">
        <v>44935</v>
      </c>
      <c r="C695" t="s">
        <v>2014</v>
      </c>
      <c r="D695" t="s">
        <v>2024</v>
      </c>
      <c r="E695" s="8">
        <v>1958</v>
      </c>
      <c r="F695">
        <v>4</v>
      </c>
      <c r="G695">
        <v>0</v>
      </c>
      <c r="H695" s="8">
        <v>7832</v>
      </c>
      <c r="I695">
        <v>1231.5</v>
      </c>
      <c r="J695">
        <v>2906</v>
      </c>
      <c r="K695" s="5">
        <f>IF(SalesData[[#This Row],[Total Revenue]]=0,0,SalesData[[#This Row],[Profit]]/SalesData[[#This Row],[Total Revenue]])</f>
        <v>0.37104187946884576</v>
      </c>
      <c r="L695" s="5" t="str">
        <f>TEXT(SalesData[[#This Row],[Date]],"mmm")</f>
        <v>Jan</v>
      </c>
      <c r="M695">
        <f>YEAR(SalesData[[#This Row],[Date]])</f>
        <v>2023</v>
      </c>
      <c r="N695">
        <f>WEEKNUM(SalesData[[#This Row],[Date]])</f>
        <v>2</v>
      </c>
      <c r="O695" t="s">
        <v>2470</v>
      </c>
      <c r="P695" t="s">
        <v>2522</v>
      </c>
      <c r="Q695" t="s">
        <v>2524</v>
      </c>
    </row>
    <row r="696" spans="1:17" x14ac:dyDescent="0.35">
      <c r="A696" t="s">
        <v>1193</v>
      </c>
      <c r="B696" s="3">
        <v>45205</v>
      </c>
      <c r="C696" t="s">
        <v>2019</v>
      </c>
      <c r="D696" t="s">
        <v>2027</v>
      </c>
      <c r="E696" s="8">
        <v>922</v>
      </c>
      <c r="F696">
        <v>10</v>
      </c>
      <c r="G696">
        <v>15</v>
      </c>
      <c r="H696" s="8">
        <v>7837</v>
      </c>
      <c r="I696">
        <v>672.72</v>
      </c>
      <c r="J696">
        <v>1109.77</v>
      </c>
      <c r="K696" s="5">
        <f>IF(SalesData[[#This Row],[Total Revenue]]=0,0,SalesData[[#This Row],[Profit]]/SalesData[[#This Row],[Total Revenue]])</f>
        <v>0.14160648207222151</v>
      </c>
      <c r="L696" s="5" t="str">
        <f>TEXT(SalesData[[#This Row],[Date]],"mmm")</f>
        <v>Oct</v>
      </c>
      <c r="M696">
        <f>YEAR(SalesData[[#This Row],[Date]])</f>
        <v>2023</v>
      </c>
      <c r="N696">
        <f>WEEKNUM(SalesData[[#This Row],[Date]])</f>
        <v>40</v>
      </c>
      <c r="O696" t="s">
        <v>2086</v>
      </c>
      <c r="P696" t="s">
        <v>2522</v>
      </c>
      <c r="Q696" t="s">
        <v>2525</v>
      </c>
    </row>
    <row r="697" spans="1:17" x14ac:dyDescent="0.35">
      <c r="A697" t="s">
        <v>319</v>
      </c>
      <c r="B697" s="3">
        <v>44938</v>
      </c>
      <c r="C697" t="s">
        <v>2014</v>
      </c>
      <c r="D697" t="s">
        <v>2024</v>
      </c>
      <c r="E697" s="8">
        <v>987</v>
      </c>
      <c r="F697">
        <v>8</v>
      </c>
      <c r="G697">
        <v>0</v>
      </c>
      <c r="H697" s="8">
        <v>7896</v>
      </c>
      <c r="I697">
        <v>546.41</v>
      </c>
      <c r="J697">
        <v>3524.71</v>
      </c>
      <c r="K697" s="5">
        <f>IF(SalesData[[#This Row],[Total Revenue]]=0,0,SalesData[[#This Row],[Profit]]/SalesData[[#This Row],[Total Revenue]])</f>
        <v>0.44639184397163123</v>
      </c>
      <c r="L697" s="5" t="str">
        <f>TEXT(SalesData[[#This Row],[Date]],"mmm")</f>
        <v>Jan</v>
      </c>
      <c r="M697">
        <f>YEAR(SalesData[[#This Row],[Date]])</f>
        <v>2023</v>
      </c>
      <c r="N697">
        <f>WEEKNUM(SalesData[[#This Row],[Date]])</f>
        <v>2</v>
      </c>
      <c r="O697" t="s">
        <v>2115</v>
      </c>
      <c r="P697" t="s">
        <v>2523</v>
      </c>
      <c r="Q697" t="s">
        <v>2525</v>
      </c>
    </row>
    <row r="698" spans="1:17" x14ac:dyDescent="0.35">
      <c r="A698" t="s">
        <v>684</v>
      </c>
      <c r="B698" s="3">
        <v>45171</v>
      </c>
      <c r="C698" t="s">
        <v>2020</v>
      </c>
      <c r="D698" t="s">
        <v>2028</v>
      </c>
      <c r="E698" s="8">
        <v>2078</v>
      </c>
      <c r="F698">
        <v>4</v>
      </c>
      <c r="G698">
        <v>5</v>
      </c>
      <c r="H698" s="8">
        <v>7896.4</v>
      </c>
      <c r="I698">
        <v>1285.82</v>
      </c>
      <c r="J698">
        <v>2753.11</v>
      </c>
      <c r="K698" s="5">
        <f>IF(SalesData[[#This Row],[Total Revenue]]=0,0,SalesData[[#This Row],[Profit]]/SalesData[[#This Row],[Total Revenue]])</f>
        <v>0.34865381692923358</v>
      </c>
      <c r="L698" s="5" t="str">
        <f>TEXT(SalesData[[#This Row],[Date]],"mmm")</f>
        <v>Sep</v>
      </c>
      <c r="M698">
        <f>YEAR(SalesData[[#This Row],[Date]])</f>
        <v>2023</v>
      </c>
      <c r="N698">
        <f>WEEKNUM(SalesData[[#This Row],[Date]])</f>
        <v>35</v>
      </c>
      <c r="O698" t="s">
        <v>2368</v>
      </c>
      <c r="P698" t="s">
        <v>2523</v>
      </c>
      <c r="Q698" t="s">
        <v>2525</v>
      </c>
    </row>
    <row r="699" spans="1:17" x14ac:dyDescent="0.35">
      <c r="A699" t="s">
        <v>612</v>
      </c>
      <c r="B699" s="3">
        <v>45022</v>
      </c>
      <c r="C699" t="s">
        <v>2015</v>
      </c>
      <c r="D699" t="s">
        <v>2025</v>
      </c>
      <c r="E699" s="8">
        <v>3103</v>
      </c>
      <c r="F699">
        <v>3</v>
      </c>
      <c r="G699">
        <v>15</v>
      </c>
      <c r="H699" s="8">
        <v>7912.65</v>
      </c>
      <c r="I699">
        <v>1877.07</v>
      </c>
      <c r="J699">
        <v>2281.4299999999998</v>
      </c>
      <c r="K699" s="5">
        <f>IF(SalesData[[#This Row],[Total Revenue]]=0,0,SalesData[[#This Row],[Profit]]/SalesData[[#This Row],[Total Revenue]])</f>
        <v>0.28832691955286788</v>
      </c>
      <c r="L699" s="5" t="str">
        <f>TEXT(SalesData[[#This Row],[Date]],"mmm")</f>
        <v>Apr</v>
      </c>
      <c r="M699">
        <f>YEAR(SalesData[[#This Row],[Date]])</f>
        <v>2023</v>
      </c>
      <c r="N699">
        <f>WEEKNUM(SalesData[[#This Row],[Date]])</f>
        <v>14</v>
      </c>
      <c r="O699" t="s">
        <v>2374</v>
      </c>
      <c r="P699" t="s">
        <v>2523</v>
      </c>
      <c r="Q699" t="s">
        <v>2527</v>
      </c>
    </row>
    <row r="700" spans="1:17" x14ac:dyDescent="0.35">
      <c r="A700" t="s">
        <v>1549</v>
      </c>
      <c r="B700" s="3">
        <v>45189</v>
      </c>
      <c r="C700" t="s">
        <v>2016</v>
      </c>
      <c r="D700" t="s">
        <v>2025</v>
      </c>
      <c r="E700" s="8">
        <v>3963</v>
      </c>
      <c r="F700">
        <v>2</v>
      </c>
      <c r="G700">
        <v>0</v>
      </c>
      <c r="H700" s="8">
        <v>7926</v>
      </c>
      <c r="I700">
        <v>2617.2600000000002</v>
      </c>
      <c r="J700">
        <v>2691.47</v>
      </c>
      <c r="K700" s="5">
        <f>IF(SalesData[[#This Row],[Total Revenue]]=0,0,SalesData[[#This Row],[Profit]]/SalesData[[#This Row],[Total Revenue]])</f>
        <v>0.33957481705778447</v>
      </c>
      <c r="L700" s="5" t="str">
        <f>TEXT(SalesData[[#This Row],[Date]],"mmm")</f>
        <v>Sep</v>
      </c>
      <c r="M700">
        <f>YEAR(SalesData[[#This Row],[Date]])</f>
        <v>2023</v>
      </c>
      <c r="N700">
        <f>WEEKNUM(SalesData[[#This Row],[Date]])</f>
        <v>38</v>
      </c>
      <c r="O700" t="s">
        <v>2193</v>
      </c>
      <c r="P700" t="s">
        <v>2523</v>
      </c>
      <c r="Q700" t="s">
        <v>2524</v>
      </c>
    </row>
    <row r="701" spans="1:17" x14ac:dyDescent="0.35">
      <c r="A701" t="s">
        <v>1759</v>
      </c>
      <c r="B701" s="3">
        <v>44935</v>
      </c>
      <c r="C701" t="s">
        <v>2013</v>
      </c>
      <c r="D701" t="s">
        <v>2023</v>
      </c>
      <c r="E701" s="8">
        <v>3973</v>
      </c>
      <c r="F701">
        <v>2</v>
      </c>
      <c r="G701">
        <v>0</v>
      </c>
      <c r="H701" s="8">
        <v>7946</v>
      </c>
      <c r="I701">
        <v>2580.91</v>
      </c>
      <c r="J701">
        <v>2784.18</v>
      </c>
      <c r="K701" s="5">
        <f>IF(SalesData[[#This Row],[Total Revenue]]=0,0,SalesData[[#This Row],[Profit]]/SalesData[[#This Row],[Total Revenue]])</f>
        <v>0.35038761641077271</v>
      </c>
      <c r="L701" s="5" t="str">
        <f>TEXT(SalesData[[#This Row],[Date]],"mmm")</f>
        <v>Jan</v>
      </c>
      <c r="M701">
        <f>YEAR(SalesData[[#This Row],[Date]])</f>
        <v>2023</v>
      </c>
      <c r="N701">
        <f>WEEKNUM(SalesData[[#This Row],[Date]])</f>
        <v>2</v>
      </c>
      <c r="O701" t="s">
        <v>2223</v>
      </c>
      <c r="P701" t="s">
        <v>2523</v>
      </c>
      <c r="Q701" t="s">
        <v>2525</v>
      </c>
    </row>
    <row r="702" spans="1:17" x14ac:dyDescent="0.35">
      <c r="A702" t="s">
        <v>1833</v>
      </c>
      <c r="B702" s="3">
        <v>45073</v>
      </c>
      <c r="C702" t="s">
        <v>2013</v>
      </c>
      <c r="D702" t="s">
        <v>2023</v>
      </c>
      <c r="E702" s="8">
        <v>2654</v>
      </c>
      <c r="F702">
        <v>3</v>
      </c>
      <c r="G702">
        <v>0</v>
      </c>
      <c r="H702" s="8">
        <v>7962</v>
      </c>
      <c r="I702">
        <v>1625.13</v>
      </c>
      <c r="J702">
        <v>3086.62</v>
      </c>
      <c r="K702" s="5">
        <f>IF(SalesData[[#This Row],[Total Revenue]]=0,0,SalesData[[#This Row],[Profit]]/SalesData[[#This Row],[Total Revenue]])</f>
        <v>0.38766892740517456</v>
      </c>
      <c r="L702" s="5" t="str">
        <f>TEXT(SalesData[[#This Row],[Date]],"mmm")</f>
        <v>May</v>
      </c>
      <c r="M702">
        <f>YEAR(SalesData[[#This Row],[Date]])</f>
        <v>2023</v>
      </c>
      <c r="N702">
        <f>WEEKNUM(SalesData[[#This Row],[Date]])</f>
        <v>21</v>
      </c>
      <c r="O702" t="s">
        <v>2430</v>
      </c>
      <c r="P702" t="s">
        <v>2523</v>
      </c>
      <c r="Q702" t="s">
        <v>2525</v>
      </c>
    </row>
    <row r="703" spans="1:17" x14ac:dyDescent="0.35">
      <c r="A703" t="s">
        <v>423</v>
      </c>
      <c r="B703" s="3">
        <v>45053</v>
      </c>
      <c r="C703" t="s">
        <v>2022</v>
      </c>
      <c r="D703" t="s">
        <v>2024</v>
      </c>
      <c r="E703" s="8">
        <v>1476</v>
      </c>
      <c r="F703">
        <v>6</v>
      </c>
      <c r="G703">
        <v>10</v>
      </c>
      <c r="H703" s="8">
        <v>7970.4</v>
      </c>
      <c r="I703">
        <v>784.41</v>
      </c>
      <c r="J703">
        <v>3263.92</v>
      </c>
      <c r="K703" s="5">
        <f>IF(SalesData[[#This Row],[Total Revenue]]=0,0,SalesData[[#This Row],[Profit]]/SalesData[[#This Row],[Total Revenue]])</f>
        <v>0.40950516912576534</v>
      </c>
      <c r="L703" s="5" t="str">
        <f>TEXT(SalesData[[#This Row],[Date]],"mmm")</f>
        <v>May</v>
      </c>
      <c r="M703">
        <f>YEAR(SalesData[[#This Row],[Date]])</f>
        <v>2023</v>
      </c>
      <c r="N703">
        <f>WEEKNUM(SalesData[[#This Row],[Date]])</f>
        <v>19</v>
      </c>
      <c r="O703" t="s">
        <v>2307</v>
      </c>
      <c r="P703" t="s">
        <v>2523</v>
      </c>
      <c r="Q703" t="s">
        <v>2524</v>
      </c>
    </row>
    <row r="704" spans="1:17" x14ac:dyDescent="0.35">
      <c r="A704" t="s">
        <v>1226</v>
      </c>
      <c r="B704" s="3">
        <v>45214</v>
      </c>
      <c r="C704" t="s">
        <v>2020</v>
      </c>
      <c r="D704" t="s">
        <v>2028</v>
      </c>
      <c r="E704" s="8">
        <v>4197</v>
      </c>
      <c r="F704">
        <v>2</v>
      </c>
      <c r="G704">
        <v>5</v>
      </c>
      <c r="H704" s="8">
        <v>7974.3</v>
      </c>
      <c r="I704">
        <v>2655.3</v>
      </c>
      <c r="J704">
        <v>2663.7</v>
      </c>
      <c r="K704" s="5">
        <f>IF(SalesData[[#This Row],[Total Revenue]]=0,0,SalesData[[#This Row],[Profit]]/SalesData[[#This Row],[Total Revenue]])</f>
        <v>0.33403558933072491</v>
      </c>
      <c r="L704" s="5" t="str">
        <f>TEXT(SalesData[[#This Row],[Date]],"mmm")</f>
        <v>Oct</v>
      </c>
      <c r="M704">
        <f>YEAR(SalesData[[#This Row],[Date]])</f>
        <v>2023</v>
      </c>
      <c r="N704">
        <f>WEEKNUM(SalesData[[#This Row],[Date]])</f>
        <v>42</v>
      </c>
      <c r="O704" t="s">
        <v>2365</v>
      </c>
      <c r="P704" t="s">
        <v>2522</v>
      </c>
      <c r="Q704" t="s">
        <v>2526</v>
      </c>
    </row>
    <row r="705" spans="1:17" x14ac:dyDescent="0.35">
      <c r="A705" t="s">
        <v>842</v>
      </c>
      <c r="B705" s="3">
        <v>45212</v>
      </c>
      <c r="C705" t="s">
        <v>2015</v>
      </c>
      <c r="D705" t="s">
        <v>2025</v>
      </c>
      <c r="E705" s="8">
        <v>887</v>
      </c>
      <c r="F705">
        <v>9</v>
      </c>
      <c r="G705">
        <v>0</v>
      </c>
      <c r="H705" s="8">
        <v>7983</v>
      </c>
      <c r="I705">
        <v>664.78</v>
      </c>
      <c r="J705">
        <v>1999.96</v>
      </c>
      <c r="K705" s="5">
        <f>IF(SalesData[[#This Row],[Total Revenue]]=0,0,SalesData[[#This Row],[Profit]]/SalesData[[#This Row],[Total Revenue]])</f>
        <v>0.25052737066265818</v>
      </c>
      <c r="L705" s="5" t="str">
        <f>TEXT(SalesData[[#This Row],[Date]],"mmm")</f>
        <v>Oct</v>
      </c>
      <c r="M705">
        <f>YEAR(SalesData[[#This Row],[Date]])</f>
        <v>2023</v>
      </c>
      <c r="N705">
        <f>WEEKNUM(SalesData[[#This Row],[Date]])</f>
        <v>41</v>
      </c>
      <c r="O705" t="s">
        <v>2235</v>
      </c>
      <c r="P705" t="s">
        <v>2523</v>
      </c>
      <c r="Q705" t="s">
        <v>2527</v>
      </c>
    </row>
    <row r="706" spans="1:17" x14ac:dyDescent="0.35">
      <c r="A706" t="s">
        <v>834</v>
      </c>
      <c r="B706" s="3">
        <v>45077</v>
      </c>
      <c r="C706" t="s">
        <v>2017</v>
      </c>
      <c r="D706" t="s">
        <v>2026</v>
      </c>
      <c r="E706" s="8">
        <v>4441</v>
      </c>
      <c r="F706">
        <v>2</v>
      </c>
      <c r="G706">
        <v>10</v>
      </c>
      <c r="H706" s="8">
        <v>7993.8</v>
      </c>
      <c r="I706">
        <v>2505.83</v>
      </c>
      <c r="J706">
        <v>2982.14</v>
      </c>
      <c r="K706" s="5">
        <f>IF(SalesData[[#This Row],[Total Revenue]]=0,0,SalesData[[#This Row],[Profit]]/SalesData[[#This Row],[Total Revenue]])</f>
        <v>0.37305661887963171</v>
      </c>
      <c r="L706" s="5" t="str">
        <f>TEXT(SalesData[[#This Row],[Date]],"mmm")</f>
        <v>May</v>
      </c>
      <c r="M706">
        <f>YEAR(SalesData[[#This Row],[Date]])</f>
        <v>2023</v>
      </c>
      <c r="N706">
        <f>WEEKNUM(SalesData[[#This Row],[Date]])</f>
        <v>22</v>
      </c>
      <c r="O706" t="s">
        <v>2244</v>
      </c>
      <c r="P706" t="s">
        <v>2523</v>
      </c>
      <c r="Q706" t="s">
        <v>2526</v>
      </c>
    </row>
    <row r="707" spans="1:17" x14ac:dyDescent="0.35">
      <c r="A707" t="s">
        <v>1132</v>
      </c>
      <c r="B707" s="3">
        <v>44937</v>
      </c>
      <c r="C707" t="s">
        <v>2019</v>
      </c>
      <c r="D707" t="s">
        <v>2027</v>
      </c>
      <c r="E707" s="8">
        <v>4013</v>
      </c>
      <c r="F707">
        <v>2</v>
      </c>
      <c r="G707">
        <v>0</v>
      </c>
      <c r="H707" s="8">
        <v>8026</v>
      </c>
      <c r="I707">
        <v>2657.97</v>
      </c>
      <c r="J707">
        <v>2710.07</v>
      </c>
      <c r="K707" s="5">
        <f>IF(SalesData[[#This Row],[Total Revenue]]=0,0,SalesData[[#This Row],[Profit]]/SalesData[[#This Row],[Total Revenue]])</f>
        <v>0.33766135061051583</v>
      </c>
      <c r="L707" s="5" t="str">
        <f>TEXT(SalesData[[#This Row],[Date]],"mmm")</f>
        <v>Jan</v>
      </c>
      <c r="M707">
        <f>YEAR(SalesData[[#This Row],[Date]])</f>
        <v>2023</v>
      </c>
      <c r="N707">
        <f>WEEKNUM(SalesData[[#This Row],[Date]])</f>
        <v>2</v>
      </c>
      <c r="O707" t="s">
        <v>2474</v>
      </c>
      <c r="P707" t="s">
        <v>2523</v>
      </c>
      <c r="Q707" t="s">
        <v>2526</v>
      </c>
    </row>
    <row r="708" spans="1:17" x14ac:dyDescent="0.35">
      <c r="A708" t="s">
        <v>1631</v>
      </c>
      <c r="B708" s="3">
        <v>45041</v>
      </c>
      <c r="C708" t="s">
        <v>2017</v>
      </c>
      <c r="D708" t="s">
        <v>2026</v>
      </c>
      <c r="E708" s="8">
        <v>3148</v>
      </c>
      <c r="F708">
        <v>3</v>
      </c>
      <c r="G708">
        <v>15</v>
      </c>
      <c r="H708" s="8">
        <v>8027.4</v>
      </c>
      <c r="I708">
        <v>1668.49</v>
      </c>
      <c r="J708">
        <v>3021.94</v>
      </c>
      <c r="K708" s="5">
        <f>IF(SalesData[[#This Row],[Total Revenue]]=0,0,SalesData[[#This Row],[Profit]]/SalesData[[#This Row],[Total Revenue]])</f>
        <v>0.37645314796820889</v>
      </c>
      <c r="L708" s="5" t="str">
        <f>TEXT(SalesData[[#This Row],[Date]],"mmm")</f>
        <v>Apr</v>
      </c>
      <c r="M708">
        <f>YEAR(SalesData[[#This Row],[Date]])</f>
        <v>2023</v>
      </c>
      <c r="N708">
        <f>WEEKNUM(SalesData[[#This Row],[Date]])</f>
        <v>17</v>
      </c>
      <c r="O708" t="s">
        <v>2096</v>
      </c>
      <c r="P708" t="s">
        <v>2523</v>
      </c>
      <c r="Q708" t="s">
        <v>2527</v>
      </c>
    </row>
    <row r="709" spans="1:17" x14ac:dyDescent="0.35">
      <c r="A709" t="s">
        <v>1954</v>
      </c>
      <c r="B709" s="3">
        <v>44932</v>
      </c>
      <c r="C709" t="s">
        <v>2013</v>
      </c>
      <c r="D709" t="s">
        <v>2023</v>
      </c>
      <c r="E709" s="8">
        <v>2822</v>
      </c>
      <c r="F709">
        <v>3</v>
      </c>
      <c r="G709">
        <v>5</v>
      </c>
      <c r="H709" s="8">
        <v>8042.7</v>
      </c>
      <c r="I709">
        <v>1928.93</v>
      </c>
      <c r="J709">
        <v>2255.92</v>
      </c>
      <c r="K709" s="5">
        <f>IF(SalesData[[#This Row],[Total Revenue]]=0,0,SalesData[[#This Row],[Profit]]/SalesData[[#This Row],[Total Revenue]])</f>
        <v>0.28049286931005757</v>
      </c>
      <c r="L709" s="5" t="str">
        <f>TEXT(SalesData[[#This Row],[Date]],"mmm")</f>
        <v>Jan</v>
      </c>
      <c r="M709">
        <f>YEAR(SalesData[[#This Row],[Date]])</f>
        <v>2023</v>
      </c>
      <c r="N709">
        <f>WEEKNUM(SalesData[[#This Row],[Date]])</f>
        <v>1</v>
      </c>
      <c r="O709" t="s">
        <v>2282</v>
      </c>
      <c r="P709" t="s">
        <v>2523</v>
      </c>
      <c r="Q709" t="s">
        <v>2526</v>
      </c>
    </row>
    <row r="710" spans="1:17" x14ac:dyDescent="0.35">
      <c r="A710" t="s">
        <v>1290</v>
      </c>
      <c r="B710" s="3">
        <v>45279</v>
      </c>
      <c r="C710" t="s">
        <v>2021</v>
      </c>
      <c r="D710" t="s">
        <v>2028</v>
      </c>
      <c r="E710" s="8">
        <v>4478</v>
      </c>
      <c r="F710">
        <v>2</v>
      </c>
      <c r="G710">
        <v>10</v>
      </c>
      <c r="H710" s="8">
        <v>8060.4</v>
      </c>
      <c r="I710">
        <v>3450.34</v>
      </c>
      <c r="J710">
        <v>1159.73</v>
      </c>
      <c r="K710" s="5">
        <f>IF(SalesData[[#This Row],[Total Revenue]]=0,0,SalesData[[#This Row],[Profit]]/SalesData[[#This Row],[Total Revenue]])</f>
        <v>0.14387995632971071</v>
      </c>
      <c r="L710" s="5" t="str">
        <f>TEXT(SalesData[[#This Row],[Date]],"mmm")</f>
        <v>Dec</v>
      </c>
      <c r="M710">
        <f>YEAR(SalesData[[#This Row],[Date]])</f>
        <v>2023</v>
      </c>
      <c r="N710">
        <f>WEEKNUM(SalesData[[#This Row],[Date]])</f>
        <v>51</v>
      </c>
      <c r="O710" t="s">
        <v>2174</v>
      </c>
      <c r="P710" t="s">
        <v>2522</v>
      </c>
      <c r="Q710" t="s">
        <v>2524</v>
      </c>
    </row>
    <row r="711" spans="1:17" x14ac:dyDescent="0.35">
      <c r="A711" t="s">
        <v>1201</v>
      </c>
      <c r="B711" s="3">
        <v>45001</v>
      </c>
      <c r="C711" t="s">
        <v>2017</v>
      </c>
      <c r="D711" t="s">
        <v>2026</v>
      </c>
      <c r="E711" s="8">
        <v>1357</v>
      </c>
      <c r="F711">
        <v>7</v>
      </c>
      <c r="G711">
        <v>15</v>
      </c>
      <c r="H711" s="8">
        <v>8074.15</v>
      </c>
      <c r="I711">
        <v>833.8</v>
      </c>
      <c r="J711">
        <v>2237.5700000000002</v>
      </c>
      <c r="K711" s="5">
        <f>IF(SalesData[[#This Row],[Total Revenue]]=0,0,SalesData[[#This Row],[Profit]]/SalesData[[#This Row],[Total Revenue]])</f>
        <v>0.2771276233411567</v>
      </c>
      <c r="L711" s="5" t="str">
        <f>TEXT(SalesData[[#This Row],[Date]],"mmm")</f>
        <v>Mar</v>
      </c>
      <c r="M711">
        <f>YEAR(SalesData[[#This Row],[Date]])</f>
        <v>2023</v>
      </c>
      <c r="N711">
        <f>WEEKNUM(SalesData[[#This Row],[Date]])</f>
        <v>11</v>
      </c>
      <c r="O711" t="s">
        <v>2384</v>
      </c>
      <c r="P711" t="s">
        <v>2523</v>
      </c>
      <c r="Q711" t="s">
        <v>2527</v>
      </c>
    </row>
    <row r="712" spans="1:17" x14ac:dyDescent="0.35">
      <c r="A712" t="s">
        <v>396</v>
      </c>
      <c r="B712" s="3">
        <v>45235</v>
      </c>
      <c r="C712" t="s">
        <v>2013</v>
      </c>
      <c r="D712" t="s">
        <v>2023</v>
      </c>
      <c r="E712" s="8">
        <v>898</v>
      </c>
      <c r="F712">
        <v>10</v>
      </c>
      <c r="G712">
        <v>10</v>
      </c>
      <c r="H712" s="8">
        <v>8082</v>
      </c>
      <c r="I712">
        <v>603.05999999999995</v>
      </c>
      <c r="J712">
        <v>2051.38</v>
      </c>
      <c r="K712" s="5">
        <f>IF(SalesData[[#This Row],[Total Revenue]]=0,0,SalesData[[#This Row],[Profit]]/SalesData[[#This Row],[Total Revenue]])</f>
        <v>0.25382083642662706</v>
      </c>
      <c r="L712" s="5" t="str">
        <f>TEXT(SalesData[[#This Row],[Date]],"mmm")</f>
        <v>Nov</v>
      </c>
      <c r="M712">
        <f>YEAR(SalesData[[#This Row],[Date]])</f>
        <v>2023</v>
      </c>
      <c r="N712">
        <f>WEEKNUM(SalesData[[#This Row],[Date]])</f>
        <v>45</v>
      </c>
      <c r="O712" t="s">
        <v>2158</v>
      </c>
      <c r="P712" t="s">
        <v>2522</v>
      </c>
      <c r="Q712" t="s">
        <v>2525</v>
      </c>
    </row>
    <row r="713" spans="1:17" x14ac:dyDescent="0.35">
      <c r="A713" t="s">
        <v>660</v>
      </c>
      <c r="B713" s="3">
        <v>45255</v>
      </c>
      <c r="C713" t="s">
        <v>2016</v>
      </c>
      <c r="D713" t="s">
        <v>2025</v>
      </c>
      <c r="E713" s="8">
        <v>2132</v>
      </c>
      <c r="F713">
        <v>4</v>
      </c>
      <c r="G713">
        <v>5</v>
      </c>
      <c r="H713" s="8">
        <v>8101.6</v>
      </c>
      <c r="I713">
        <v>1583.88</v>
      </c>
      <c r="J713">
        <v>1766.08</v>
      </c>
      <c r="K713" s="5">
        <f>IF(SalesData[[#This Row],[Total Revenue]]=0,0,SalesData[[#This Row],[Profit]]/SalesData[[#This Row],[Total Revenue]])</f>
        <v>0.21799150785030116</v>
      </c>
      <c r="L713" s="5" t="str">
        <f>TEXT(SalesData[[#This Row],[Date]],"mmm")</f>
        <v>Nov</v>
      </c>
      <c r="M713">
        <f>YEAR(SalesData[[#This Row],[Date]])</f>
        <v>2023</v>
      </c>
      <c r="N713">
        <f>WEEKNUM(SalesData[[#This Row],[Date]])</f>
        <v>47</v>
      </c>
      <c r="O713" t="s">
        <v>2171</v>
      </c>
      <c r="P713" t="s">
        <v>2522</v>
      </c>
      <c r="Q713" t="s">
        <v>2524</v>
      </c>
    </row>
    <row r="714" spans="1:17" x14ac:dyDescent="0.35">
      <c r="A714" t="s">
        <v>181</v>
      </c>
      <c r="B714" s="3">
        <v>44998</v>
      </c>
      <c r="C714" t="s">
        <v>2021</v>
      </c>
      <c r="D714" t="s">
        <v>2028</v>
      </c>
      <c r="E714" s="8">
        <v>4053</v>
      </c>
      <c r="F714">
        <v>2</v>
      </c>
      <c r="G714">
        <v>0</v>
      </c>
      <c r="H714" s="8">
        <v>8106</v>
      </c>
      <c r="I714">
        <v>2340.0500000000002</v>
      </c>
      <c r="J714">
        <v>3425.9</v>
      </c>
      <c r="K714" s="5">
        <f>IF(SalesData[[#This Row],[Total Revenue]]=0,0,SalesData[[#This Row],[Profit]]/SalesData[[#This Row],[Total Revenue]])</f>
        <v>0.42263755243029855</v>
      </c>
      <c r="L714" s="5" t="str">
        <f>TEXT(SalesData[[#This Row],[Date]],"mmm")</f>
        <v>Mar</v>
      </c>
      <c r="M714">
        <f>YEAR(SalesData[[#This Row],[Date]])</f>
        <v>2023</v>
      </c>
      <c r="N714">
        <f>WEEKNUM(SalesData[[#This Row],[Date]])</f>
        <v>11</v>
      </c>
      <c r="O714" t="s">
        <v>2174</v>
      </c>
      <c r="P714" t="s">
        <v>2522</v>
      </c>
      <c r="Q714" t="s">
        <v>2524</v>
      </c>
    </row>
    <row r="715" spans="1:17" x14ac:dyDescent="0.35">
      <c r="A715" t="s">
        <v>463</v>
      </c>
      <c r="B715" s="3">
        <v>45166</v>
      </c>
      <c r="C715" t="s">
        <v>2022</v>
      </c>
      <c r="D715" t="s">
        <v>2024</v>
      </c>
      <c r="E715" s="8">
        <v>4267</v>
      </c>
      <c r="F715">
        <v>2</v>
      </c>
      <c r="G715">
        <v>5</v>
      </c>
      <c r="H715" s="8">
        <v>8107.3</v>
      </c>
      <c r="I715">
        <v>2905.71</v>
      </c>
      <c r="J715">
        <v>2295.88</v>
      </c>
      <c r="K715" s="5">
        <f>IF(SalesData[[#This Row],[Total Revenue]]=0,0,SalesData[[#This Row],[Profit]]/SalesData[[#This Row],[Total Revenue]])</f>
        <v>0.28318675761350881</v>
      </c>
      <c r="L715" s="5" t="str">
        <f>TEXT(SalesData[[#This Row],[Date]],"mmm")</f>
        <v>Aug</v>
      </c>
      <c r="M715">
        <f>YEAR(SalesData[[#This Row],[Date]])</f>
        <v>2023</v>
      </c>
      <c r="N715">
        <f>WEEKNUM(SalesData[[#This Row],[Date]])</f>
        <v>35</v>
      </c>
      <c r="O715" t="s">
        <v>2321</v>
      </c>
      <c r="P715" t="s">
        <v>2523</v>
      </c>
      <c r="Q715" t="s">
        <v>2527</v>
      </c>
    </row>
    <row r="716" spans="1:17" x14ac:dyDescent="0.35">
      <c r="A716" t="s">
        <v>1918</v>
      </c>
      <c r="B716" s="3">
        <v>45082</v>
      </c>
      <c r="C716" t="s">
        <v>2019</v>
      </c>
      <c r="D716" t="s">
        <v>2027</v>
      </c>
      <c r="E716" s="8">
        <v>2846</v>
      </c>
      <c r="F716">
        <v>3</v>
      </c>
      <c r="G716">
        <v>5</v>
      </c>
      <c r="H716" s="8">
        <v>8111.1</v>
      </c>
      <c r="I716">
        <v>1463.25</v>
      </c>
      <c r="J716">
        <v>3721.36</v>
      </c>
      <c r="K716" s="5">
        <f>IF(SalesData[[#This Row],[Total Revenue]]=0,0,SalesData[[#This Row],[Profit]]/SalesData[[#This Row],[Total Revenue]])</f>
        <v>0.45879843671018727</v>
      </c>
      <c r="L716" s="5" t="str">
        <f>TEXT(SalesData[[#This Row],[Date]],"mmm")</f>
        <v>Jun</v>
      </c>
      <c r="M716">
        <f>YEAR(SalesData[[#This Row],[Date]])</f>
        <v>2023</v>
      </c>
      <c r="N716">
        <f>WEEKNUM(SalesData[[#This Row],[Date]])</f>
        <v>23</v>
      </c>
      <c r="O716" t="s">
        <v>2395</v>
      </c>
      <c r="P716" t="s">
        <v>2522</v>
      </c>
      <c r="Q716" t="s">
        <v>2524</v>
      </c>
    </row>
    <row r="717" spans="1:17" x14ac:dyDescent="0.35">
      <c r="A717" t="s">
        <v>1104</v>
      </c>
      <c r="B717" s="3">
        <v>44994</v>
      </c>
      <c r="C717" t="s">
        <v>2013</v>
      </c>
      <c r="D717" t="s">
        <v>2023</v>
      </c>
      <c r="E717" s="8">
        <v>1289</v>
      </c>
      <c r="F717">
        <v>7</v>
      </c>
      <c r="G717">
        <v>10</v>
      </c>
      <c r="H717" s="8">
        <v>8120.7</v>
      </c>
      <c r="I717">
        <v>695</v>
      </c>
      <c r="J717">
        <v>3255.69</v>
      </c>
      <c r="K717" s="5">
        <f>IF(SalesData[[#This Row],[Total Revenue]]=0,0,SalesData[[#This Row],[Profit]]/SalesData[[#This Row],[Total Revenue]])</f>
        <v>0.40091248291403453</v>
      </c>
      <c r="L717" s="5" t="str">
        <f>TEXT(SalesData[[#This Row],[Date]],"mmm")</f>
        <v>Mar</v>
      </c>
      <c r="M717">
        <f>YEAR(SalesData[[#This Row],[Date]])</f>
        <v>2023</v>
      </c>
      <c r="N717">
        <f>WEEKNUM(SalesData[[#This Row],[Date]])</f>
        <v>10</v>
      </c>
      <c r="O717" t="s">
        <v>2164</v>
      </c>
      <c r="P717" t="s">
        <v>2522</v>
      </c>
      <c r="Q717" t="s">
        <v>2525</v>
      </c>
    </row>
    <row r="718" spans="1:17" x14ac:dyDescent="0.35">
      <c r="A718" t="s">
        <v>489</v>
      </c>
      <c r="B718" s="3">
        <v>45254</v>
      </c>
      <c r="C718" t="s">
        <v>2019</v>
      </c>
      <c r="D718" t="s">
        <v>2027</v>
      </c>
      <c r="E718" s="8">
        <v>3185</v>
      </c>
      <c r="F718">
        <v>3</v>
      </c>
      <c r="G718">
        <v>15</v>
      </c>
      <c r="H718" s="8">
        <v>8121.75</v>
      </c>
      <c r="I718">
        <v>1742.44</v>
      </c>
      <c r="J718">
        <v>2894.44</v>
      </c>
      <c r="K718" s="5">
        <f>IF(SalesData[[#This Row],[Total Revenue]]=0,0,SalesData[[#This Row],[Profit]]/SalesData[[#This Row],[Total Revenue]])</f>
        <v>0.35638132175947301</v>
      </c>
      <c r="L718" s="5" t="str">
        <f>TEXT(SalesData[[#This Row],[Date]],"mmm")</f>
        <v>Nov</v>
      </c>
      <c r="M718">
        <f>YEAR(SalesData[[#This Row],[Date]])</f>
        <v>2023</v>
      </c>
      <c r="N718">
        <f>WEEKNUM(SalesData[[#This Row],[Date]])</f>
        <v>47</v>
      </c>
      <c r="O718" t="s">
        <v>2332</v>
      </c>
      <c r="P718" t="s">
        <v>2522</v>
      </c>
      <c r="Q718" t="s">
        <v>2525</v>
      </c>
    </row>
    <row r="719" spans="1:17" x14ac:dyDescent="0.35">
      <c r="A719" t="s">
        <v>1735</v>
      </c>
      <c r="B719" s="3">
        <v>44983</v>
      </c>
      <c r="C719" t="s">
        <v>2020</v>
      </c>
      <c r="D719" t="s">
        <v>2028</v>
      </c>
      <c r="E719" s="8">
        <v>3197</v>
      </c>
      <c r="F719">
        <v>3</v>
      </c>
      <c r="G719">
        <v>15</v>
      </c>
      <c r="H719" s="8">
        <v>8152.35</v>
      </c>
      <c r="I719">
        <v>2492.2399999999998</v>
      </c>
      <c r="J719">
        <v>675.64</v>
      </c>
      <c r="K719" s="5">
        <f>IF(SalesData[[#This Row],[Total Revenue]]=0,0,SalesData[[#This Row],[Profit]]/SalesData[[#This Row],[Total Revenue]])</f>
        <v>8.2876716529589625E-2</v>
      </c>
      <c r="L719" s="5" t="str">
        <f>TEXT(SalesData[[#This Row],[Date]],"mmm")</f>
        <v>Feb</v>
      </c>
      <c r="M719">
        <f>YEAR(SalesData[[#This Row],[Date]])</f>
        <v>2023</v>
      </c>
      <c r="N719">
        <f>WEEKNUM(SalesData[[#This Row],[Date]])</f>
        <v>9</v>
      </c>
      <c r="O719" t="s">
        <v>2517</v>
      </c>
      <c r="P719" t="s">
        <v>2523</v>
      </c>
      <c r="Q719" t="s">
        <v>2526</v>
      </c>
    </row>
    <row r="720" spans="1:17" x14ac:dyDescent="0.35">
      <c r="A720" t="s">
        <v>1726</v>
      </c>
      <c r="B720" s="3">
        <v>44938</v>
      </c>
      <c r="C720" t="s">
        <v>2018</v>
      </c>
      <c r="D720" t="s">
        <v>2026</v>
      </c>
      <c r="E720" s="8">
        <v>1134</v>
      </c>
      <c r="F720">
        <v>8</v>
      </c>
      <c r="G720">
        <v>10</v>
      </c>
      <c r="H720" s="8">
        <v>8164.8</v>
      </c>
      <c r="I720">
        <v>685.57</v>
      </c>
      <c r="J720">
        <v>2680.23</v>
      </c>
      <c r="K720" s="5">
        <f>IF(SalesData[[#This Row],[Total Revenue]]=0,0,SalesData[[#This Row],[Profit]]/SalesData[[#This Row],[Total Revenue]])</f>
        <v>0.32826646090534978</v>
      </c>
      <c r="L720" s="5" t="str">
        <f>TEXT(SalesData[[#This Row],[Date]],"mmm")</f>
        <v>Jan</v>
      </c>
      <c r="M720">
        <f>YEAR(SalesData[[#This Row],[Date]])</f>
        <v>2023</v>
      </c>
      <c r="N720">
        <f>WEEKNUM(SalesData[[#This Row],[Date]])</f>
        <v>2</v>
      </c>
      <c r="O720" t="s">
        <v>2111</v>
      </c>
      <c r="P720" t="s">
        <v>2523</v>
      </c>
      <c r="Q720" t="s">
        <v>2524</v>
      </c>
    </row>
    <row r="721" spans="1:17" x14ac:dyDescent="0.35">
      <c r="A721" t="s">
        <v>1117</v>
      </c>
      <c r="B721" s="3">
        <v>44936</v>
      </c>
      <c r="C721" t="s">
        <v>2017</v>
      </c>
      <c r="D721" t="s">
        <v>2026</v>
      </c>
      <c r="E721" s="8">
        <v>1433</v>
      </c>
      <c r="F721">
        <v>6</v>
      </c>
      <c r="G721">
        <v>5</v>
      </c>
      <c r="H721" s="8">
        <v>8168.1</v>
      </c>
      <c r="I721">
        <v>832.8</v>
      </c>
      <c r="J721">
        <v>3171.3</v>
      </c>
      <c r="K721" s="5">
        <f>IF(SalesData[[#This Row],[Total Revenue]]=0,0,SalesData[[#This Row],[Profit]]/SalesData[[#This Row],[Total Revenue]])</f>
        <v>0.38825430638704228</v>
      </c>
      <c r="L721" s="5" t="str">
        <f>TEXT(SalesData[[#This Row],[Date]],"mmm")</f>
        <v>Jan</v>
      </c>
      <c r="M721">
        <f>YEAR(SalesData[[#This Row],[Date]])</f>
        <v>2023</v>
      </c>
      <c r="N721">
        <f>WEEKNUM(SalesData[[#This Row],[Date]])</f>
        <v>2</v>
      </c>
      <c r="O721" t="s">
        <v>2351</v>
      </c>
      <c r="P721" t="s">
        <v>2522</v>
      </c>
      <c r="Q721" t="s">
        <v>2526</v>
      </c>
    </row>
    <row r="722" spans="1:17" x14ac:dyDescent="0.35">
      <c r="A722" t="s">
        <v>1150</v>
      </c>
      <c r="B722" s="3">
        <v>45255</v>
      </c>
      <c r="C722" t="s">
        <v>2016</v>
      </c>
      <c r="D722" t="s">
        <v>2025</v>
      </c>
      <c r="E722" s="8">
        <v>1722</v>
      </c>
      <c r="F722">
        <v>5</v>
      </c>
      <c r="G722">
        <v>5</v>
      </c>
      <c r="H722" s="8">
        <v>8179.5</v>
      </c>
      <c r="I722">
        <v>1033.9100000000001</v>
      </c>
      <c r="J722">
        <v>3009.96</v>
      </c>
      <c r="K722" s="5">
        <f>IF(SalesData[[#This Row],[Total Revenue]]=0,0,SalesData[[#This Row],[Profit]]/SalesData[[#This Row],[Total Revenue]])</f>
        <v>0.36798826334128004</v>
      </c>
      <c r="L722" s="5" t="str">
        <f>TEXT(SalesData[[#This Row],[Date]],"mmm")</f>
        <v>Nov</v>
      </c>
      <c r="M722">
        <f>YEAR(SalesData[[#This Row],[Date]])</f>
        <v>2023</v>
      </c>
      <c r="N722">
        <f>WEEKNUM(SalesData[[#This Row],[Date]])</f>
        <v>47</v>
      </c>
      <c r="O722" t="s">
        <v>2428</v>
      </c>
      <c r="P722" t="s">
        <v>2522</v>
      </c>
      <c r="Q722" t="s">
        <v>2524</v>
      </c>
    </row>
    <row r="723" spans="1:17" x14ac:dyDescent="0.35">
      <c r="A723" t="s">
        <v>234</v>
      </c>
      <c r="B723" s="3">
        <v>45099</v>
      </c>
      <c r="C723" t="s">
        <v>2019</v>
      </c>
      <c r="D723" t="s">
        <v>2027</v>
      </c>
      <c r="E723" s="8">
        <v>4824</v>
      </c>
      <c r="F723">
        <v>2</v>
      </c>
      <c r="G723">
        <v>15</v>
      </c>
      <c r="H723" s="8">
        <v>8200.7999999999993</v>
      </c>
      <c r="I723">
        <v>2823.86</v>
      </c>
      <c r="J723">
        <v>2553.0700000000002</v>
      </c>
      <c r="K723" s="5">
        <f>IF(SalesData[[#This Row],[Total Revenue]]=0,0,SalesData[[#This Row],[Profit]]/SalesData[[#This Row],[Total Revenue]])</f>
        <v>0.311319627353429</v>
      </c>
      <c r="L723" s="5" t="str">
        <f>TEXT(SalesData[[#This Row],[Date]],"mmm")</f>
        <v>Jun</v>
      </c>
      <c r="M723">
        <f>YEAR(SalesData[[#This Row],[Date]])</f>
        <v>2023</v>
      </c>
      <c r="N723">
        <f>WEEKNUM(SalesData[[#This Row],[Date]])</f>
        <v>25</v>
      </c>
      <c r="O723" t="s">
        <v>2206</v>
      </c>
      <c r="P723" t="s">
        <v>2522</v>
      </c>
      <c r="Q723" t="s">
        <v>2524</v>
      </c>
    </row>
    <row r="724" spans="1:17" x14ac:dyDescent="0.35">
      <c r="A724" t="s">
        <v>967</v>
      </c>
      <c r="B724" s="3">
        <v>45252</v>
      </c>
      <c r="C724" t="s">
        <v>2020</v>
      </c>
      <c r="D724" t="s">
        <v>2028</v>
      </c>
      <c r="E724" s="8">
        <v>2415</v>
      </c>
      <c r="F724">
        <v>4</v>
      </c>
      <c r="G724">
        <v>15</v>
      </c>
      <c r="H724" s="8">
        <v>8211</v>
      </c>
      <c r="I724">
        <v>1713.63</v>
      </c>
      <c r="J724">
        <v>1356.5</v>
      </c>
      <c r="K724" s="5">
        <f>IF(SalesData[[#This Row],[Total Revenue]]=0,0,SalesData[[#This Row],[Profit]]/SalesData[[#This Row],[Total Revenue]])</f>
        <v>0.16520521251979053</v>
      </c>
      <c r="L724" s="5" t="str">
        <f>TEXT(SalesData[[#This Row],[Date]],"mmm")</f>
        <v>Nov</v>
      </c>
      <c r="M724">
        <f>YEAR(SalesData[[#This Row],[Date]])</f>
        <v>2023</v>
      </c>
      <c r="N724">
        <f>WEEKNUM(SalesData[[#This Row],[Date]])</f>
        <v>47</v>
      </c>
      <c r="O724" t="s">
        <v>2358</v>
      </c>
      <c r="P724" t="s">
        <v>2522</v>
      </c>
      <c r="Q724" t="s">
        <v>2527</v>
      </c>
    </row>
    <row r="725" spans="1:17" x14ac:dyDescent="0.35">
      <c r="A725" t="s">
        <v>470</v>
      </c>
      <c r="B725" s="3">
        <v>45283</v>
      </c>
      <c r="C725" t="s">
        <v>2015</v>
      </c>
      <c r="D725" t="s">
        <v>2025</v>
      </c>
      <c r="E725" s="8">
        <v>1829</v>
      </c>
      <c r="F725">
        <v>5</v>
      </c>
      <c r="G725">
        <v>10</v>
      </c>
      <c r="H725" s="8">
        <v>8230.5</v>
      </c>
      <c r="I725">
        <v>1294.31</v>
      </c>
      <c r="J725">
        <v>1758.94</v>
      </c>
      <c r="K725" s="5">
        <f>IF(SalesData[[#This Row],[Total Revenue]]=0,0,SalesData[[#This Row],[Profit]]/SalesData[[#This Row],[Total Revenue]])</f>
        <v>0.21370998116760828</v>
      </c>
      <c r="L725" s="5" t="str">
        <f>TEXT(SalesData[[#This Row],[Date]],"mmm")</f>
        <v>Dec</v>
      </c>
      <c r="M725">
        <f>YEAR(SalesData[[#This Row],[Date]])</f>
        <v>2023</v>
      </c>
      <c r="N725">
        <f>WEEKNUM(SalesData[[#This Row],[Date]])</f>
        <v>51</v>
      </c>
      <c r="O725" t="s">
        <v>2168</v>
      </c>
      <c r="P725" t="s">
        <v>2523</v>
      </c>
      <c r="Q725" t="s">
        <v>2525</v>
      </c>
    </row>
    <row r="726" spans="1:17" x14ac:dyDescent="0.35">
      <c r="A726" t="s">
        <v>204</v>
      </c>
      <c r="B726" s="3">
        <v>45217</v>
      </c>
      <c r="C726" t="s">
        <v>2019</v>
      </c>
      <c r="D726" t="s">
        <v>2027</v>
      </c>
      <c r="E726" s="8">
        <v>1146</v>
      </c>
      <c r="F726">
        <v>8</v>
      </c>
      <c r="G726">
        <v>10</v>
      </c>
      <c r="H726" s="8">
        <v>8251.2000000000007</v>
      </c>
      <c r="I726">
        <v>764.13</v>
      </c>
      <c r="J726">
        <v>2138.12</v>
      </c>
      <c r="K726" s="5">
        <f>IF(SalesData[[#This Row],[Total Revenue]]=0,0,SalesData[[#This Row],[Profit]]/SalesData[[#This Row],[Total Revenue]])</f>
        <v>0.25912836920690319</v>
      </c>
      <c r="L726" s="5" t="str">
        <f>TEXT(SalesData[[#This Row],[Date]],"mmm")</f>
        <v>Oct</v>
      </c>
      <c r="M726">
        <f>YEAR(SalesData[[#This Row],[Date]])</f>
        <v>2023</v>
      </c>
      <c r="N726">
        <f>WEEKNUM(SalesData[[#This Row],[Date]])</f>
        <v>42</v>
      </c>
      <c r="O726" t="s">
        <v>2163</v>
      </c>
      <c r="P726" t="s">
        <v>2523</v>
      </c>
      <c r="Q726" t="s">
        <v>2527</v>
      </c>
    </row>
    <row r="727" spans="1:17" x14ac:dyDescent="0.35">
      <c r="A727" t="s">
        <v>927</v>
      </c>
      <c r="B727" s="3">
        <v>45005</v>
      </c>
      <c r="C727" t="s">
        <v>2016</v>
      </c>
      <c r="D727" t="s">
        <v>2025</v>
      </c>
      <c r="E727" s="8">
        <v>2915</v>
      </c>
      <c r="F727">
        <v>3</v>
      </c>
      <c r="G727">
        <v>5</v>
      </c>
      <c r="H727" s="8">
        <v>8307.75</v>
      </c>
      <c r="I727">
        <v>1466.83</v>
      </c>
      <c r="J727">
        <v>3907.27</v>
      </c>
      <c r="K727" s="5">
        <f>IF(SalesData[[#This Row],[Total Revenue]]=0,0,SalesData[[#This Row],[Profit]]/SalesData[[#This Row],[Total Revenue]])</f>
        <v>0.4703162709518221</v>
      </c>
      <c r="L727" s="5" t="str">
        <f>TEXT(SalesData[[#This Row],[Date]],"mmm")</f>
        <v>Mar</v>
      </c>
      <c r="M727">
        <f>YEAR(SalesData[[#This Row],[Date]])</f>
        <v>2023</v>
      </c>
      <c r="N727">
        <f>WEEKNUM(SalesData[[#This Row],[Date]])</f>
        <v>12</v>
      </c>
      <c r="O727" t="s">
        <v>2140</v>
      </c>
      <c r="P727" t="s">
        <v>2523</v>
      </c>
      <c r="Q727" t="s">
        <v>2527</v>
      </c>
    </row>
    <row r="728" spans="1:17" x14ac:dyDescent="0.35">
      <c r="A728" t="s">
        <v>1574</v>
      </c>
      <c r="B728" s="3">
        <v>45072</v>
      </c>
      <c r="C728" t="s">
        <v>2015</v>
      </c>
      <c r="D728" t="s">
        <v>2025</v>
      </c>
      <c r="E728" s="8">
        <v>973</v>
      </c>
      <c r="F728">
        <v>9</v>
      </c>
      <c r="G728">
        <v>5</v>
      </c>
      <c r="H728" s="8">
        <v>8319.15</v>
      </c>
      <c r="I728">
        <v>524.29</v>
      </c>
      <c r="J728">
        <v>3600.54</v>
      </c>
      <c r="K728" s="5">
        <f>IF(SalesData[[#This Row],[Total Revenue]]=0,0,SalesData[[#This Row],[Profit]]/SalesData[[#This Row],[Total Revenue]])</f>
        <v>0.43280142803050792</v>
      </c>
      <c r="L728" s="5" t="str">
        <f>TEXT(SalesData[[#This Row],[Date]],"mmm")</f>
        <v>May</v>
      </c>
      <c r="M728">
        <f>YEAR(SalesData[[#This Row],[Date]])</f>
        <v>2023</v>
      </c>
      <c r="N728">
        <f>WEEKNUM(SalesData[[#This Row],[Date]])</f>
        <v>21</v>
      </c>
      <c r="O728" t="s">
        <v>2498</v>
      </c>
      <c r="P728" t="s">
        <v>2523</v>
      </c>
      <c r="Q728" t="s">
        <v>2527</v>
      </c>
    </row>
    <row r="729" spans="1:17" x14ac:dyDescent="0.35">
      <c r="A729" t="s">
        <v>39</v>
      </c>
      <c r="B729" s="3">
        <v>44987</v>
      </c>
      <c r="C729" t="s">
        <v>2014</v>
      </c>
      <c r="D729" t="s">
        <v>2024</v>
      </c>
      <c r="E729" s="8">
        <v>1251</v>
      </c>
      <c r="F729">
        <v>7</v>
      </c>
      <c r="G729">
        <v>5</v>
      </c>
      <c r="H729" s="8">
        <v>8319.15</v>
      </c>
      <c r="I729">
        <v>829.12</v>
      </c>
      <c r="J729">
        <v>2515.2800000000002</v>
      </c>
      <c r="K729" s="5">
        <f>IF(SalesData[[#This Row],[Total Revenue]]=0,0,SalesData[[#This Row],[Profit]]/SalesData[[#This Row],[Total Revenue]])</f>
        <v>0.30234819663066542</v>
      </c>
      <c r="L729" s="5" t="str">
        <f>TEXT(SalesData[[#This Row],[Date]],"mmm")</f>
        <v>Mar</v>
      </c>
      <c r="M729">
        <f>YEAR(SalesData[[#This Row],[Date]])</f>
        <v>2023</v>
      </c>
      <c r="N729">
        <f>WEEKNUM(SalesData[[#This Row],[Date]])</f>
        <v>9</v>
      </c>
      <c r="O729" t="s">
        <v>2054</v>
      </c>
      <c r="P729" t="s">
        <v>2522</v>
      </c>
      <c r="Q729" t="s">
        <v>2527</v>
      </c>
    </row>
    <row r="730" spans="1:17" x14ac:dyDescent="0.35">
      <c r="A730" t="s">
        <v>324</v>
      </c>
      <c r="B730" s="3">
        <v>44994</v>
      </c>
      <c r="C730" t="s">
        <v>2016</v>
      </c>
      <c r="D730" t="s">
        <v>2025</v>
      </c>
      <c r="E730" s="8">
        <v>1753</v>
      </c>
      <c r="F730">
        <v>5</v>
      </c>
      <c r="G730">
        <v>5</v>
      </c>
      <c r="H730" s="8">
        <v>8326.75</v>
      </c>
      <c r="I730">
        <v>1126.1199999999999</v>
      </c>
      <c r="J730">
        <v>2696.17</v>
      </c>
      <c r="K730" s="5">
        <f>IF(SalesData[[#This Row],[Total Revenue]]=0,0,SalesData[[#This Row],[Profit]]/SalesData[[#This Row],[Total Revenue]])</f>
        <v>0.3237961989972078</v>
      </c>
      <c r="L730" s="5" t="str">
        <f>TEXT(SalesData[[#This Row],[Date]],"mmm")</f>
        <v>Mar</v>
      </c>
      <c r="M730">
        <f>YEAR(SalesData[[#This Row],[Date]])</f>
        <v>2023</v>
      </c>
      <c r="N730">
        <f>WEEKNUM(SalesData[[#This Row],[Date]])</f>
        <v>10</v>
      </c>
      <c r="O730" t="s">
        <v>2260</v>
      </c>
      <c r="P730" t="s">
        <v>2523</v>
      </c>
      <c r="Q730" t="s">
        <v>2527</v>
      </c>
    </row>
    <row r="731" spans="1:17" x14ac:dyDescent="0.35">
      <c r="A731" t="s">
        <v>1499</v>
      </c>
      <c r="B731" s="3">
        <v>45221</v>
      </c>
      <c r="C731" t="s">
        <v>2019</v>
      </c>
      <c r="D731" t="s">
        <v>2027</v>
      </c>
      <c r="E731" s="8">
        <v>833</v>
      </c>
      <c r="F731">
        <v>10</v>
      </c>
      <c r="G731">
        <v>0</v>
      </c>
      <c r="H731" s="8">
        <v>8330</v>
      </c>
      <c r="I731">
        <v>574.32000000000005</v>
      </c>
      <c r="J731">
        <v>2586.79</v>
      </c>
      <c r="K731" s="5">
        <f>IF(SalesData[[#This Row],[Total Revenue]]=0,0,SalesData[[#This Row],[Profit]]/SalesData[[#This Row],[Total Revenue]])</f>
        <v>0.31053901560624247</v>
      </c>
      <c r="L731" s="5" t="str">
        <f>TEXT(SalesData[[#This Row],[Date]],"mmm")</f>
        <v>Oct</v>
      </c>
      <c r="M731">
        <f>YEAR(SalesData[[#This Row],[Date]])</f>
        <v>2023</v>
      </c>
      <c r="N731">
        <f>WEEKNUM(SalesData[[#This Row],[Date]])</f>
        <v>43</v>
      </c>
      <c r="O731" t="s">
        <v>2363</v>
      </c>
      <c r="P731" t="s">
        <v>2522</v>
      </c>
      <c r="Q731" t="s">
        <v>2524</v>
      </c>
    </row>
    <row r="732" spans="1:17" x14ac:dyDescent="0.35">
      <c r="A732" t="s">
        <v>1956</v>
      </c>
      <c r="B732" s="3">
        <v>45218</v>
      </c>
      <c r="C732" t="s">
        <v>2016</v>
      </c>
      <c r="D732" t="s">
        <v>2025</v>
      </c>
      <c r="E732" s="8">
        <v>2929</v>
      </c>
      <c r="F732">
        <v>3</v>
      </c>
      <c r="G732">
        <v>5</v>
      </c>
      <c r="H732" s="8">
        <v>8347.65</v>
      </c>
      <c r="I732">
        <v>1936.73</v>
      </c>
      <c r="J732">
        <v>2537.4499999999998</v>
      </c>
      <c r="K732" s="5">
        <f>IF(SalesData[[#This Row],[Total Revenue]]=0,0,SalesData[[#This Row],[Profit]]/SalesData[[#This Row],[Total Revenue]])</f>
        <v>0.30397177648799362</v>
      </c>
      <c r="L732" s="5" t="str">
        <f>TEXT(SalesData[[#This Row],[Date]],"mmm")</f>
        <v>Oct</v>
      </c>
      <c r="M732">
        <f>YEAR(SalesData[[#This Row],[Date]])</f>
        <v>2023</v>
      </c>
      <c r="N732">
        <f>WEEKNUM(SalesData[[#This Row],[Date]])</f>
        <v>42</v>
      </c>
      <c r="O732" t="s">
        <v>2504</v>
      </c>
      <c r="P732" t="s">
        <v>2522</v>
      </c>
      <c r="Q732" t="s">
        <v>2526</v>
      </c>
    </row>
    <row r="733" spans="1:17" x14ac:dyDescent="0.35">
      <c r="A733" t="s">
        <v>773</v>
      </c>
      <c r="B733" s="3">
        <v>45273</v>
      </c>
      <c r="C733" t="s">
        <v>2013</v>
      </c>
      <c r="D733" t="s">
        <v>2023</v>
      </c>
      <c r="E733" s="8">
        <v>4396</v>
      </c>
      <c r="F733">
        <v>2</v>
      </c>
      <c r="G733">
        <v>5</v>
      </c>
      <c r="H733" s="8">
        <v>8352.4</v>
      </c>
      <c r="I733">
        <v>2338.98</v>
      </c>
      <c r="J733">
        <v>3674.43</v>
      </c>
      <c r="K733" s="5">
        <f>IF(SalesData[[#This Row],[Total Revenue]]=0,0,SalesData[[#This Row],[Profit]]/SalesData[[#This Row],[Total Revenue]])</f>
        <v>0.43992505148220873</v>
      </c>
      <c r="L733" s="5" t="str">
        <f>TEXT(SalesData[[#This Row],[Date]],"mmm")</f>
        <v>Dec</v>
      </c>
      <c r="M733">
        <f>YEAR(SalesData[[#This Row],[Date]])</f>
        <v>2023</v>
      </c>
      <c r="N733">
        <f>WEEKNUM(SalesData[[#This Row],[Date]])</f>
        <v>50</v>
      </c>
      <c r="O733" t="s">
        <v>2139</v>
      </c>
      <c r="P733" t="s">
        <v>2523</v>
      </c>
      <c r="Q733" t="s">
        <v>2527</v>
      </c>
    </row>
    <row r="734" spans="1:17" x14ac:dyDescent="0.35">
      <c r="A734" t="s">
        <v>803</v>
      </c>
      <c r="B734" s="3">
        <v>45276</v>
      </c>
      <c r="C734" t="s">
        <v>2021</v>
      </c>
      <c r="D734" t="s">
        <v>2028</v>
      </c>
      <c r="E734" s="8">
        <v>2461</v>
      </c>
      <c r="F734">
        <v>4</v>
      </c>
      <c r="G734">
        <v>15</v>
      </c>
      <c r="H734" s="8">
        <v>8367.4</v>
      </c>
      <c r="I734">
        <v>1308.58</v>
      </c>
      <c r="J734">
        <v>3133.09</v>
      </c>
      <c r="K734" s="5">
        <f>IF(SalesData[[#This Row],[Total Revenue]]=0,0,SalesData[[#This Row],[Profit]]/SalesData[[#This Row],[Total Revenue]])</f>
        <v>0.37444008891650932</v>
      </c>
      <c r="L734" s="5" t="str">
        <f>TEXT(SalesData[[#This Row],[Date]],"mmm")</f>
        <v>Dec</v>
      </c>
      <c r="M734">
        <f>YEAR(SalesData[[#This Row],[Date]])</f>
        <v>2023</v>
      </c>
      <c r="N734">
        <f>WEEKNUM(SalesData[[#This Row],[Date]])</f>
        <v>50</v>
      </c>
      <c r="O734" t="s">
        <v>2213</v>
      </c>
      <c r="P734" t="s">
        <v>2523</v>
      </c>
      <c r="Q734" t="s">
        <v>2526</v>
      </c>
    </row>
    <row r="735" spans="1:17" x14ac:dyDescent="0.35">
      <c r="A735" t="s">
        <v>1307</v>
      </c>
      <c r="B735" s="3">
        <v>44963</v>
      </c>
      <c r="C735" t="s">
        <v>2020</v>
      </c>
      <c r="D735" t="s">
        <v>2028</v>
      </c>
      <c r="E735" s="8">
        <v>1860</v>
      </c>
      <c r="F735">
        <v>5</v>
      </c>
      <c r="G735">
        <v>10</v>
      </c>
      <c r="H735" s="8">
        <v>8370</v>
      </c>
      <c r="I735">
        <v>1019.42</v>
      </c>
      <c r="J735">
        <v>3272.88</v>
      </c>
      <c r="K735" s="5">
        <f>IF(SalesData[[#This Row],[Total Revenue]]=0,0,SalesData[[#This Row],[Profit]]/SalesData[[#This Row],[Total Revenue]])</f>
        <v>0.39102508960573479</v>
      </c>
      <c r="L735" s="5" t="str">
        <f>TEXT(SalesData[[#This Row],[Date]],"mmm")</f>
        <v>Feb</v>
      </c>
      <c r="M735">
        <f>YEAR(SalesData[[#This Row],[Date]])</f>
        <v>2023</v>
      </c>
      <c r="N735">
        <f>WEEKNUM(SalesData[[#This Row],[Date]])</f>
        <v>6</v>
      </c>
      <c r="O735" t="s">
        <v>2084</v>
      </c>
      <c r="P735" t="s">
        <v>2523</v>
      </c>
      <c r="Q735" t="s">
        <v>2524</v>
      </c>
    </row>
    <row r="736" spans="1:17" x14ac:dyDescent="0.35">
      <c r="A736" t="s">
        <v>1930</v>
      </c>
      <c r="B736" s="3">
        <v>45102</v>
      </c>
      <c r="C736" t="s">
        <v>2015</v>
      </c>
      <c r="D736" t="s">
        <v>2025</v>
      </c>
      <c r="E736" s="8">
        <v>2096</v>
      </c>
      <c r="F736">
        <v>4</v>
      </c>
      <c r="G736">
        <v>0</v>
      </c>
      <c r="H736" s="8">
        <v>8384</v>
      </c>
      <c r="I736">
        <v>1624.25</v>
      </c>
      <c r="J736">
        <v>1886.98</v>
      </c>
      <c r="K736" s="5">
        <f>IF(SalesData[[#This Row],[Total Revenue]]=0,0,SalesData[[#This Row],[Profit]]/SalesData[[#This Row],[Total Revenue]])</f>
        <v>0.22506917938931298</v>
      </c>
      <c r="L736" s="5" t="str">
        <f>TEXT(SalesData[[#This Row],[Date]],"mmm")</f>
        <v>Jun</v>
      </c>
      <c r="M736">
        <f>YEAR(SalesData[[#This Row],[Date]])</f>
        <v>2023</v>
      </c>
      <c r="N736">
        <f>WEEKNUM(SalesData[[#This Row],[Date]])</f>
        <v>26</v>
      </c>
      <c r="O736" t="s">
        <v>2156</v>
      </c>
      <c r="P736" t="s">
        <v>2522</v>
      </c>
      <c r="Q736" t="s">
        <v>2525</v>
      </c>
    </row>
    <row r="737" spans="1:17" x14ac:dyDescent="0.35">
      <c r="A737" t="s">
        <v>1906</v>
      </c>
      <c r="B737" s="3">
        <v>45245</v>
      </c>
      <c r="C737" t="s">
        <v>2022</v>
      </c>
      <c r="D737" t="s">
        <v>2024</v>
      </c>
      <c r="E737" s="8">
        <v>839</v>
      </c>
      <c r="F737">
        <v>10</v>
      </c>
      <c r="G737">
        <v>0</v>
      </c>
      <c r="H737" s="8">
        <v>8390</v>
      </c>
      <c r="I737">
        <v>526.74</v>
      </c>
      <c r="J737">
        <v>3122.56</v>
      </c>
      <c r="K737" s="5">
        <f>IF(SalesData[[#This Row],[Total Revenue]]=0,0,SalesData[[#This Row],[Profit]]/SalesData[[#This Row],[Total Revenue]])</f>
        <v>0.37217640047675804</v>
      </c>
      <c r="L737" s="5" t="str">
        <f>TEXT(SalesData[[#This Row],[Date]],"mmm")</f>
        <v>Nov</v>
      </c>
      <c r="M737">
        <f>YEAR(SalesData[[#This Row],[Date]])</f>
        <v>2023</v>
      </c>
      <c r="N737">
        <f>WEEKNUM(SalesData[[#This Row],[Date]])</f>
        <v>46</v>
      </c>
      <c r="O737" t="s">
        <v>2389</v>
      </c>
      <c r="P737" t="s">
        <v>2523</v>
      </c>
      <c r="Q737" t="s">
        <v>2526</v>
      </c>
    </row>
    <row r="738" spans="1:17" x14ac:dyDescent="0.35">
      <c r="A738" t="s">
        <v>638</v>
      </c>
      <c r="B738" s="3">
        <v>45052</v>
      </c>
      <c r="C738" t="s">
        <v>2013</v>
      </c>
      <c r="D738" t="s">
        <v>2023</v>
      </c>
      <c r="E738" s="8">
        <v>937</v>
      </c>
      <c r="F738">
        <v>9</v>
      </c>
      <c r="G738">
        <v>0</v>
      </c>
      <c r="H738" s="8">
        <v>8433</v>
      </c>
      <c r="I738">
        <v>748.49</v>
      </c>
      <c r="J738">
        <v>1696.62</v>
      </c>
      <c r="K738" s="5">
        <f>IF(SalesData[[#This Row],[Total Revenue]]=0,0,SalesData[[#This Row],[Profit]]/SalesData[[#This Row],[Total Revenue]])</f>
        <v>0.20118818925649234</v>
      </c>
      <c r="L738" s="5" t="str">
        <f>TEXT(SalesData[[#This Row],[Date]],"mmm")</f>
        <v>May</v>
      </c>
      <c r="M738">
        <f>YEAR(SalesData[[#This Row],[Date]])</f>
        <v>2023</v>
      </c>
      <c r="N738">
        <f>WEEKNUM(SalesData[[#This Row],[Date]])</f>
        <v>18</v>
      </c>
      <c r="O738" t="s">
        <v>2212</v>
      </c>
      <c r="P738" t="s">
        <v>2523</v>
      </c>
      <c r="Q738" t="s">
        <v>2526</v>
      </c>
    </row>
    <row r="739" spans="1:17" x14ac:dyDescent="0.35">
      <c r="A739" t="s">
        <v>905</v>
      </c>
      <c r="B739" s="3">
        <v>45095</v>
      </c>
      <c r="C739" t="s">
        <v>2022</v>
      </c>
      <c r="D739" t="s">
        <v>2024</v>
      </c>
      <c r="E739" s="8">
        <v>2489</v>
      </c>
      <c r="F739">
        <v>4</v>
      </c>
      <c r="G739">
        <v>15</v>
      </c>
      <c r="H739" s="8">
        <v>8462.6</v>
      </c>
      <c r="I739">
        <v>1546.8</v>
      </c>
      <c r="J739">
        <v>2275.39</v>
      </c>
      <c r="K739" s="5">
        <f>IF(SalesData[[#This Row],[Total Revenue]]=0,0,SalesData[[#This Row],[Profit]]/SalesData[[#This Row],[Total Revenue]])</f>
        <v>0.26887599555692099</v>
      </c>
      <c r="L739" s="5" t="str">
        <f>TEXT(SalesData[[#This Row],[Date]],"mmm")</f>
        <v>Jun</v>
      </c>
      <c r="M739">
        <f>YEAR(SalesData[[#This Row],[Date]])</f>
        <v>2023</v>
      </c>
      <c r="N739">
        <f>WEEKNUM(SalesData[[#This Row],[Date]])</f>
        <v>25</v>
      </c>
      <c r="O739" t="s">
        <v>2086</v>
      </c>
      <c r="P739" t="s">
        <v>2523</v>
      </c>
      <c r="Q739" t="s">
        <v>2524</v>
      </c>
    </row>
    <row r="740" spans="1:17" x14ac:dyDescent="0.35">
      <c r="A740" t="s">
        <v>219</v>
      </c>
      <c r="B740" s="3">
        <v>45175</v>
      </c>
      <c r="C740" t="s">
        <v>2015</v>
      </c>
      <c r="D740" t="s">
        <v>2025</v>
      </c>
      <c r="E740" s="8">
        <v>1273</v>
      </c>
      <c r="F740">
        <v>7</v>
      </c>
      <c r="G740">
        <v>5</v>
      </c>
      <c r="H740" s="8">
        <v>8465.4500000000007</v>
      </c>
      <c r="I740">
        <v>752.62</v>
      </c>
      <c r="J740">
        <v>3197.11</v>
      </c>
      <c r="K740" s="5">
        <f>IF(SalesData[[#This Row],[Total Revenue]]=0,0,SalesData[[#This Row],[Profit]]/SalesData[[#This Row],[Total Revenue]])</f>
        <v>0.37766568817960061</v>
      </c>
      <c r="L740" s="5" t="str">
        <f>TEXT(SalesData[[#This Row],[Date]],"mmm")</f>
        <v>Sep</v>
      </c>
      <c r="M740">
        <f>YEAR(SalesData[[#This Row],[Date]])</f>
        <v>2023</v>
      </c>
      <c r="N740">
        <f>WEEKNUM(SalesData[[#This Row],[Date]])</f>
        <v>36</v>
      </c>
      <c r="O740" t="s">
        <v>2196</v>
      </c>
      <c r="P740" t="s">
        <v>2523</v>
      </c>
      <c r="Q740" t="s">
        <v>2526</v>
      </c>
    </row>
    <row r="741" spans="1:17" x14ac:dyDescent="0.35">
      <c r="A741" t="s">
        <v>1483</v>
      </c>
      <c r="B741" s="3">
        <v>45070</v>
      </c>
      <c r="C741" t="s">
        <v>2019</v>
      </c>
      <c r="D741" t="s">
        <v>2027</v>
      </c>
      <c r="E741" s="8">
        <v>1210</v>
      </c>
      <c r="F741">
        <v>7</v>
      </c>
      <c r="G741">
        <v>0</v>
      </c>
      <c r="H741" s="8">
        <v>8470</v>
      </c>
      <c r="I741">
        <v>933.14</v>
      </c>
      <c r="J741">
        <v>1938</v>
      </c>
      <c r="K741" s="5">
        <f>IF(SalesData[[#This Row],[Total Revenue]]=0,0,SalesData[[#This Row],[Profit]]/SalesData[[#This Row],[Total Revenue]])</f>
        <v>0.22880755608028336</v>
      </c>
      <c r="L741" s="5" t="str">
        <f>TEXT(SalesData[[#This Row],[Date]],"mmm")</f>
        <v>May</v>
      </c>
      <c r="M741">
        <f>YEAR(SalesData[[#This Row],[Date]])</f>
        <v>2023</v>
      </c>
      <c r="N741">
        <f>WEEKNUM(SalesData[[#This Row],[Date]])</f>
        <v>21</v>
      </c>
      <c r="O741" t="s">
        <v>2212</v>
      </c>
      <c r="P741" t="s">
        <v>2523</v>
      </c>
      <c r="Q741" t="s">
        <v>2525</v>
      </c>
    </row>
    <row r="742" spans="1:17" x14ac:dyDescent="0.35">
      <c r="A742" t="s">
        <v>844</v>
      </c>
      <c r="B742" s="3">
        <v>45078</v>
      </c>
      <c r="C742" t="s">
        <v>2021</v>
      </c>
      <c r="D742" t="s">
        <v>2028</v>
      </c>
      <c r="E742" s="8">
        <v>1059</v>
      </c>
      <c r="F742">
        <v>8</v>
      </c>
      <c r="G742">
        <v>0</v>
      </c>
      <c r="H742" s="8">
        <v>8472</v>
      </c>
      <c r="I742">
        <v>605.62</v>
      </c>
      <c r="J742">
        <v>3627.03</v>
      </c>
      <c r="K742" s="5">
        <f>IF(SalesData[[#This Row],[Total Revenue]]=0,0,SalesData[[#This Row],[Profit]]/SalesData[[#This Row],[Total Revenue]])</f>
        <v>0.42811968838526915</v>
      </c>
      <c r="L742" s="5" t="str">
        <f>TEXT(SalesData[[#This Row],[Date]],"mmm")</f>
        <v>Jun</v>
      </c>
      <c r="M742">
        <f>YEAR(SalesData[[#This Row],[Date]])</f>
        <v>2023</v>
      </c>
      <c r="N742">
        <f>WEEKNUM(SalesData[[#This Row],[Date]])</f>
        <v>22</v>
      </c>
      <c r="O742" t="s">
        <v>2065</v>
      </c>
      <c r="P742" t="s">
        <v>2523</v>
      </c>
      <c r="Q742" t="s">
        <v>2526</v>
      </c>
    </row>
    <row r="743" spans="1:17" x14ac:dyDescent="0.35">
      <c r="A743" t="s">
        <v>1842</v>
      </c>
      <c r="B743" s="3">
        <v>45054</v>
      </c>
      <c r="C743" t="s">
        <v>2022</v>
      </c>
      <c r="D743" t="s">
        <v>2024</v>
      </c>
      <c r="E743" s="8">
        <v>1884</v>
      </c>
      <c r="F743">
        <v>5</v>
      </c>
      <c r="G743">
        <v>10</v>
      </c>
      <c r="H743" s="8">
        <v>8478</v>
      </c>
      <c r="I743">
        <v>1350.52</v>
      </c>
      <c r="J743">
        <v>1725.39</v>
      </c>
      <c r="K743" s="5">
        <f>IF(SalesData[[#This Row],[Total Revenue]]=0,0,SalesData[[#This Row],[Profit]]/SalesData[[#This Row],[Total Revenue]])</f>
        <v>0.20351380042462847</v>
      </c>
      <c r="L743" s="5" t="str">
        <f>TEXT(SalesData[[#This Row],[Date]],"mmm")</f>
        <v>May</v>
      </c>
      <c r="M743">
        <f>YEAR(SalesData[[#This Row],[Date]])</f>
        <v>2023</v>
      </c>
      <c r="N743">
        <f>WEEKNUM(SalesData[[#This Row],[Date]])</f>
        <v>19</v>
      </c>
      <c r="O743" t="s">
        <v>2132</v>
      </c>
      <c r="P743" t="s">
        <v>2523</v>
      </c>
      <c r="Q743" t="s">
        <v>2524</v>
      </c>
    </row>
    <row r="744" spans="1:17" x14ac:dyDescent="0.35">
      <c r="A744" t="s">
        <v>197</v>
      </c>
      <c r="B744" s="3">
        <v>45065</v>
      </c>
      <c r="C744" t="s">
        <v>2018</v>
      </c>
      <c r="D744" t="s">
        <v>2026</v>
      </c>
      <c r="E744" s="8">
        <v>4245</v>
      </c>
      <c r="F744">
        <v>2</v>
      </c>
      <c r="G744">
        <v>0</v>
      </c>
      <c r="H744" s="8">
        <v>8490</v>
      </c>
      <c r="I744">
        <v>3251.01</v>
      </c>
      <c r="J744">
        <v>1987.99</v>
      </c>
      <c r="K744" s="5">
        <f>IF(SalesData[[#This Row],[Total Revenue]]=0,0,SalesData[[#This Row],[Profit]]/SalesData[[#This Row],[Total Revenue]])</f>
        <v>0.23415665488810367</v>
      </c>
      <c r="L744" s="5" t="str">
        <f>TEXT(SalesData[[#This Row],[Date]],"mmm")</f>
        <v>May</v>
      </c>
      <c r="M744">
        <f>YEAR(SalesData[[#This Row],[Date]])</f>
        <v>2023</v>
      </c>
      <c r="N744">
        <f>WEEKNUM(SalesData[[#This Row],[Date]])</f>
        <v>20</v>
      </c>
      <c r="O744" t="s">
        <v>2137</v>
      </c>
      <c r="P744" t="s">
        <v>2523</v>
      </c>
      <c r="Q744" t="s">
        <v>2524</v>
      </c>
    </row>
    <row r="745" spans="1:17" x14ac:dyDescent="0.35">
      <c r="A745" t="s">
        <v>189</v>
      </c>
      <c r="B745" s="3">
        <v>44992</v>
      </c>
      <c r="C745" t="s">
        <v>2022</v>
      </c>
      <c r="D745" t="s">
        <v>2024</v>
      </c>
      <c r="E745" s="8">
        <v>4474</v>
      </c>
      <c r="F745">
        <v>2</v>
      </c>
      <c r="G745">
        <v>5</v>
      </c>
      <c r="H745" s="8">
        <v>8500.6</v>
      </c>
      <c r="I745">
        <v>3033.32</v>
      </c>
      <c r="J745">
        <v>2433.96</v>
      </c>
      <c r="K745" s="5">
        <f>IF(SalesData[[#This Row],[Total Revenue]]=0,0,SalesData[[#This Row],[Profit]]/SalesData[[#This Row],[Total Revenue]])</f>
        <v>0.28632802390419498</v>
      </c>
      <c r="L745" s="5" t="str">
        <f>TEXT(SalesData[[#This Row],[Date]],"mmm")</f>
        <v>Mar</v>
      </c>
      <c r="M745">
        <f>YEAR(SalesData[[#This Row],[Date]])</f>
        <v>2023</v>
      </c>
      <c r="N745">
        <f>WEEKNUM(SalesData[[#This Row],[Date]])</f>
        <v>10</v>
      </c>
      <c r="O745" t="s">
        <v>2086</v>
      </c>
      <c r="P745" t="s">
        <v>2523</v>
      </c>
      <c r="Q745" t="s">
        <v>2525</v>
      </c>
    </row>
    <row r="746" spans="1:17" x14ac:dyDescent="0.35">
      <c r="A746" t="s">
        <v>1749</v>
      </c>
      <c r="B746" s="3">
        <v>45159</v>
      </c>
      <c r="C746" t="s">
        <v>2017</v>
      </c>
      <c r="D746" t="s">
        <v>2026</v>
      </c>
      <c r="E746" s="8">
        <v>3335</v>
      </c>
      <c r="F746">
        <v>3</v>
      </c>
      <c r="G746">
        <v>15</v>
      </c>
      <c r="H746" s="8">
        <v>8504.25</v>
      </c>
      <c r="I746">
        <v>2321.4299999999998</v>
      </c>
      <c r="J746">
        <v>1539.96</v>
      </c>
      <c r="K746" s="5">
        <f>IF(SalesData[[#This Row],[Total Revenue]]=0,0,SalesData[[#This Row],[Profit]]/SalesData[[#This Row],[Total Revenue]])</f>
        <v>0.18108122409383545</v>
      </c>
      <c r="L746" s="5" t="str">
        <f>TEXT(SalesData[[#This Row],[Date]],"mmm")</f>
        <v>Aug</v>
      </c>
      <c r="M746">
        <f>YEAR(SalesData[[#This Row],[Date]])</f>
        <v>2023</v>
      </c>
      <c r="N746">
        <f>WEEKNUM(SalesData[[#This Row],[Date]])</f>
        <v>34</v>
      </c>
      <c r="O746" t="s">
        <v>2370</v>
      </c>
      <c r="P746" t="s">
        <v>2523</v>
      </c>
      <c r="Q746" t="s">
        <v>2527</v>
      </c>
    </row>
    <row r="747" spans="1:17" x14ac:dyDescent="0.35">
      <c r="A747" t="s">
        <v>658</v>
      </c>
      <c r="B747" s="3">
        <v>44999</v>
      </c>
      <c r="C747" t="s">
        <v>2017</v>
      </c>
      <c r="D747" t="s">
        <v>2026</v>
      </c>
      <c r="E747" s="8">
        <v>2987</v>
      </c>
      <c r="F747">
        <v>3</v>
      </c>
      <c r="G747">
        <v>5</v>
      </c>
      <c r="H747" s="8">
        <v>8512.9500000000007</v>
      </c>
      <c r="I747">
        <v>1725.72</v>
      </c>
      <c r="J747">
        <v>3335.78</v>
      </c>
      <c r="K747" s="5">
        <f>IF(SalesData[[#This Row],[Total Revenue]]=0,0,SalesData[[#This Row],[Profit]]/SalesData[[#This Row],[Total Revenue]])</f>
        <v>0.39184771436458571</v>
      </c>
      <c r="L747" s="5" t="str">
        <f>TEXT(SalesData[[#This Row],[Date]],"mmm")</f>
        <v>Mar</v>
      </c>
      <c r="M747">
        <f>YEAR(SalesData[[#This Row],[Date]])</f>
        <v>2023</v>
      </c>
      <c r="N747">
        <f>WEEKNUM(SalesData[[#This Row],[Date]])</f>
        <v>11</v>
      </c>
      <c r="O747" t="s">
        <v>2392</v>
      </c>
      <c r="P747" t="s">
        <v>2522</v>
      </c>
      <c r="Q747" t="s">
        <v>2526</v>
      </c>
    </row>
    <row r="748" spans="1:17" x14ac:dyDescent="0.35">
      <c r="A748" t="s">
        <v>1820</v>
      </c>
      <c r="B748" s="3">
        <v>45170</v>
      </c>
      <c r="C748" t="s">
        <v>2019</v>
      </c>
      <c r="D748" t="s">
        <v>2027</v>
      </c>
      <c r="E748" s="8">
        <v>2007</v>
      </c>
      <c r="F748">
        <v>5</v>
      </c>
      <c r="G748">
        <v>15</v>
      </c>
      <c r="H748" s="8">
        <v>8529.75</v>
      </c>
      <c r="I748">
        <v>1319.26</v>
      </c>
      <c r="J748">
        <v>1933.46</v>
      </c>
      <c r="K748" s="5">
        <f>IF(SalesData[[#This Row],[Total Revenue]]=0,0,SalesData[[#This Row],[Profit]]/SalesData[[#This Row],[Total Revenue]])</f>
        <v>0.22667252850318004</v>
      </c>
      <c r="L748" s="5" t="str">
        <f>TEXT(SalesData[[#This Row],[Date]],"mmm")</f>
        <v>Sep</v>
      </c>
      <c r="M748">
        <f>YEAR(SalesData[[#This Row],[Date]])</f>
        <v>2023</v>
      </c>
      <c r="N748">
        <f>WEEKNUM(SalesData[[#This Row],[Date]])</f>
        <v>35</v>
      </c>
      <c r="O748" t="s">
        <v>2117</v>
      </c>
      <c r="P748" t="s">
        <v>2522</v>
      </c>
      <c r="Q748" t="s">
        <v>2525</v>
      </c>
    </row>
    <row r="749" spans="1:17" x14ac:dyDescent="0.35">
      <c r="A749" t="s">
        <v>514</v>
      </c>
      <c r="B749" s="3">
        <v>45094</v>
      </c>
      <c r="C749" t="s">
        <v>2020</v>
      </c>
      <c r="D749" t="s">
        <v>2028</v>
      </c>
      <c r="E749" s="8">
        <v>1434</v>
      </c>
      <c r="F749">
        <v>7</v>
      </c>
      <c r="G749">
        <v>15</v>
      </c>
      <c r="H749" s="8">
        <v>8532.2999999999993</v>
      </c>
      <c r="I749">
        <v>1118.9100000000001</v>
      </c>
      <c r="J749">
        <v>699.96</v>
      </c>
      <c r="K749" s="5">
        <f>IF(SalesData[[#This Row],[Total Revenue]]=0,0,SalesData[[#This Row],[Profit]]/SalesData[[#This Row],[Total Revenue]])</f>
        <v>8.2036496607011011E-2</v>
      </c>
      <c r="L749" s="5" t="str">
        <f>TEXT(SalesData[[#This Row],[Date]],"mmm")</f>
        <v>Jun</v>
      </c>
      <c r="M749">
        <f>YEAR(SalesData[[#This Row],[Date]])</f>
        <v>2023</v>
      </c>
      <c r="N749">
        <f>WEEKNUM(SalesData[[#This Row],[Date]])</f>
        <v>24</v>
      </c>
      <c r="O749" t="s">
        <v>2223</v>
      </c>
      <c r="P749" t="s">
        <v>2522</v>
      </c>
      <c r="Q749" t="s">
        <v>2524</v>
      </c>
    </row>
    <row r="750" spans="1:17" x14ac:dyDescent="0.35">
      <c r="A750" t="s">
        <v>845</v>
      </c>
      <c r="B750" s="3">
        <v>45162</v>
      </c>
      <c r="C750" t="s">
        <v>2019</v>
      </c>
      <c r="D750" t="s">
        <v>2027</v>
      </c>
      <c r="E750" s="8">
        <v>2995</v>
      </c>
      <c r="F750">
        <v>3</v>
      </c>
      <c r="G750">
        <v>5</v>
      </c>
      <c r="H750" s="8">
        <v>8535.75</v>
      </c>
      <c r="I750">
        <v>1835.1</v>
      </c>
      <c r="J750">
        <v>3030.46</v>
      </c>
      <c r="K750" s="5">
        <f>IF(SalesData[[#This Row],[Total Revenue]]=0,0,SalesData[[#This Row],[Profit]]/SalesData[[#This Row],[Total Revenue]])</f>
        <v>0.3550314852239112</v>
      </c>
      <c r="L750" s="5" t="str">
        <f>TEXT(SalesData[[#This Row],[Date]],"mmm")</f>
        <v>Aug</v>
      </c>
      <c r="M750">
        <f>YEAR(SalesData[[#This Row],[Date]])</f>
        <v>2023</v>
      </c>
      <c r="N750">
        <f>WEEKNUM(SalesData[[#This Row],[Date]])</f>
        <v>34</v>
      </c>
      <c r="O750" t="s">
        <v>2072</v>
      </c>
      <c r="P750" t="s">
        <v>2522</v>
      </c>
      <c r="Q750" t="s">
        <v>2524</v>
      </c>
    </row>
    <row r="751" spans="1:17" x14ac:dyDescent="0.35">
      <c r="A751" t="s">
        <v>1372</v>
      </c>
      <c r="B751" s="3">
        <v>45100</v>
      </c>
      <c r="C751" t="s">
        <v>2013</v>
      </c>
      <c r="D751" t="s">
        <v>2023</v>
      </c>
      <c r="E751" s="8">
        <v>2846</v>
      </c>
      <c r="F751">
        <v>3</v>
      </c>
      <c r="G751">
        <v>0</v>
      </c>
      <c r="H751" s="8">
        <v>8538</v>
      </c>
      <c r="I751">
        <v>2047.91</v>
      </c>
      <c r="J751">
        <v>2394.2600000000002</v>
      </c>
      <c r="K751" s="5">
        <f>IF(SalesData[[#This Row],[Total Revenue]]=0,0,SalesData[[#This Row],[Profit]]/SalesData[[#This Row],[Total Revenue]])</f>
        <v>0.28042398688217385</v>
      </c>
      <c r="L751" s="5" t="str">
        <f>TEXT(SalesData[[#This Row],[Date]],"mmm")</f>
        <v>Jun</v>
      </c>
      <c r="M751">
        <f>YEAR(SalesData[[#This Row],[Date]])</f>
        <v>2023</v>
      </c>
      <c r="N751">
        <f>WEEKNUM(SalesData[[#This Row],[Date]])</f>
        <v>25</v>
      </c>
      <c r="O751" t="s">
        <v>2307</v>
      </c>
      <c r="P751" t="s">
        <v>2523</v>
      </c>
      <c r="Q751" t="s">
        <v>2524</v>
      </c>
    </row>
    <row r="752" spans="1:17" x14ac:dyDescent="0.35">
      <c r="A752" t="s">
        <v>1438</v>
      </c>
      <c r="B752" s="3">
        <v>44972</v>
      </c>
      <c r="C752" t="s">
        <v>2018</v>
      </c>
      <c r="D752" t="s">
        <v>2026</v>
      </c>
      <c r="E752" s="8">
        <v>2141</v>
      </c>
      <c r="F752">
        <v>4</v>
      </c>
      <c r="G752">
        <v>0</v>
      </c>
      <c r="H752" s="8">
        <v>8564</v>
      </c>
      <c r="I752">
        <v>1274.73</v>
      </c>
      <c r="J752">
        <v>3465.07</v>
      </c>
      <c r="K752" s="5">
        <f>IF(SalesData[[#This Row],[Total Revenue]]=0,0,SalesData[[#This Row],[Profit]]/SalesData[[#This Row],[Total Revenue]])</f>
        <v>0.40460882765063055</v>
      </c>
      <c r="L752" s="5" t="str">
        <f>TEXT(SalesData[[#This Row],[Date]],"mmm")</f>
        <v>Feb</v>
      </c>
      <c r="M752">
        <f>YEAR(SalesData[[#This Row],[Date]])</f>
        <v>2023</v>
      </c>
      <c r="N752">
        <f>WEEKNUM(SalesData[[#This Row],[Date]])</f>
        <v>7</v>
      </c>
      <c r="O752" t="s">
        <v>2326</v>
      </c>
      <c r="P752" t="s">
        <v>2523</v>
      </c>
      <c r="Q752" t="s">
        <v>2525</v>
      </c>
    </row>
    <row r="753" spans="1:17" x14ac:dyDescent="0.35">
      <c r="A753" t="s">
        <v>1224</v>
      </c>
      <c r="B753" s="3">
        <v>45148</v>
      </c>
      <c r="C753" t="s">
        <v>2019</v>
      </c>
      <c r="D753" t="s">
        <v>2027</v>
      </c>
      <c r="E753" s="8">
        <v>1587</v>
      </c>
      <c r="F753">
        <v>6</v>
      </c>
      <c r="G753">
        <v>10</v>
      </c>
      <c r="H753" s="8">
        <v>8569.7999999999993</v>
      </c>
      <c r="I753">
        <v>1184.3</v>
      </c>
      <c r="J753">
        <v>1464.02</v>
      </c>
      <c r="K753" s="5">
        <f>IF(SalesData[[#This Row],[Total Revenue]]=0,0,SalesData[[#This Row],[Profit]]/SalesData[[#This Row],[Total Revenue]])</f>
        <v>0.17083479194380266</v>
      </c>
      <c r="L753" s="5" t="str">
        <f>TEXT(SalesData[[#This Row],[Date]],"mmm")</f>
        <v>Aug</v>
      </c>
      <c r="M753">
        <f>YEAR(SalesData[[#This Row],[Date]])</f>
        <v>2023</v>
      </c>
      <c r="N753">
        <f>WEEKNUM(SalesData[[#This Row],[Date]])</f>
        <v>32</v>
      </c>
      <c r="O753" t="s">
        <v>2488</v>
      </c>
      <c r="P753" t="s">
        <v>2523</v>
      </c>
      <c r="Q753" t="s">
        <v>2527</v>
      </c>
    </row>
    <row r="754" spans="1:17" x14ac:dyDescent="0.35">
      <c r="A754" t="s">
        <v>1212</v>
      </c>
      <c r="B754" s="3">
        <v>44980</v>
      </c>
      <c r="C754" t="s">
        <v>2020</v>
      </c>
      <c r="D754" t="s">
        <v>2028</v>
      </c>
      <c r="E754" s="8">
        <v>1905</v>
      </c>
      <c r="F754">
        <v>5</v>
      </c>
      <c r="G754">
        <v>10</v>
      </c>
      <c r="H754" s="8">
        <v>8572.5</v>
      </c>
      <c r="I754">
        <v>1227.5899999999999</v>
      </c>
      <c r="J754">
        <v>2434.5300000000002</v>
      </c>
      <c r="K754" s="5">
        <f>IF(SalesData[[#This Row],[Total Revenue]]=0,0,SalesData[[#This Row],[Profit]]/SalesData[[#This Row],[Total Revenue]])</f>
        <v>0.28399300087489066</v>
      </c>
      <c r="L754" s="5" t="str">
        <f>TEXT(SalesData[[#This Row],[Date]],"mmm")</f>
        <v>Feb</v>
      </c>
      <c r="M754">
        <f>YEAR(SalesData[[#This Row],[Date]])</f>
        <v>2023</v>
      </c>
      <c r="N754">
        <f>WEEKNUM(SalesData[[#This Row],[Date]])</f>
        <v>8</v>
      </c>
      <c r="O754" t="s">
        <v>2032</v>
      </c>
      <c r="P754" t="s">
        <v>2522</v>
      </c>
      <c r="Q754" t="s">
        <v>2527</v>
      </c>
    </row>
    <row r="755" spans="1:17" x14ac:dyDescent="0.35">
      <c r="A755" t="s">
        <v>1561</v>
      </c>
      <c r="B755" s="3">
        <v>45248</v>
      </c>
      <c r="C755" t="s">
        <v>2018</v>
      </c>
      <c r="D755" t="s">
        <v>2026</v>
      </c>
      <c r="E755" s="8">
        <v>1128</v>
      </c>
      <c r="F755">
        <v>8</v>
      </c>
      <c r="G755">
        <v>5</v>
      </c>
      <c r="H755" s="8">
        <v>8572.7999999999993</v>
      </c>
      <c r="I755">
        <v>748.91</v>
      </c>
      <c r="J755">
        <v>2581.5300000000002</v>
      </c>
      <c r="K755" s="5">
        <f>IF(SalesData[[#This Row],[Total Revenue]]=0,0,SalesData[[#This Row],[Profit]]/SalesData[[#This Row],[Total Revenue]])</f>
        <v>0.30113031914893623</v>
      </c>
      <c r="L755" s="5" t="str">
        <f>TEXT(SalesData[[#This Row],[Date]],"mmm")</f>
        <v>Nov</v>
      </c>
      <c r="M755">
        <f>YEAR(SalesData[[#This Row],[Date]])</f>
        <v>2023</v>
      </c>
      <c r="N755">
        <f>WEEKNUM(SalesData[[#This Row],[Date]])</f>
        <v>46</v>
      </c>
      <c r="O755" t="s">
        <v>2502</v>
      </c>
      <c r="P755" t="s">
        <v>2522</v>
      </c>
      <c r="Q755" t="s">
        <v>2524</v>
      </c>
    </row>
    <row r="756" spans="1:17" x14ac:dyDescent="0.35">
      <c r="A756" t="s">
        <v>1880</v>
      </c>
      <c r="B756" s="3">
        <v>45282</v>
      </c>
      <c r="C756" t="s">
        <v>2016</v>
      </c>
      <c r="D756" t="s">
        <v>2025</v>
      </c>
      <c r="E756" s="8">
        <v>1430</v>
      </c>
      <c r="F756">
        <v>6</v>
      </c>
      <c r="G756">
        <v>0</v>
      </c>
      <c r="H756" s="8">
        <v>8580</v>
      </c>
      <c r="I756">
        <v>901.73</v>
      </c>
      <c r="J756">
        <v>3169.65</v>
      </c>
      <c r="K756" s="5">
        <f>IF(SalesData[[#This Row],[Total Revenue]]=0,0,SalesData[[#This Row],[Profit]]/SalesData[[#This Row],[Total Revenue]])</f>
        <v>0.36942307692307691</v>
      </c>
      <c r="L756" s="5" t="str">
        <f>TEXT(SalesData[[#This Row],[Date]],"mmm")</f>
        <v>Dec</v>
      </c>
      <c r="M756">
        <f>YEAR(SalesData[[#This Row],[Date]])</f>
        <v>2023</v>
      </c>
      <c r="N756">
        <f>WEEKNUM(SalesData[[#This Row],[Date]])</f>
        <v>51</v>
      </c>
      <c r="O756" t="s">
        <v>2053</v>
      </c>
      <c r="P756" t="s">
        <v>2522</v>
      </c>
      <c r="Q756" t="s">
        <v>2527</v>
      </c>
    </row>
    <row r="757" spans="1:17" x14ac:dyDescent="0.35">
      <c r="A757" t="s">
        <v>388</v>
      </c>
      <c r="B757" s="3">
        <v>44971</v>
      </c>
      <c r="C757" t="s">
        <v>2013</v>
      </c>
      <c r="D757" t="s">
        <v>2023</v>
      </c>
      <c r="E757" s="8">
        <v>1911</v>
      </c>
      <c r="F757">
        <v>5</v>
      </c>
      <c r="G757">
        <v>10</v>
      </c>
      <c r="H757" s="8">
        <v>8599.5</v>
      </c>
      <c r="I757">
        <v>1518.1</v>
      </c>
      <c r="J757">
        <v>1009.02</v>
      </c>
      <c r="K757" s="5">
        <f>IF(SalesData[[#This Row],[Total Revenue]]=0,0,SalesData[[#This Row],[Profit]]/SalesData[[#This Row],[Total Revenue]])</f>
        <v>0.11733472876330019</v>
      </c>
      <c r="L757" s="5" t="str">
        <f>TEXT(SalesData[[#This Row],[Date]],"mmm")</f>
        <v>Feb</v>
      </c>
      <c r="M757">
        <f>YEAR(SalesData[[#This Row],[Date]])</f>
        <v>2023</v>
      </c>
      <c r="N757">
        <f>WEEKNUM(SalesData[[#This Row],[Date]])</f>
        <v>7</v>
      </c>
      <c r="O757" t="s">
        <v>2187</v>
      </c>
      <c r="P757" t="s">
        <v>2522</v>
      </c>
      <c r="Q757" t="s">
        <v>2525</v>
      </c>
    </row>
    <row r="758" spans="1:17" x14ac:dyDescent="0.35">
      <c r="A758" t="s">
        <v>339</v>
      </c>
      <c r="B758" s="3">
        <v>45143</v>
      </c>
      <c r="C758" t="s">
        <v>2017</v>
      </c>
      <c r="D758" t="s">
        <v>2026</v>
      </c>
      <c r="E758" s="8">
        <v>1915</v>
      </c>
      <c r="F758">
        <v>5</v>
      </c>
      <c r="G758">
        <v>10</v>
      </c>
      <c r="H758" s="8">
        <v>8617.5</v>
      </c>
      <c r="I758">
        <v>1004.77</v>
      </c>
      <c r="J758">
        <v>3593.63</v>
      </c>
      <c r="K758" s="5">
        <f>IF(SalesData[[#This Row],[Total Revenue]]=0,0,SalesData[[#This Row],[Profit]]/SalesData[[#This Row],[Total Revenue]])</f>
        <v>0.41701537568900493</v>
      </c>
      <c r="L758" s="5" t="str">
        <f>TEXT(SalesData[[#This Row],[Date]],"mmm")</f>
        <v>Aug</v>
      </c>
      <c r="M758">
        <f>YEAR(SalesData[[#This Row],[Date]])</f>
        <v>2023</v>
      </c>
      <c r="N758">
        <f>WEEKNUM(SalesData[[#This Row],[Date]])</f>
        <v>31</v>
      </c>
      <c r="O758" t="s">
        <v>2267</v>
      </c>
      <c r="P758" t="s">
        <v>2523</v>
      </c>
      <c r="Q758" t="s">
        <v>2527</v>
      </c>
    </row>
    <row r="759" spans="1:17" x14ac:dyDescent="0.35">
      <c r="A759" t="s">
        <v>1031</v>
      </c>
      <c r="B759" s="3">
        <v>45154</v>
      </c>
      <c r="C759" t="s">
        <v>2022</v>
      </c>
      <c r="D759" t="s">
        <v>2024</v>
      </c>
      <c r="E759" s="8">
        <v>4538</v>
      </c>
      <c r="F759">
        <v>2</v>
      </c>
      <c r="G759">
        <v>5</v>
      </c>
      <c r="H759" s="8">
        <v>8622.2000000000007</v>
      </c>
      <c r="I759">
        <v>2935.6</v>
      </c>
      <c r="J759">
        <v>2751</v>
      </c>
      <c r="K759" s="5">
        <f>IF(SalesData[[#This Row],[Total Revenue]]=0,0,SalesData[[#This Row],[Profit]]/SalesData[[#This Row],[Total Revenue]])</f>
        <v>0.3190601006703625</v>
      </c>
      <c r="L759" s="5" t="str">
        <f>TEXT(SalesData[[#This Row],[Date]],"mmm")</f>
        <v>Aug</v>
      </c>
      <c r="M759">
        <f>YEAR(SalesData[[#This Row],[Date]])</f>
        <v>2023</v>
      </c>
      <c r="N759">
        <f>WEEKNUM(SalesData[[#This Row],[Date]])</f>
        <v>33</v>
      </c>
      <c r="O759" t="s">
        <v>2119</v>
      </c>
      <c r="P759" t="s">
        <v>2523</v>
      </c>
      <c r="Q759" t="s">
        <v>2524</v>
      </c>
    </row>
    <row r="760" spans="1:17" x14ac:dyDescent="0.35">
      <c r="A760" t="s">
        <v>838</v>
      </c>
      <c r="B760" s="3">
        <v>45183</v>
      </c>
      <c r="C760" t="s">
        <v>2018</v>
      </c>
      <c r="D760" t="s">
        <v>2026</v>
      </c>
      <c r="E760" s="8">
        <v>4540</v>
      </c>
      <c r="F760">
        <v>2</v>
      </c>
      <c r="G760">
        <v>5</v>
      </c>
      <c r="H760" s="8">
        <v>8626</v>
      </c>
      <c r="I760">
        <v>3196.21</v>
      </c>
      <c r="J760">
        <v>2233.59</v>
      </c>
      <c r="K760" s="5">
        <f>IF(SalesData[[#This Row],[Total Revenue]]=0,0,SalesData[[#This Row],[Profit]]/SalesData[[#This Row],[Total Revenue]])</f>
        <v>0.25893693484813357</v>
      </c>
      <c r="L760" s="5" t="str">
        <f>TEXT(SalesData[[#This Row],[Date]],"mmm")</f>
        <v>Sep</v>
      </c>
      <c r="M760">
        <f>YEAR(SalesData[[#This Row],[Date]])</f>
        <v>2023</v>
      </c>
      <c r="N760">
        <f>WEEKNUM(SalesData[[#This Row],[Date]])</f>
        <v>37</v>
      </c>
      <c r="O760" t="s">
        <v>2348</v>
      </c>
      <c r="P760" t="s">
        <v>2523</v>
      </c>
      <c r="Q760" t="s">
        <v>2526</v>
      </c>
    </row>
    <row r="761" spans="1:17" x14ac:dyDescent="0.35">
      <c r="A761" t="s">
        <v>1605</v>
      </c>
      <c r="B761" s="3">
        <v>44970</v>
      </c>
      <c r="C761" t="s">
        <v>2015</v>
      </c>
      <c r="D761" t="s">
        <v>2025</v>
      </c>
      <c r="E761" s="8">
        <v>1010</v>
      </c>
      <c r="F761">
        <v>9</v>
      </c>
      <c r="G761">
        <v>5</v>
      </c>
      <c r="H761" s="8">
        <v>8635.5</v>
      </c>
      <c r="I761">
        <v>794.42</v>
      </c>
      <c r="J761">
        <v>1485.76</v>
      </c>
      <c r="K761" s="5">
        <f>IF(SalesData[[#This Row],[Total Revenue]]=0,0,SalesData[[#This Row],[Profit]]/SalesData[[#This Row],[Total Revenue]])</f>
        <v>0.17205257367842047</v>
      </c>
      <c r="L761" s="5" t="str">
        <f>TEXT(SalesData[[#This Row],[Date]],"mmm")</f>
        <v>Feb</v>
      </c>
      <c r="M761">
        <f>YEAR(SalesData[[#This Row],[Date]])</f>
        <v>2023</v>
      </c>
      <c r="N761">
        <f>WEEKNUM(SalesData[[#This Row],[Date]])</f>
        <v>7</v>
      </c>
      <c r="O761" t="s">
        <v>2220</v>
      </c>
      <c r="P761" t="s">
        <v>2522</v>
      </c>
      <c r="Q761" t="s">
        <v>2524</v>
      </c>
    </row>
    <row r="762" spans="1:17" x14ac:dyDescent="0.35">
      <c r="A762" t="s">
        <v>1336</v>
      </c>
      <c r="B762" s="3">
        <v>45107</v>
      </c>
      <c r="C762" t="s">
        <v>2019</v>
      </c>
      <c r="D762" t="s">
        <v>2027</v>
      </c>
      <c r="E762" s="8">
        <v>2543</v>
      </c>
      <c r="F762">
        <v>4</v>
      </c>
      <c r="G762">
        <v>15</v>
      </c>
      <c r="H762" s="8">
        <v>8646.2000000000007</v>
      </c>
      <c r="I762">
        <v>1693.39</v>
      </c>
      <c r="J762">
        <v>1872.64</v>
      </c>
      <c r="K762" s="5">
        <f>IF(SalesData[[#This Row],[Total Revenue]]=0,0,SalesData[[#This Row],[Profit]]/SalesData[[#This Row],[Total Revenue]])</f>
        <v>0.21658532071892855</v>
      </c>
      <c r="L762" s="5" t="str">
        <f>TEXT(SalesData[[#This Row],[Date]],"mmm")</f>
        <v>Jun</v>
      </c>
      <c r="M762">
        <f>YEAR(SalesData[[#This Row],[Date]])</f>
        <v>2023</v>
      </c>
      <c r="N762">
        <f>WEEKNUM(SalesData[[#This Row],[Date]])</f>
        <v>26</v>
      </c>
      <c r="O762" t="s">
        <v>2279</v>
      </c>
      <c r="P762" t="s">
        <v>2523</v>
      </c>
      <c r="Q762" t="s">
        <v>2525</v>
      </c>
    </row>
    <row r="763" spans="1:17" x14ac:dyDescent="0.35">
      <c r="A763" t="s">
        <v>649</v>
      </c>
      <c r="B763" s="3">
        <v>45157</v>
      </c>
      <c r="C763" t="s">
        <v>2015</v>
      </c>
      <c r="D763" t="s">
        <v>2025</v>
      </c>
      <c r="E763" s="8">
        <v>1702</v>
      </c>
      <c r="F763">
        <v>6</v>
      </c>
      <c r="G763">
        <v>15</v>
      </c>
      <c r="H763" s="8">
        <v>8680.2000000000007</v>
      </c>
      <c r="I763">
        <v>898.83</v>
      </c>
      <c r="J763">
        <v>3287.21</v>
      </c>
      <c r="K763" s="5">
        <f>IF(SalesData[[#This Row],[Total Revenue]]=0,0,SalesData[[#This Row],[Profit]]/SalesData[[#This Row],[Total Revenue]])</f>
        <v>0.37870210363816498</v>
      </c>
      <c r="L763" s="5" t="str">
        <f>TEXT(SalesData[[#This Row],[Date]],"mmm")</f>
        <v>Aug</v>
      </c>
      <c r="M763">
        <f>YEAR(SalesData[[#This Row],[Date]])</f>
        <v>2023</v>
      </c>
      <c r="N763">
        <f>WEEKNUM(SalesData[[#This Row],[Date]])</f>
        <v>33</v>
      </c>
      <c r="O763" t="s">
        <v>2296</v>
      </c>
      <c r="P763" t="s">
        <v>2523</v>
      </c>
      <c r="Q763" t="s">
        <v>2526</v>
      </c>
    </row>
    <row r="764" spans="1:17" x14ac:dyDescent="0.35">
      <c r="A764" t="s">
        <v>271</v>
      </c>
      <c r="B764" s="3">
        <v>45147</v>
      </c>
      <c r="C764" t="s">
        <v>2021</v>
      </c>
      <c r="D764" t="s">
        <v>2028</v>
      </c>
      <c r="E764" s="8">
        <v>4826</v>
      </c>
      <c r="F764">
        <v>2</v>
      </c>
      <c r="G764">
        <v>10</v>
      </c>
      <c r="H764" s="8">
        <v>8686.7999999999993</v>
      </c>
      <c r="I764">
        <v>3009.71</v>
      </c>
      <c r="J764">
        <v>2667.38</v>
      </c>
      <c r="K764" s="5">
        <f>IF(SalesData[[#This Row],[Total Revenue]]=0,0,SalesData[[#This Row],[Profit]]/SalesData[[#This Row],[Total Revenue]])</f>
        <v>0.30706128839158264</v>
      </c>
      <c r="L764" s="5" t="str">
        <f>TEXT(SalesData[[#This Row],[Date]],"mmm")</f>
        <v>Aug</v>
      </c>
      <c r="M764">
        <f>YEAR(SalesData[[#This Row],[Date]])</f>
        <v>2023</v>
      </c>
      <c r="N764">
        <f>WEEKNUM(SalesData[[#This Row],[Date]])</f>
        <v>32</v>
      </c>
      <c r="O764" t="s">
        <v>2231</v>
      </c>
      <c r="P764" t="s">
        <v>2522</v>
      </c>
      <c r="Q764" t="s">
        <v>2526</v>
      </c>
    </row>
    <row r="765" spans="1:17" x14ac:dyDescent="0.35">
      <c r="A765" t="s">
        <v>320</v>
      </c>
      <c r="B765" s="3">
        <v>44998</v>
      </c>
      <c r="C765" t="s">
        <v>2017</v>
      </c>
      <c r="D765" t="s">
        <v>2026</v>
      </c>
      <c r="E765" s="8">
        <v>4574</v>
      </c>
      <c r="F765">
        <v>2</v>
      </c>
      <c r="G765">
        <v>5</v>
      </c>
      <c r="H765" s="8">
        <v>8690.6</v>
      </c>
      <c r="I765">
        <v>2465.56</v>
      </c>
      <c r="J765">
        <v>3759.48</v>
      </c>
      <c r="K765" s="5">
        <f>IF(SalesData[[#This Row],[Total Revenue]]=0,0,SalesData[[#This Row],[Profit]]/SalesData[[#This Row],[Total Revenue]])</f>
        <v>0.43259153568223135</v>
      </c>
      <c r="L765" s="5" t="str">
        <f>TEXT(SalesData[[#This Row],[Date]],"mmm")</f>
        <v>Mar</v>
      </c>
      <c r="M765">
        <f>YEAR(SalesData[[#This Row],[Date]])</f>
        <v>2023</v>
      </c>
      <c r="N765">
        <f>WEEKNUM(SalesData[[#This Row],[Date]])</f>
        <v>11</v>
      </c>
      <c r="O765" t="s">
        <v>2196</v>
      </c>
      <c r="P765" t="s">
        <v>2523</v>
      </c>
      <c r="Q765" t="s">
        <v>2524</v>
      </c>
    </row>
    <row r="766" spans="1:17" x14ac:dyDescent="0.35">
      <c r="A766" t="s">
        <v>203</v>
      </c>
      <c r="B766" s="3">
        <v>45166</v>
      </c>
      <c r="C766" t="s">
        <v>2019</v>
      </c>
      <c r="D766" t="s">
        <v>2027</v>
      </c>
      <c r="E766" s="8">
        <v>2898</v>
      </c>
      <c r="F766">
        <v>3</v>
      </c>
      <c r="G766">
        <v>0</v>
      </c>
      <c r="H766" s="8">
        <v>8694</v>
      </c>
      <c r="I766">
        <v>2034.68</v>
      </c>
      <c r="J766">
        <v>2589.96</v>
      </c>
      <c r="K766" s="5">
        <f>IF(SalesData[[#This Row],[Total Revenue]]=0,0,SalesData[[#This Row],[Profit]]/SalesData[[#This Row],[Total Revenue]])</f>
        <v>0.29790200138026224</v>
      </c>
      <c r="L766" s="5" t="str">
        <f>TEXT(SalesData[[#This Row],[Date]],"mmm")</f>
        <v>Aug</v>
      </c>
      <c r="M766">
        <f>YEAR(SalesData[[#This Row],[Date]])</f>
        <v>2023</v>
      </c>
      <c r="N766">
        <f>WEEKNUM(SalesData[[#This Row],[Date]])</f>
        <v>35</v>
      </c>
      <c r="O766" t="s">
        <v>2150</v>
      </c>
      <c r="P766" t="s">
        <v>2522</v>
      </c>
      <c r="Q766" t="s">
        <v>2526</v>
      </c>
    </row>
    <row r="767" spans="1:17" x14ac:dyDescent="0.35">
      <c r="A767" t="s">
        <v>1841</v>
      </c>
      <c r="B767" s="3">
        <v>45164</v>
      </c>
      <c r="C767" t="s">
        <v>2015</v>
      </c>
      <c r="D767" t="s">
        <v>2025</v>
      </c>
      <c r="E767" s="8">
        <v>4832</v>
      </c>
      <c r="F767">
        <v>2</v>
      </c>
      <c r="G767">
        <v>10</v>
      </c>
      <c r="H767" s="8">
        <v>8697.6</v>
      </c>
      <c r="I767">
        <v>3855.87</v>
      </c>
      <c r="J767">
        <v>985.86</v>
      </c>
      <c r="K767" s="5">
        <f>IF(SalesData[[#This Row],[Total Revenue]]=0,0,SalesData[[#This Row],[Profit]]/SalesData[[#This Row],[Total Revenue]])</f>
        <v>0.11334850993377484</v>
      </c>
      <c r="L767" s="5" t="str">
        <f>TEXT(SalesData[[#This Row],[Date]],"mmm")</f>
        <v>Aug</v>
      </c>
      <c r="M767">
        <f>YEAR(SalesData[[#This Row],[Date]])</f>
        <v>2023</v>
      </c>
      <c r="N767">
        <f>WEEKNUM(SalesData[[#This Row],[Date]])</f>
        <v>34</v>
      </c>
      <c r="O767" t="s">
        <v>2223</v>
      </c>
      <c r="P767" t="s">
        <v>2523</v>
      </c>
      <c r="Q767" t="s">
        <v>2525</v>
      </c>
    </row>
    <row r="768" spans="1:17" x14ac:dyDescent="0.35">
      <c r="A768" t="s">
        <v>414</v>
      </c>
      <c r="B768" s="3">
        <v>44977</v>
      </c>
      <c r="C768" t="s">
        <v>2018</v>
      </c>
      <c r="D768" t="s">
        <v>2026</v>
      </c>
      <c r="E768" s="8">
        <v>1832</v>
      </c>
      <c r="F768">
        <v>5</v>
      </c>
      <c r="G768">
        <v>5</v>
      </c>
      <c r="H768" s="8">
        <v>8702</v>
      </c>
      <c r="I768">
        <v>958.7</v>
      </c>
      <c r="J768">
        <v>3908.52</v>
      </c>
      <c r="K768" s="5">
        <f>IF(SalesData[[#This Row],[Total Revenue]]=0,0,SalesData[[#This Row],[Profit]]/SalesData[[#This Row],[Total Revenue]])</f>
        <v>0.44915191909905766</v>
      </c>
      <c r="L768" s="5" t="str">
        <f>TEXT(SalesData[[#This Row],[Date]],"mmm")</f>
        <v>Feb</v>
      </c>
      <c r="M768">
        <f>YEAR(SalesData[[#This Row],[Date]])</f>
        <v>2023</v>
      </c>
      <c r="N768">
        <f>WEEKNUM(SalesData[[#This Row],[Date]])</f>
        <v>8</v>
      </c>
      <c r="O768" t="s">
        <v>2301</v>
      </c>
      <c r="P768" t="s">
        <v>2522</v>
      </c>
      <c r="Q768" t="s">
        <v>2526</v>
      </c>
    </row>
    <row r="769" spans="1:17" x14ac:dyDescent="0.35">
      <c r="A769" t="s">
        <v>54</v>
      </c>
      <c r="B769" s="3">
        <v>45151</v>
      </c>
      <c r="C769" t="s">
        <v>2016</v>
      </c>
      <c r="D769" t="s">
        <v>2025</v>
      </c>
      <c r="E769" s="8">
        <v>1244</v>
      </c>
      <c r="F769">
        <v>7</v>
      </c>
      <c r="G769">
        <v>0</v>
      </c>
      <c r="H769" s="8">
        <v>8708</v>
      </c>
      <c r="I769">
        <v>733.4</v>
      </c>
      <c r="J769">
        <v>3574.22</v>
      </c>
      <c r="K769" s="5">
        <f>IF(SalesData[[#This Row],[Total Revenue]]=0,0,SalesData[[#This Row],[Profit]]/SalesData[[#This Row],[Total Revenue]])</f>
        <v>0.41045245751033532</v>
      </c>
      <c r="L769" s="5" t="str">
        <f>TEXT(SalesData[[#This Row],[Date]],"mmm")</f>
        <v>Aug</v>
      </c>
      <c r="M769">
        <f>YEAR(SalesData[[#This Row],[Date]])</f>
        <v>2023</v>
      </c>
      <c r="N769">
        <f>WEEKNUM(SalesData[[#This Row],[Date]])</f>
        <v>33</v>
      </c>
      <c r="O769" t="s">
        <v>2066</v>
      </c>
      <c r="P769" t="s">
        <v>2522</v>
      </c>
      <c r="Q769" t="s">
        <v>2525</v>
      </c>
    </row>
    <row r="770" spans="1:17" x14ac:dyDescent="0.35">
      <c r="A770" t="s">
        <v>582</v>
      </c>
      <c r="B770" s="3">
        <v>45196</v>
      </c>
      <c r="C770" t="s">
        <v>2013</v>
      </c>
      <c r="D770" t="s">
        <v>2023</v>
      </c>
      <c r="E770" s="8">
        <v>2426</v>
      </c>
      <c r="F770">
        <v>4</v>
      </c>
      <c r="G770">
        <v>10</v>
      </c>
      <c r="H770" s="8">
        <v>8733.6</v>
      </c>
      <c r="I770">
        <v>1622.74</v>
      </c>
      <c r="J770">
        <v>2242.62</v>
      </c>
      <c r="K770" s="5">
        <f>IF(SalesData[[#This Row],[Total Revenue]]=0,0,SalesData[[#This Row],[Profit]]/SalesData[[#This Row],[Total Revenue]])</f>
        <v>0.25678070898598515</v>
      </c>
      <c r="L770" s="5" t="str">
        <f>TEXT(SalesData[[#This Row],[Date]],"mmm")</f>
        <v>Sep</v>
      </c>
      <c r="M770">
        <f>YEAR(SalesData[[#This Row],[Date]])</f>
        <v>2023</v>
      </c>
      <c r="N770">
        <f>WEEKNUM(SalesData[[#This Row],[Date]])</f>
        <v>39</v>
      </c>
      <c r="O770" t="s">
        <v>2029</v>
      </c>
      <c r="P770" t="s">
        <v>2523</v>
      </c>
      <c r="Q770" t="s">
        <v>2524</v>
      </c>
    </row>
    <row r="771" spans="1:17" x14ac:dyDescent="0.35">
      <c r="A771" t="s">
        <v>677</v>
      </c>
      <c r="B771" s="3">
        <v>45080</v>
      </c>
      <c r="C771" t="s">
        <v>2020</v>
      </c>
      <c r="D771" t="s">
        <v>2028</v>
      </c>
      <c r="E771" s="8">
        <v>1023</v>
      </c>
      <c r="F771">
        <v>9</v>
      </c>
      <c r="G771">
        <v>5</v>
      </c>
      <c r="H771" s="8">
        <v>8746.65</v>
      </c>
      <c r="I771">
        <v>734.92</v>
      </c>
      <c r="J771">
        <v>2132.35</v>
      </c>
      <c r="K771" s="5">
        <f>IF(SalesData[[#This Row],[Total Revenue]]=0,0,SalesData[[#This Row],[Profit]]/SalesData[[#This Row],[Total Revenue]])</f>
        <v>0.24379047978368862</v>
      </c>
      <c r="L771" s="5" t="str">
        <f>TEXT(SalesData[[#This Row],[Date]],"mmm")</f>
        <v>Jun</v>
      </c>
      <c r="M771">
        <f>YEAR(SalesData[[#This Row],[Date]])</f>
        <v>2023</v>
      </c>
      <c r="N771">
        <f>WEEKNUM(SalesData[[#This Row],[Date]])</f>
        <v>22</v>
      </c>
      <c r="O771" t="s">
        <v>2039</v>
      </c>
      <c r="P771" t="s">
        <v>2522</v>
      </c>
      <c r="Q771" t="s">
        <v>2524</v>
      </c>
    </row>
    <row r="772" spans="1:17" x14ac:dyDescent="0.35">
      <c r="A772" t="s">
        <v>1092</v>
      </c>
      <c r="B772" s="3">
        <v>45197</v>
      </c>
      <c r="C772" t="s">
        <v>2014</v>
      </c>
      <c r="D772" t="s">
        <v>2024</v>
      </c>
      <c r="E772" s="8">
        <v>4604</v>
      </c>
      <c r="F772">
        <v>2</v>
      </c>
      <c r="G772">
        <v>5</v>
      </c>
      <c r="H772" s="8">
        <v>8747.6</v>
      </c>
      <c r="I772">
        <v>2714.52</v>
      </c>
      <c r="J772">
        <v>3318.57</v>
      </c>
      <c r="K772" s="5">
        <f>IF(SalesData[[#This Row],[Total Revenue]]=0,0,SalesData[[#This Row],[Profit]]/SalesData[[#This Row],[Total Revenue]])</f>
        <v>0.37936919840870637</v>
      </c>
      <c r="L772" s="5" t="str">
        <f>TEXT(SalesData[[#This Row],[Date]],"mmm")</f>
        <v>Sep</v>
      </c>
      <c r="M772">
        <f>YEAR(SalesData[[#This Row],[Date]])</f>
        <v>2023</v>
      </c>
      <c r="N772">
        <f>WEEKNUM(SalesData[[#This Row],[Date]])</f>
        <v>39</v>
      </c>
      <c r="O772" t="s">
        <v>2163</v>
      </c>
      <c r="P772" t="s">
        <v>2522</v>
      </c>
      <c r="Q772" t="s">
        <v>2525</v>
      </c>
    </row>
    <row r="773" spans="1:17" x14ac:dyDescent="0.35">
      <c r="A773" t="s">
        <v>1614</v>
      </c>
      <c r="B773" s="3">
        <v>45134</v>
      </c>
      <c r="C773" t="s">
        <v>2018</v>
      </c>
      <c r="D773" t="s">
        <v>2026</v>
      </c>
      <c r="E773" s="8">
        <v>2917</v>
      </c>
      <c r="F773">
        <v>3</v>
      </c>
      <c r="G773">
        <v>0</v>
      </c>
      <c r="H773" s="8">
        <v>8751</v>
      </c>
      <c r="I773">
        <v>2023.84</v>
      </c>
      <c r="J773">
        <v>2679.49</v>
      </c>
      <c r="K773" s="5">
        <f>IF(SalesData[[#This Row],[Total Revenue]]=0,0,SalesData[[#This Row],[Profit]]/SalesData[[#This Row],[Total Revenue]])</f>
        <v>0.3061924351502685</v>
      </c>
      <c r="L773" s="5" t="str">
        <f>TEXT(SalesData[[#This Row],[Date]],"mmm")</f>
        <v>Jul</v>
      </c>
      <c r="M773">
        <f>YEAR(SalesData[[#This Row],[Date]])</f>
        <v>2023</v>
      </c>
      <c r="N773">
        <f>WEEKNUM(SalesData[[#This Row],[Date]])</f>
        <v>30</v>
      </c>
      <c r="O773" t="s">
        <v>2203</v>
      </c>
      <c r="P773" t="s">
        <v>2523</v>
      </c>
      <c r="Q773" t="s">
        <v>2525</v>
      </c>
    </row>
    <row r="774" spans="1:17" x14ac:dyDescent="0.35">
      <c r="A774" t="s">
        <v>1813</v>
      </c>
      <c r="B774" s="3">
        <v>45031</v>
      </c>
      <c r="C774" t="s">
        <v>2014</v>
      </c>
      <c r="D774" t="s">
        <v>2024</v>
      </c>
      <c r="E774" s="8">
        <v>2575</v>
      </c>
      <c r="F774">
        <v>4</v>
      </c>
      <c r="G774">
        <v>15</v>
      </c>
      <c r="H774" s="8">
        <v>8755</v>
      </c>
      <c r="I774">
        <v>1508.1</v>
      </c>
      <c r="J774">
        <v>2722.59</v>
      </c>
      <c r="K774" s="5">
        <f>IF(SalesData[[#This Row],[Total Revenue]]=0,0,SalesData[[#This Row],[Profit]]/SalesData[[#This Row],[Total Revenue]])</f>
        <v>0.31097544260422616</v>
      </c>
      <c r="L774" s="5" t="str">
        <f>TEXT(SalesData[[#This Row],[Date]],"mmm")</f>
        <v>Apr</v>
      </c>
      <c r="M774">
        <f>YEAR(SalesData[[#This Row],[Date]])</f>
        <v>2023</v>
      </c>
      <c r="N774">
        <f>WEEKNUM(SalesData[[#This Row],[Date]])</f>
        <v>15</v>
      </c>
      <c r="O774" t="s">
        <v>2303</v>
      </c>
      <c r="P774" t="s">
        <v>2522</v>
      </c>
      <c r="Q774" t="s">
        <v>2526</v>
      </c>
    </row>
    <row r="775" spans="1:17" x14ac:dyDescent="0.35">
      <c r="A775" t="s">
        <v>1552</v>
      </c>
      <c r="B775" s="3">
        <v>45251</v>
      </c>
      <c r="C775" t="s">
        <v>2013</v>
      </c>
      <c r="D775" t="s">
        <v>2023</v>
      </c>
      <c r="E775" s="8">
        <v>2577</v>
      </c>
      <c r="F775">
        <v>4</v>
      </c>
      <c r="G775">
        <v>15</v>
      </c>
      <c r="H775" s="8">
        <v>8761.7999999999993</v>
      </c>
      <c r="I775">
        <v>1868.99</v>
      </c>
      <c r="J775">
        <v>1285.8499999999999</v>
      </c>
      <c r="K775" s="5">
        <f>IF(SalesData[[#This Row],[Total Revenue]]=0,0,SalesData[[#This Row],[Profit]]/SalesData[[#This Row],[Total Revenue]])</f>
        <v>0.14675637426099661</v>
      </c>
      <c r="L775" s="5" t="str">
        <f>TEXT(SalesData[[#This Row],[Date]],"mmm")</f>
        <v>Nov</v>
      </c>
      <c r="M775">
        <f>YEAR(SalesData[[#This Row],[Date]])</f>
        <v>2023</v>
      </c>
      <c r="N775">
        <f>WEEKNUM(SalesData[[#This Row],[Date]])</f>
        <v>47</v>
      </c>
      <c r="O775" t="s">
        <v>2192</v>
      </c>
      <c r="P775" t="s">
        <v>2522</v>
      </c>
      <c r="Q775" t="s">
        <v>2524</v>
      </c>
    </row>
    <row r="776" spans="1:17" x14ac:dyDescent="0.35">
      <c r="A776" t="s">
        <v>728</v>
      </c>
      <c r="B776" s="3">
        <v>45182</v>
      </c>
      <c r="C776" t="s">
        <v>2014</v>
      </c>
      <c r="D776" t="s">
        <v>2024</v>
      </c>
      <c r="E776" s="8">
        <v>1153</v>
      </c>
      <c r="F776">
        <v>8</v>
      </c>
      <c r="G776">
        <v>5</v>
      </c>
      <c r="H776" s="8">
        <v>8762.7999999999993</v>
      </c>
      <c r="I776">
        <v>840.71</v>
      </c>
      <c r="J776">
        <v>2037.12</v>
      </c>
      <c r="K776" s="5">
        <f>IF(SalesData[[#This Row],[Total Revenue]]=0,0,SalesData[[#This Row],[Profit]]/SalesData[[#This Row],[Total Revenue]])</f>
        <v>0.23247363856301639</v>
      </c>
      <c r="L776" s="5" t="str">
        <f>TEXT(SalesData[[#This Row],[Date]],"mmm")</f>
        <v>Sep</v>
      </c>
      <c r="M776">
        <f>YEAR(SalesData[[#This Row],[Date]])</f>
        <v>2023</v>
      </c>
      <c r="N776">
        <f>WEEKNUM(SalesData[[#This Row],[Date]])</f>
        <v>37</v>
      </c>
      <c r="O776" t="s">
        <v>2078</v>
      </c>
      <c r="P776" t="s">
        <v>2523</v>
      </c>
      <c r="Q776" t="s">
        <v>2524</v>
      </c>
    </row>
    <row r="777" spans="1:17" x14ac:dyDescent="0.35">
      <c r="A777" t="s">
        <v>625</v>
      </c>
      <c r="B777" s="3">
        <v>45088</v>
      </c>
      <c r="C777" t="s">
        <v>2016</v>
      </c>
      <c r="D777" t="s">
        <v>2025</v>
      </c>
      <c r="E777" s="8">
        <v>2579</v>
      </c>
      <c r="F777">
        <v>4</v>
      </c>
      <c r="G777">
        <v>15</v>
      </c>
      <c r="H777" s="8">
        <v>8768.6</v>
      </c>
      <c r="I777">
        <v>1469.67</v>
      </c>
      <c r="J777">
        <v>2889.93</v>
      </c>
      <c r="K777" s="5">
        <f>IF(SalesData[[#This Row],[Total Revenue]]=0,0,SalesData[[#This Row],[Profit]]/SalesData[[#This Row],[Total Revenue]])</f>
        <v>0.32957712747759044</v>
      </c>
      <c r="L777" s="5" t="str">
        <f>TEXT(SalesData[[#This Row],[Date]],"mmm")</f>
        <v>Jun</v>
      </c>
      <c r="M777">
        <f>YEAR(SalesData[[#This Row],[Date]])</f>
        <v>2023</v>
      </c>
      <c r="N777">
        <f>WEEKNUM(SalesData[[#This Row],[Date]])</f>
        <v>24</v>
      </c>
      <c r="O777" t="s">
        <v>2381</v>
      </c>
      <c r="P777" t="s">
        <v>2523</v>
      </c>
      <c r="Q777" t="s">
        <v>2524</v>
      </c>
    </row>
    <row r="778" spans="1:17" x14ac:dyDescent="0.35">
      <c r="A778" t="s">
        <v>1073</v>
      </c>
      <c r="B778" s="3">
        <v>45228</v>
      </c>
      <c r="C778" t="s">
        <v>2013</v>
      </c>
      <c r="D778" t="s">
        <v>2023</v>
      </c>
      <c r="E778" s="8">
        <v>1256</v>
      </c>
      <c r="F778">
        <v>7</v>
      </c>
      <c r="G778">
        <v>0</v>
      </c>
      <c r="H778" s="8">
        <v>8792</v>
      </c>
      <c r="I778">
        <v>669.67</v>
      </c>
      <c r="J778">
        <v>4104.33</v>
      </c>
      <c r="K778" s="5">
        <f>IF(SalesData[[#This Row],[Total Revenue]]=0,0,SalesData[[#This Row],[Profit]]/SalesData[[#This Row],[Total Revenue]])</f>
        <v>0.46682552320291171</v>
      </c>
      <c r="L778" s="5" t="str">
        <f>TEXT(SalesData[[#This Row],[Date]],"mmm")</f>
        <v>Oct</v>
      </c>
      <c r="M778">
        <f>YEAR(SalesData[[#This Row],[Date]])</f>
        <v>2023</v>
      </c>
      <c r="N778">
        <f>WEEKNUM(SalesData[[#This Row],[Date]])</f>
        <v>44</v>
      </c>
      <c r="O778" t="s">
        <v>2137</v>
      </c>
      <c r="P778" t="s">
        <v>2522</v>
      </c>
      <c r="Q778" t="s">
        <v>2527</v>
      </c>
    </row>
    <row r="779" spans="1:17" x14ac:dyDescent="0.35">
      <c r="A779" t="s">
        <v>559</v>
      </c>
      <c r="B779" s="3">
        <v>45180</v>
      </c>
      <c r="C779" t="s">
        <v>2022</v>
      </c>
      <c r="D779" t="s">
        <v>2024</v>
      </c>
      <c r="E779" s="8">
        <v>2936</v>
      </c>
      <c r="F779">
        <v>3</v>
      </c>
      <c r="G779">
        <v>0</v>
      </c>
      <c r="H779" s="8">
        <v>8808</v>
      </c>
      <c r="I779">
        <v>2085.4</v>
      </c>
      <c r="J779">
        <v>2551.81</v>
      </c>
      <c r="K779" s="5">
        <f>IF(SalesData[[#This Row],[Total Revenue]]=0,0,SalesData[[#This Row],[Profit]]/SalesData[[#This Row],[Total Revenue]])</f>
        <v>0.28971503178928248</v>
      </c>
      <c r="L779" s="5" t="str">
        <f>TEXT(SalesData[[#This Row],[Date]],"mmm")</f>
        <v>Sep</v>
      </c>
      <c r="M779">
        <f>YEAR(SalesData[[#This Row],[Date]])</f>
        <v>2023</v>
      </c>
      <c r="N779">
        <f>WEEKNUM(SalesData[[#This Row],[Date]])</f>
        <v>37</v>
      </c>
      <c r="O779" t="s">
        <v>2186</v>
      </c>
      <c r="P779" t="s">
        <v>2522</v>
      </c>
      <c r="Q779" t="s">
        <v>2525</v>
      </c>
    </row>
    <row r="780" spans="1:17" x14ac:dyDescent="0.35">
      <c r="A780" t="s">
        <v>1310</v>
      </c>
      <c r="B780" s="3">
        <v>45211</v>
      </c>
      <c r="C780" t="s">
        <v>2020</v>
      </c>
      <c r="D780" t="s">
        <v>2028</v>
      </c>
      <c r="E780" s="8">
        <v>2939</v>
      </c>
      <c r="F780">
        <v>3</v>
      </c>
      <c r="G780">
        <v>0</v>
      </c>
      <c r="H780" s="8">
        <v>8817</v>
      </c>
      <c r="I780">
        <v>1723.29</v>
      </c>
      <c r="J780">
        <v>3647.12</v>
      </c>
      <c r="K780" s="5">
        <f>IF(SalesData[[#This Row],[Total Revenue]]=0,0,SalesData[[#This Row],[Profit]]/SalesData[[#This Row],[Total Revenue]])</f>
        <v>0.41364636497674945</v>
      </c>
      <c r="L780" s="5" t="str">
        <f>TEXT(SalesData[[#This Row],[Date]],"mmm")</f>
        <v>Oct</v>
      </c>
      <c r="M780">
        <f>YEAR(SalesData[[#This Row],[Date]])</f>
        <v>2023</v>
      </c>
      <c r="N780">
        <f>WEEKNUM(SalesData[[#This Row],[Date]])</f>
        <v>41</v>
      </c>
      <c r="O780" t="s">
        <v>2361</v>
      </c>
      <c r="P780" t="s">
        <v>2523</v>
      </c>
      <c r="Q780" t="s">
        <v>2526</v>
      </c>
    </row>
    <row r="781" spans="1:17" x14ac:dyDescent="0.35">
      <c r="A781" t="s">
        <v>1227</v>
      </c>
      <c r="B781" s="3">
        <v>45191</v>
      </c>
      <c r="C781" t="s">
        <v>2014</v>
      </c>
      <c r="D781" t="s">
        <v>2024</v>
      </c>
      <c r="E781" s="8">
        <v>2323</v>
      </c>
      <c r="F781">
        <v>4</v>
      </c>
      <c r="G781">
        <v>5</v>
      </c>
      <c r="H781" s="8">
        <v>8827.4</v>
      </c>
      <c r="I781">
        <v>1811.22</v>
      </c>
      <c r="J781">
        <v>1582.51</v>
      </c>
      <c r="K781" s="5">
        <f>IF(SalesData[[#This Row],[Total Revenue]]=0,0,SalesData[[#This Row],[Profit]]/SalesData[[#This Row],[Total Revenue]])</f>
        <v>0.17927249246663798</v>
      </c>
      <c r="L781" s="5" t="str">
        <f>TEXT(SalesData[[#This Row],[Date]],"mmm")</f>
        <v>Sep</v>
      </c>
      <c r="M781">
        <f>YEAR(SalesData[[#This Row],[Date]])</f>
        <v>2023</v>
      </c>
      <c r="N781">
        <f>WEEKNUM(SalesData[[#This Row],[Date]])</f>
        <v>38</v>
      </c>
      <c r="O781" t="s">
        <v>2489</v>
      </c>
      <c r="P781" t="s">
        <v>2522</v>
      </c>
      <c r="Q781" t="s">
        <v>2526</v>
      </c>
    </row>
    <row r="782" spans="1:17" x14ac:dyDescent="0.35">
      <c r="A782" t="s">
        <v>1626</v>
      </c>
      <c r="B782" s="3">
        <v>45221</v>
      </c>
      <c r="C782" t="s">
        <v>2021</v>
      </c>
      <c r="D782" t="s">
        <v>2028</v>
      </c>
      <c r="E782" s="8">
        <v>1862</v>
      </c>
      <c r="F782">
        <v>5</v>
      </c>
      <c r="G782">
        <v>5</v>
      </c>
      <c r="H782" s="8">
        <v>8844.5</v>
      </c>
      <c r="I782">
        <v>978.35</v>
      </c>
      <c r="J782">
        <v>3952.74</v>
      </c>
      <c r="K782" s="5">
        <f>IF(SalesData[[#This Row],[Total Revenue]]=0,0,SalesData[[#This Row],[Profit]]/SalesData[[#This Row],[Total Revenue]])</f>
        <v>0.4469150319407541</v>
      </c>
      <c r="L782" s="5" t="str">
        <f>TEXT(SalesData[[#This Row],[Date]],"mmm")</f>
        <v>Oct</v>
      </c>
      <c r="M782">
        <f>YEAR(SalesData[[#This Row],[Date]])</f>
        <v>2023</v>
      </c>
      <c r="N782">
        <f>WEEKNUM(SalesData[[#This Row],[Date]])</f>
        <v>43</v>
      </c>
      <c r="O782" t="s">
        <v>2317</v>
      </c>
      <c r="P782" t="s">
        <v>2523</v>
      </c>
      <c r="Q782" t="s">
        <v>2525</v>
      </c>
    </row>
    <row r="783" spans="1:17" x14ac:dyDescent="0.35">
      <c r="A783" t="s">
        <v>974</v>
      </c>
      <c r="B783" s="3">
        <v>45151</v>
      </c>
      <c r="C783" t="s">
        <v>2019</v>
      </c>
      <c r="D783" t="s">
        <v>2027</v>
      </c>
      <c r="E783" s="8">
        <v>1332</v>
      </c>
      <c r="F783">
        <v>7</v>
      </c>
      <c r="G783">
        <v>5</v>
      </c>
      <c r="H783" s="8">
        <v>8857.7999999999993</v>
      </c>
      <c r="I783">
        <v>1042.3800000000001</v>
      </c>
      <c r="J783">
        <v>1561.15</v>
      </c>
      <c r="K783" s="5">
        <f>IF(SalesData[[#This Row],[Total Revenue]]=0,0,SalesData[[#This Row],[Profit]]/SalesData[[#This Row],[Total Revenue]])</f>
        <v>0.17624579466684731</v>
      </c>
      <c r="L783" s="5" t="str">
        <f>TEXT(SalesData[[#This Row],[Date]],"mmm")</f>
        <v>Aug</v>
      </c>
      <c r="M783">
        <f>YEAR(SalesData[[#This Row],[Date]])</f>
        <v>2023</v>
      </c>
      <c r="N783">
        <f>WEEKNUM(SalesData[[#This Row],[Date]])</f>
        <v>33</v>
      </c>
      <c r="O783" t="s">
        <v>2092</v>
      </c>
      <c r="P783" t="s">
        <v>2523</v>
      </c>
      <c r="Q783" t="s">
        <v>2527</v>
      </c>
    </row>
    <row r="784" spans="1:17" x14ac:dyDescent="0.35">
      <c r="A784" t="s">
        <v>1898</v>
      </c>
      <c r="B784" s="3">
        <v>45235</v>
      </c>
      <c r="C784" t="s">
        <v>2013</v>
      </c>
      <c r="D784" t="s">
        <v>2023</v>
      </c>
      <c r="E784" s="8">
        <v>985</v>
      </c>
      <c r="F784">
        <v>10</v>
      </c>
      <c r="G784">
        <v>10</v>
      </c>
      <c r="H784" s="8">
        <v>8865</v>
      </c>
      <c r="I784">
        <v>731.4</v>
      </c>
      <c r="J784">
        <v>1551.04</v>
      </c>
      <c r="K784" s="5">
        <f>IF(SalesData[[#This Row],[Total Revenue]]=0,0,SalesData[[#This Row],[Profit]]/SalesData[[#This Row],[Total Revenue]])</f>
        <v>0.17496221094190637</v>
      </c>
      <c r="L784" s="5" t="str">
        <f>TEXT(SalesData[[#This Row],[Date]],"mmm")</f>
        <v>Nov</v>
      </c>
      <c r="M784">
        <f>YEAR(SalesData[[#This Row],[Date]])</f>
        <v>2023</v>
      </c>
      <c r="N784">
        <f>WEEKNUM(SalesData[[#This Row],[Date]])</f>
        <v>45</v>
      </c>
      <c r="O784" t="s">
        <v>2260</v>
      </c>
      <c r="P784" t="s">
        <v>2522</v>
      </c>
      <c r="Q784" t="s">
        <v>2525</v>
      </c>
    </row>
    <row r="785" spans="1:17" x14ac:dyDescent="0.35">
      <c r="A785" t="s">
        <v>624</v>
      </c>
      <c r="B785" s="3">
        <v>44966</v>
      </c>
      <c r="C785" t="s">
        <v>2019</v>
      </c>
      <c r="D785" t="s">
        <v>2027</v>
      </c>
      <c r="E785" s="8">
        <v>4675</v>
      </c>
      <c r="F785">
        <v>2</v>
      </c>
      <c r="G785">
        <v>5</v>
      </c>
      <c r="H785" s="8">
        <v>8882.5</v>
      </c>
      <c r="I785">
        <v>3588.24</v>
      </c>
      <c r="J785">
        <v>1706.01</v>
      </c>
      <c r="K785" s="5">
        <f>IF(SalesData[[#This Row],[Total Revenue]]=0,0,SalesData[[#This Row],[Profit]]/SalesData[[#This Row],[Total Revenue]])</f>
        <v>0.19206417112299465</v>
      </c>
      <c r="L785" s="5" t="str">
        <f>TEXT(SalesData[[#This Row],[Date]],"mmm")</f>
        <v>Feb</v>
      </c>
      <c r="M785">
        <f>YEAR(SalesData[[#This Row],[Date]])</f>
        <v>2023</v>
      </c>
      <c r="N785">
        <f>WEEKNUM(SalesData[[#This Row],[Date]])</f>
        <v>6</v>
      </c>
      <c r="O785" t="s">
        <v>2079</v>
      </c>
      <c r="P785" t="s">
        <v>2522</v>
      </c>
      <c r="Q785" t="s">
        <v>2527</v>
      </c>
    </row>
    <row r="786" spans="1:17" x14ac:dyDescent="0.35">
      <c r="A786" t="s">
        <v>475</v>
      </c>
      <c r="B786" s="3">
        <v>45168</v>
      </c>
      <c r="C786" t="s">
        <v>2018</v>
      </c>
      <c r="D786" t="s">
        <v>2026</v>
      </c>
      <c r="E786" s="8">
        <v>2092</v>
      </c>
      <c r="F786">
        <v>5</v>
      </c>
      <c r="G786">
        <v>15</v>
      </c>
      <c r="H786" s="8">
        <v>8891</v>
      </c>
      <c r="I786">
        <v>1132.33</v>
      </c>
      <c r="J786">
        <v>3229.36</v>
      </c>
      <c r="K786" s="5">
        <f>IF(SalesData[[#This Row],[Total Revenue]]=0,0,SalesData[[#This Row],[Profit]]/SalesData[[#This Row],[Total Revenue]])</f>
        <v>0.36321673602519405</v>
      </c>
      <c r="L786" s="5" t="str">
        <f>TEXT(SalesData[[#This Row],[Date]],"mmm")</f>
        <v>Aug</v>
      </c>
      <c r="M786">
        <f>YEAR(SalesData[[#This Row],[Date]])</f>
        <v>2023</v>
      </c>
      <c r="N786">
        <f>WEEKNUM(SalesData[[#This Row],[Date]])</f>
        <v>35</v>
      </c>
      <c r="O786" t="s">
        <v>2211</v>
      </c>
      <c r="P786" t="s">
        <v>2523</v>
      </c>
      <c r="Q786" t="s">
        <v>2526</v>
      </c>
    </row>
    <row r="787" spans="1:17" x14ac:dyDescent="0.35">
      <c r="A787" t="s">
        <v>602</v>
      </c>
      <c r="B787" s="3">
        <v>45132</v>
      </c>
      <c r="C787" t="s">
        <v>2017</v>
      </c>
      <c r="D787" t="s">
        <v>2026</v>
      </c>
      <c r="E787" s="8">
        <v>2096</v>
      </c>
      <c r="F787">
        <v>5</v>
      </c>
      <c r="G787">
        <v>15</v>
      </c>
      <c r="H787" s="8">
        <v>8908</v>
      </c>
      <c r="I787">
        <v>1516.46</v>
      </c>
      <c r="J787">
        <v>1325.72</v>
      </c>
      <c r="K787" s="5">
        <f>IF(SalesData[[#This Row],[Total Revenue]]=0,0,SalesData[[#This Row],[Profit]]/SalesData[[#This Row],[Total Revenue]])</f>
        <v>0.14882352941176472</v>
      </c>
      <c r="L787" s="5" t="str">
        <f>TEXT(SalesData[[#This Row],[Date]],"mmm")</f>
        <v>Jul</v>
      </c>
      <c r="M787">
        <f>YEAR(SalesData[[#This Row],[Date]])</f>
        <v>2023</v>
      </c>
      <c r="N787">
        <f>WEEKNUM(SalesData[[#This Row],[Date]])</f>
        <v>30</v>
      </c>
      <c r="O787" t="s">
        <v>2128</v>
      </c>
      <c r="P787" t="s">
        <v>2522</v>
      </c>
      <c r="Q787" t="s">
        <v>2527</v>
      </c>
    </row>
    <row r="788" spans="1:17" x14ac:dyDescent="0.35">
      <c r="A788" t="s">
        <v>1608</v>
      </c>
      <c r="B788" s="3">
        <v>44947</v>
      </c>
      <c r="C788" t="s">
        <v>2022</v>
      </c>
      <c r="D788" t="s">
        <v>2024</v>
      </c>
      <c r="E788" s="8">
        <v>1342</v>
      </c>
      <c r="F788">
        <v>7</v>
      </c>
      <c r="G788">
        <v>5</v>
      </c>
      <c r="H788" s="8">
        <v>8924.2999999999993</v>
      </c>
      <c r="I788">
        <v>751.58</v>
      </c>
      <c r="J788">
        <v>3663.25</v>
      </c>
      <c r="K788" s="5">
        <f>IF(SalesData[[#This Row],[Total Revenue]]=0,0,SalesData[[#This Row],[Profit]]/SalesData[[#This Row],[Total Revenue]])</f>
        <v>0.41048037381083113</v>
      </c>
      <c r="L788" s="5" t="str">
        <f>TEXT(SalesData[[#This Row],[Date]],"mmm")</f>
        <v>Jan</v>
      </c>
      <c r="M788">
        <f>YEAR(SalesData[[#This Row],[Date]])</f>
        <v>2023</v>
      </c>
      <c r="N788">
        <f>WEEKNUM(SalesData[[#This Row],[Date]])</f>
        <v>3</v>
      </c>
      <c r="O788" t="s">
        <v>2492</v>
      </c>
      <c r="P788" t="s">
        <v>2523</v>
      </c>
      <c r="Q788" t="s">
        <v>2525</v>
      </c>
    </row>
    <row r="789" spans="1:17" x14ac:dyDescent="0.35">
      <c r="A789" t="s">
        <v>422</v>
      </c>
      <c r="B789" s="3">
        <v>45032</v>
      </c>
      <c r="C789" t="s">
        <v>2013</v>
      </c>
      <c r="D789" t="s">
        <v>2023</v>
      </c>
      <c r="E789" s="8">
        <v>1988</v>
      </c>
      <c r="F789">
        <v>5</v>
      </c>
      <c r="G789">
        <v>10</v>
      </c>
      <c r="H789" s="8">
        <v>8946</v>
      </c>
      <c r="I789">
        <v>1096.83</v>
      </c>
      <c r="J789">
        <v>3461.85</v>
      </c>
      <c r="K789" s="5">
        <f>IF(SalesData[[#This Row],[Total Revenue]]=0,0,SalesData[[#This Row],[Profit]]/SalesData[[#This Row],[Total Revenue]])</f>
        <v>0.38697183098591548</v>
      </c>
      <c r="L789" s="5" t="str">
        <f>TEXT(SalesData[[#This Row],[Date]],"mmm")</f>
        <v>Apr</v>
      </c>
      <c r="M789">
        <f>YEAR(SalesData[[#This Row],[Date]])</f>
        <v>2023</v>
      </c>
      <c r="N789">
        <f>WEEKNUM(SalesData[[#This Row],[Date]])</f>
        <v>16</v>
      </c>
      <c r="O789" t="s">
        <v>2070</v>
      </c>
      <c r="P789" t="s">
        <v>2523</v>
      </c>
      <c r="Q789" t="s">
        <v>2526</v>
      </c>
    </row>
    <row r="790" spans="1:17" x14ac:dyDescent="0.35">
      <c r="A790" t="s">
        <v>547</v>
      </c>
      <c r="B790" s="3">
        <v>44970</v>
      </c>
      <c r="C790" t="s">
        <v>2018</v>
      </c>
      <c r="D790" t="s">
        <v>2026</v>
      </c>
      <c r="E790" s="8">
        <v>4972</v>
      </c>
      <c r="F790">
        <v>2</v>
      </c>
      <c r="G790">
        <v>10</v>
      </c>
      <c r="H790" s="8">
        <v>8949.6</v>
      </c>
      <c r="I790">
        <v>3873.2</v>
      </c>
      <c r="J790">
        <v>1203.21</v>
      </c>
      <c r="K790" s="5">
        <f>IF(SalesData[[#This Row],[Total Revenue]]=0,0,SalesData[[#This Row],[Profit]]/SalesData[[#This Row],[Total Revenue]])</f>
        <v>0.13444288012872083</v>
      </c>
      <c r="L790" s="5" t="str">
        <f>TEXT(SalesData[[#This Row],[Date]],"mmm")</f>
        <v>Feb</v>
      </c>
      <c r="M790">
        <f>YEAR(SalesData[[#This Row],[Date]])</f>
        <v>2023</v>
      </c>
      <c r="N790">
        <f>WEEKNUM(SalesData[[#This Row],[Date]])</f>
        <v>7</v>
      </c>
      <c r="O790" t="s">
        <v>2223</v>
      </c>
      <c r="P790" t="s">
        <v>2522</v>
      </c>
      <c r="Q790" t="s">
        <v>2527</v>
      </c>
    </row>
    <row r="791" spans="1:17" x14ac:dyDescent="0.35">
      <c r="A791" t="s">
        <v>976</v>
      </c>
      <c r="B791" s="3">
        <v>45159</v>
      </c>
      <c r="C791" t="s">
        <v>2022</v>
      </c>
      <c r="D791" t="s">
        <v>2024</v>
      </c>
      <c r="E791" s="8">
        <v>1319</v>
      </c>
      <c r="F791">
        <v>8</v>
      </c>
      <c r="G791">
        <v>15</v>
      </c>
      <c r="H791" s="8">
        <v>8969.2000000000007</v>
      </c>
      <c r="I791">
        <v>952.01</v>
      </c>
      <c r="J791">
        <v>1353.08</v>
      </c>
      <c r="K791" s="5">
        <f>IF(SalesData[[#This Row],[Total Revenue]]=0,0,SalesData[[#This Row],[Profit]]/SalesData[[#This Row],[Total Revenue]])</f>
        <v>0.15085849351112696</v>
      </c>
      <c r="L791" s="5" t="str">
        <f>TEXT(SalesData[[#This Row],[Date]],"mmm")</f>
        <v>Aug</v>
      </c>
      <c r="M791">
        <f>YEAR(SalesData[[#This Row],[Date]])</f>
        <v>2023</v>
      </c>
      <c r="N791">
        <f>WEEKNUM(SalesData[[#This Row],[Date]])</f>
        <v>34</v>
      </c>
      <c r="O791" t="s">
        <v>2259</v>
      </c>
      <c r="P791" t="s">
        <v>2522</v>
      </c>
      <c r="Q791" t="s">
        <v>2526</v>
      </c>
    </row>
    <row r="792" spans="1:17" x14ac:dyDescent="0.35">
      <c r="A792" t="s">
        <v>1612</v>
      </c>
      <c r="B792" s="3">
        <v>45284</v>
      </c>
      <c r="C792" t="s">
        <v>2018</v>
      </c>
      <c r="D792" t="s">
        <v>2026</v>
      </c>
      <c r="E792" s="8">
        <v>2362</v>
      </c>
      <c r="F792">
        <v>4</v>
      </c>
      <c r="G792">
        <v>5</v>
      </c>
      <c r="H792" s="8">
        <v>8975.6</v>
      </c>
      <c r="I792">
        <v>1886.24</v>
      </c>
      <c r="J792">
        <v>1430.62</v>
      </c>
      <c r="K792" s="5">
        <f>IF(SalesData[[#This Row],[Total Revenue]]=0,0,SalesData[[#This Row],[Profit]]/SalesData[[#This Row],[Total Revenue]])</f>
        <v>0.15938990151076249</v>
      </c>
      <c r="L792" s="5" t="str">
        <f>TEXT(SalesData[[#This Row],[Date]],"mmm")</f>
        <v>Dec</v>
      </c>
      <c r="M792">
        <f>YEAR(SalesData[[#This Row],[Date]])</f>
        <v>2023</v>
      </c>
      <c r="N792">
        <f>WEEKNUM(SalesData[[#This Row],[Date]])</f>
        <v>52</v>
      </c>
      <c r="O792" t="s">
        <v>2066</v>
      </c>
      <c r="P792" t="s">
        <v>2523</v>
      </c>
      <c r="Q792" t="s">
        <v>2526</v>
      </c>
    </row>
    <row r="793" spans="1:17" x14ac:dyDescent="0.35">
      <c r="A793" t="s">
        <v>426</v>
      </c>
      <c r="B793" s="3">
        <v>44955</v>
      </c>
      <c r="C793" t="s">
        <v>2021</v>
      </c>
      <c r="D793" t="s">
        <v>2028</v>
      </c>
      <c r="E793" s="8">
        <v>1184</v>
      </c>
      <c r="F793">
        <v>8</v>
      </c>
      <c r="G793">
        <v>5</v>
      </c>
      <c r="H793" s="8">
        <v>8998.4</v>
      </c>
      <c r="I793">
        <v>809.67</v>
      </c>
      <c r="J793">
        <v>2521.0300000000002</v>
      </c>
      <c r="K793" s="5">
        <f>IF(SalesData[[#This Row],[Total Revenue]]=0,0,SalesData[[#This Row],[Profit]]/SalesData[[#This Row],[Total Revenue]])</f>
        <v>0.28016425142247514</v>
      </c>
      <c r="L793" s="5" t="str">
        <f>TEXT(SalesData[[#This Row],[Date]],"mmm")</f>
        <v>Jan</v>
      </c>
      <c r="M793">
        <f>YEAR(SalesData[[#This Row],[Date]])</f>
        <v>2023</v>
      </c>
      <c r="N793">
        <f>WEEKNUM(SalesData[[#This Row],[Date]])</f>
        <v>5</v>
      </c>
      <c r="O793" t="s">
        <v>2195</v>
      </c>
      <c r="P793" t="s">
        <v>2522</v>
      </c>
      <c r="Q793" t="s">
        <v>2525</v>
      </c>
    </row>
    <row r="794" spans="1:17" x14ac:dyDescent="0.35">
      <c r="A794" t="s">
        <v>870</v>
      </c>
      <c r="B794" s="3">
        <v>44933</v>
      </c>
      <c r="C794" t="s">
        <v>2014</v>
      </c>
      <c r="D794" t="s">
        <v>2024</v>
      </c>
      <c r="E794" s="8">
        <v>1179</v>
      </c>
      <c r="F794">
        <v>9</v>
      </c>
      <c r="G794">
        <v>15</v>
      </c>
      <c r="H794" s="8">
        <v>9019.35</v>
      </c>
      <c r="I794">
        <v>619.57000000000005</v>
      </c>
      <c r="J794">
        <v>3443.22</v>
      </c>
      <c r="K794" s="5">
        <f>IF(SalesData[[#This Row],[Total Revenue]]=0,0,SalesData[[#This Row],[Profit]]/SalesData[[#This Row],[Total Revenue]])</f>
        <v>0.38175921768198368</v>
      </c>
      <c r="L794" s="5" t="str">
        <f>TEXT(SalesData[[#This Row],[Date]],"mmm")</f>
        <v>Jan</v>
      </c>
      <c r="M794">
        <f>YEAR(SalesData[[#This Row],[Date]])</f>
        <v>2023</v>
      </c>
      <c r="N794">
        <f>WEEKNUM(SalesData[[#This Row],[Date]])</f>
        <v>1</v>
      </c>
      <c r="O794" t="s">
        <v>2070</v>
      </c>
      <c r="P794" t="s">
        <v>2522</v>
      </c>
      <c r="Q794" t="s">
        <v>2526</v>
      </c>
    </row>
    <row r="795" spans="1:17" x14ac:dyDescent="0.35">
      <c r="A795" t="s">
        <v>349</v>
      </c>
      <c r="B795" s="3">
        <v>45253</v>
      </c>
      <c r="C795" t="s">
        <v>2016</v>
      </c>
      <c r="D795" t="s">
        <v>2025</v>
      </c>
      <c r="E795" s="8">
        <v>2123</v>
      </c>
      <c r="F795">
        <v>5</v>
      </c>
      <c r="G795">
        <v>15</v>
      </c>
      <c r="H795" s="8">
        <v>9022.75</v>
      </c>
      <c r="I795">
        <v>1545.92</v>
      </c>
      <c r="J795">
        <v>1293.1500000000001</v>
      </c>
      <c r="K795" s="5">
        <f>IF(SalesData[[#This Row],[Total Revenue]]=0,0,SalesData[[#This Row],[Profit]]/SalesData[[#This Row],[Total Revenue]])</f>
        <v>0.14332104956914468</v>
      </c>
      <c r="L795" s="5" t="str">
        <f>TEXT(SalesData[[#This Row],[Date]],"mmm")</f>
        <v>Nov</v>
      </c>
      <c r="M795">
        <f>YEAR(SalesData[[#This Row],[Date]])</f>
        <v>2023</v>
      </c>
      <c r="N795">
        <f>WEEKNUM(SalesData[[#This Row],[Date]])</f>
        <v>47</v>
      </c>
      <c r="O795" t="s">
        <v>2123</v>
      </c>
      <c r="P795" t="s">
        <v>2523</v>
      </c>
      <c r="Q795" t="s">
        <v>2524</v>
      </c>
    </row>
    <row r="796" spans="1:17" x14ac:dyDescent="0.35">
      <c r="A796" t="s">
        <v>719</v>
      </c>
      <c r="B796" s="3">
        <v>45003</v>
      </c>
      <c r="C796" t="s">
        <v>2014</v>
      </c>
      <c r="D796" t="s">
        <v>2024</v>
      </c>
      <c r="E796" s="8">
        <v>2128</v>
      </c>
      <c r="F796">
        <v>5</v>
      </c>
      <c r="G796">
        <v>15</v>
      </c>
      <c r="H796" s="8">
        <v>9044</v>
      </c>
      <c r="I796">
        <v>1333.26</v>
      </c>
      <c r="J796">
        <v>2377.6799999999998</v>
      </c>
      <c r="K796" s="5">
        <f>IF(SalesData[[#This Row],[Total Revenue]]=0,0,SalesData[[#This Row],[Profit]]/SalesData[[#This Row],[Total Revenue]])</f>
        <v>0.26290137107474565</v>
      </c>
      <c r="L796" s="5" t="str">
        <f>TEXT(SalesData[[#This Row],[Date]],"mmm")</f>
        <v>Mar</v>
      </c>
      <c r="M796">
        <f>YEAR(SalesData[[#This Row],[Date]])</f>
        <v>2023</v>
      </c>
      <c r="N796">
        <f>WEEKNUM(SalesData[[#This Row],[Date]])</f>
        <v>11</v>
      </c>
      <c r="O796" t="s">
        <v>2031</v>
      </c>
      <c r="P796" t="s">
        <v>2522</v>
      </c>
      <c r="Q796" t="s">
        <v>2525</v>
      </c>
    </row>
    <row r="797" spans="1:17" x14ac:dyDescent="0.35">
      <c r="A797" t="s">
        <v>932</v>
      </c>
      <c r="B797" s="3">
        <v>45285</v>
      </c>
      <c r="C797" t="s">
        <v>2018</v>
      </c>
      <c r="D797" t="s">
        <v>2026</v>
      </c>
      <c r="E797" s="8">
        <v>1183</v>
      </c>
      <c r="F797">
        <v>9</v>
      </c>
      <c r="G797">
        <v>15</v>
      </c>
      <c r="H797" s="8">
        <v>9049.9500000000007</v>
      </c>
      <c r="I797">
        <v>690.23</v>
      </c>
      <c r="J797">
        <v>2837.85</v>
      </c>
      <c r="K797" s="5">
        <f>IF(SalesData[[#This Row],[Total Revenue]]=0,0,SalesData[[#This Row],[Profit]]/SalesData[[#This Row],[Total Revenue]])</f>
        <v>0.31357631810120495</v>
      </c>
      <c r="L797" s="5" t="str">
        <f>TEXT(SalesData[[#This Row],[Date]],"mmm")</f>
        <v>Dec</v>
      </c>
      <c r="M797">
        <f>YEAR(SalesData[[#This Row],[Date]])</f>
        <v>2023</v>
      </c>
      <c r="N797">
        <f>WEEKNUM(SalesData[[#This Row],[Date]])</f>
        <v>52</v>
      </c>
      <c r="O797" t="s">
        <v>2397</v>
      </c>
      <c r="P797" t="s">
        <v>2522</v>
      </c>
      <c r="Q797" t="s">
        <v>2525</v>
      </c>
    </row>
    <row r="798" spans="1:17" x14ac:dyDescent="0.35">
      <c r="A798" t="s">
        <v>208</v>
      </c>
      <c r="B798" s="3">
        <v>45260</v>
      </c>
      <c r="C798" t="s">
        <v>2013</v>
      </c>
      <c r="D798" t="s">
        <v>2023</v>
      </c>
      <c r="E798" s="8">
        <v>1589</v>
      </c>
      <c r="F798">
        <v>6</v>
      </c>
      <c r="G798">
        <v>5</v>
      </c>
      <c r="H798" s="8">
        <v>9057.2999999999993</v>
      </c>
      <c r="I798">
        <v>1108.26</v>
      </c>
      <c r="J798">
        <v>2407.75</v>
      </c>
      <c r="K798" s="5">
        <f>IF(SalesData[[#This Row],[Total Revenue]]=0,0,SalesData[[#This Row],[Profit]]/SalesData[[#This Row],[Total Revenue]])</f>
        <v>0.26583529307851128</v>
      </c>
      <c r="L798" s="5" t="str">
        <f>TEXT(SalesData[[#This Row],[Date]],"mmm")</f>
        <v>Nov</v>
      </c>
      <c r="M798">
        <f>YEAR(SalesData[[#This Row],[Date]])</f>
        <v>2023</v>
      </c>
      <c r="N798">
        <f>WEEKNUM(SalesData[[#This Row],[Date]])</f>
        <v>48</v>
      </c>
      <c r="O798" t="s">
        <v>2188</v>
      </c>
      <c r="P798" t="s">
        <v>2523</v>
      </c>
      <c r="Q798" t="s">
        <v>2524</v>
      </c>
    </row>
    <row r="799" spans="1:17" x14ac:dyDescent="0.35">
      <c r="A799" t="s">
        <v>2000</v>
      </c>
      <c r="B799" s="3">
        <v>45287</v>
      </c>
      <c r="C799" t="s">
        <v>2014</v>
      </c>
      <c r="D799" t="s">
        <v>2024</v>
      </c>
      <c r="E799" s="8">
        <v>1066</v>
      </c>
      <c r="F799">
        <v>10</v>
      </c>
      <c r="G799">
        <v>15</v>
      </c>
      <c r="H799" s="8">
        <v>9061</v>
      </c>
      <c r="I799">
        <v>647.05999999999995</v>
      </c>
      <c r="J799">
        <v>2590.4</v>
      </c>
      <c r="K799" s="5">
        <f>IF(SalesData[[#This Row],[Total Revenue]]=0,0,SalesData[[#This Row],[Profit]]/SalesData[[#This Row],[Total Revenue]])</f>
        <v>0.28588456020306813</v>
      </c>
      <c r="L799" s="5" t="str">
        <f>TEXT(SalesData[[#This Row],[Date]],"mmm")</f>
        <v>Dec</v>
      </c>
      <c r="M799">
        <f>YEAR(SalesData[[#This Row],[Date]])</f>
        <v>2023</v>
      </c>
      <c r="N799">
        <f>WEEKNUM(SalesData[[#This Row],[Date]])</f>
        <v>52</v>
      </c>
      <c r="O799" t="s">
        <v>2129</v>
      </c>
      <c r="P799" t="s">
        <v>2523</v>
      </c>
      <c r="Q799" t="s">
        <v>2527</v>
      </c>
    </row>
    <row r="800" spans="1:17" x14ac:dyDescent="0.35">
      <c r="A800" t="s">
        <v>451</v>
      </c>
      <c r="B800" s="3">
        <v>45111</v>
      </c>
      <c r="C800" t="s">
        <v>2018</v>
      </c>
      <c r="D800" t="s">
        <v>2026</v>
      </c>
      <c r="E800" s="8">
        <v>1336</v>
      </c>
      <c r="F800">
        <v>8</v>
      </c>
      <c r="G800">
        <v>15</v>
      </c>
      <c r="H800" s="8">
        <v>9084.7999999999993</v>
      </c>
      <c r="I800">
        <v>949.27</v>
      </c>
      <c r="J800">
        <v>1490.62</v>
      </c>
      <c r="K800" s="5">
        <f>IF(SalesData[[#This Row],[Total Revenue]]=0,0,SalesData[[#This Row],[Profit]]/SalesData[[#This Row],[Total Revenue]])</f>
        <v>0.16407846072560761</v>
      </c>
      <c r="L800" s="5" t="str">
        <f>TEXT(SalesData[[#This Row],[Date]],"mmm")</f>
        <v>Jul</v>
      </c>
      <c r="M800">
        <f>YEAR(SalesData[[#This Row],[Date]])</f>
        <v>2023</v>
      </c>
      <c r="N800">
        <f>WEEKNUM(SalesData[[#This Row],[Date]])</f>
        <v>27</v>
      </c>
      <c r="O800" t="s">
        <v>2315</v>
      </c>
      <c r="P800" t="s">
        <v>2522</v>
      </c>
      <c r="Q800" t="s">
        <v>2527</v>
      </c>
    </row>
    <row r="801" spans="1:17" x14ac:dyDescent="0.35">
      <c r="A801" t="s">
        <v>214</v>
      </c>
      <c r="B801" s="3">
        <v>45136</v>
      </c>
      <c r="C801" t="s">
        <v>2021</v>
      </c>
      <c r="D801" t="s">
        <v>2028</v>
      </c>
      <c r="E801" s="8">
        <v>2672</v>
      </c>
      <c r="F801">
        <v>4</v>
      </c>
      <c r="G801">
        <v>15</v>
      </c>
      <c r="H801" s="8">
        <v>9084.7999999999993</v>
      </c>
      <c r="I801">
        <v>2110.7600000000002</v>
      </c>
      <c r="J801">
        <v>641.76</v>
      </c>
      <c r="K801" s="5">
        <f>IF(SalesData[[#This Row],[Total Revenue]]=0,0,SalesData[[#This Row],[Profit]]/SalesData[[#This Row],[Total Revenue]])</f>
        <v>7.0641070799577321E-2</v>
      </c>
      <c r="L801" s="5" t="str">
        <f>TEXT(SalesData[[#This Row],[Date]],"mmm")</f>
        <v>Jul</v>
      </c>
      <c r="M801">
        <f>YEAR(SalesData[[#This Row],[Date]])</f>
        <v>2023</v>
      </c>
      <c r="N801">
        <f>WEEKNUM(SalesData[[#This Row],[Date]])</f>
        <v>30</v>
      </c>
      <c r="O801" t="s">
        <v>2192</v>
      </c>
      <c r="P801" t="s">
        <v>2523</v>
      </c>
      <c r="Q801" t="s">
        <v>2527</v>
      </c>
    </row>
    <row r="802" spans="1:17" x14ac:dyDescent="0.35">
      <c r="A802" t="s">
        <v>1191</v>
      </c>
      <c r="B802" s="3">
        <v>45189</v>
      </c>
      <c r="C802" t="s">
        <v>2018</v>
      </c>
      <c r="D802" t="s">
        <v>2026</v>
      </c>
      <c r="E802" s="8">
        <v>1010</v>
      </c>
      <c r="F802">
        <v>10</v>
      </c>
      <c r="G802">
        <v>10</v>
      </c>
      <c r="H802" s="8">
        <v>9090</v>
      </c>
      <c r="I802">
        <v>617.57000000000005</v>
      </c>
      <c r="J802">
        <v>2914.34</v>
      </c>
      <c r="K802" s="5">
        <f>IF(SalesData[[#This Row],[Total Revenue]]=0,0,SalesData[[#This Row],[Profit]]/SalesData[[#This Row],[Total Revenue]])</f>
        <v>0.3206094609460946</v>
      </c>
      <c r="L802" s="5" t="str">
        <f>TEXT(SalesData[[#This Row],[Date]],"mmm")</f>
        <v>Sep</v>
      </c>
      <c r="M802">
        <f>YEAR(SalesData[[#This Row],[Date]])</f>
        <v>2023</v>
      </c>
      <c r="N802">
        <f>WEEKNUM(SalesData[[#This Row],[Date]])</f>
        <v>38</v>
      </c>
      <c r="O802" t="s">
        <v>2483</v>
      </c>
      <c r="P802" t="s">
        <v>2522</v>
      </c>
      <c r="Q802" t="s">
        <v>2527</v>
      </c>
    </row>
    <row r="803" spans="1:17" x14ac:dyDescent="0.35">
      <c r="A803" t="s">
        <v>297</v>
      </c>
      <c r="B803" s="3">
        <v>45100</v>
      </c>
      <c r="C803" t="s">
        <v>2013</v>
      </c>
      <c r="D803" t="s">
        <v>2023</v>
      </c>
      <c r="E803" s="8">
        <v>958</v>
      </c>
      <c r="F803">
        <v>10</v>
      </c>
      <c r="G803">
        <v>5</v>
      </c>
      <c r="H803" s="8">
        <v>9101</v>
      </c>
      <c r="I803">
        <v>521.58000000000004</v>
      </c>
      <c r="J803">
        <v>3885.22</v>
      </c>
      <c r="K803" s="5">
        <f>IF(SalesData[[#This Row],[Total Revenue]]=0,0,SalesData[[#This Row],[Profit]]/SalesData[[#This Row],[Total Revenue]])</f>
        <v>0.42690034062190968</v>
      </c>
      <c r="L803" s="5" t="str">
        <f>TEXT(SalesData[[#This Row],[Date]],"mmm")</f>
        <v>Jun</v>
      </c>
      <c r="M803">
        <f>YEAR(SalesData[[#This Row],[Date]])</f>
        <v>2023</v>
      </c>
      <c r="N803">
        <f>WEEKNUM(SalesData[[#This Row],[Date]])</f>
        <v>25</v>
      </c>
      <c r="O803" t="s">
        <v>2120</v>
      </c>
      <c r="P803" t="s">
        <v>2523</v>
      </c>
      <c r="Q803" t="s">
        <v>2526</v>
      </c>
    </row>
    <row r="804" spans="1:17" x14ac:dyDescent="0.35">
      <c r="A804" t="s">
        <v>935</v>
      </c>
      <c r="B804" s="3">
        <v>45181</v>
      </c>
      <c r="C804" t="s">
        <v>2017</v>
      </c>
      <c r="D804" t="s">
        <v>2026</v>
      </c>
      <c r="E804" s="8">
        <v>3373</v>
      </c>
      <c r="F804">
        <v>3</v>
      </c>
      <c r="G804">
        <v>10</v>
      </c>
      <c r="H804" s="8">
        <v>9107.1</v>
      </c>
      <c r="I804">
        <v>2608.46</v>
      </c>
      <c r="J804">
        <v>1281.71</v>
      </c>
      <c r="K804" s="5">
        <f>IF(SalesData[[#This Row],[Total Revenue]]=0,0,SalesData[[#This Row],[Profit]]/SalesData[[#This Row],[Total Revenue]])</f>
        <v>0.14073744660759188</v>
      </c>
      <c r="L804" s="5" t="str">
        <f>TEXT(SalesData[[#This Row],[Date]],"mmm")</f>
        <v>Sep</v>
      </c>
      <c r="M804">
        <f>YEAR(SalesData[[#This Row],[Date]])</f>
        <v>2023</v>
      </c>
      <c r="N804">
        <f>WEEKNUM(SalesData[[#This Row],[Date]])</f>
        <v>37</v>
      </c>
      <c r="O804" t="s">
        <v>2354</v>
      </c>
      <c r="P804" t="s">
        <v>2523</v>
      </c>
      <c r="Q804" t="s">
        <v>2527</v>
      </c>
    </row>
    <row r="805" spans="1:17" x14ac:dyDescent="0.35">
      <c r="A805" t="s">
        <v>1500</v>
      </c>
      <c r="B805" s="3">
        <v>45136</v>
      </c>
      <c r="C805" t="s">
        <v>2017</v>
      </c>
      <c r="D805" t="s">
        <v>2026</v>
      </c>
      <c r="E805" s="8">
        <v>3573</v>
      </c>
      <c r="F805">
        <v>3</v>
      </c>
      <c r="G805">
        <v>15</v>
      </c>
      <c r="H805" s="8">
        <v>9111.15</v>
      </c>
      <c r="I805">
        <v>2163.2600000000002</v>
      </c>
      <c r="J805">
        <v>2621.37</v>
      </c>
      <c r="K805" s="5">
        <f>IF(SalesData[[#This Row],[Total Revenue]]=0,0,SalesData[[#This Row],[Profit]]/SalesData[[#This Row],[Total Revenue]])</f>
        <v>0.28771011343244268</v>
      </c>
      <c r="L805" s="5" t="str">
        <f>TEXT(SalesData[[#This Row],[Date]],"mmm")</f>
        <v>Jul</v>
      </c>
      <c r="M805">
        <f>YEAR(SalesData[[#This Row],[Date]])</f>
        <v>2023</v>
      </c>
      <c r="N805">
        <f>WEEKNUM(SalesData[[#This Row],[Date]])</f>
        <v>30</v>
      </c>
      <c r="O805" t="s">
        <v>2451</v>
      </c>
      <c r="P805" t="s">
        <v>2522</v>
      </c>
      <c r="Q805" t="s">
        <v>2526</v>
      </c>
    </row>
    <row r="806" spans="1:17" x14ac:dyDescent="0.35">
      <c r="A806" t="s">
        <v>774</v>
      </c>
      <c r="B806" s="3">
        <v>45132</v>
      </c>
      <c r="C806" t="s">
        <v>2016</v>
      </c>
      <c r="D806" t="s">
        <v>2025</v>
      </c>
      <c r="E806" s="8">
        <v>1919</v>
      </c>
      <c r="F806">
        <v>5</v>
      </c>
      <c r="G806">
        <v>5</v>
      </c>
      <c r="H806" s="8">
        <v>9115.25</v>
      </c>
      <c r="I806">
        <v>1388.64</v>
      </c>
      <c r="J806">
        <v>2172.0300000000002</v>
      </c>
      <c r="K806" s="5">
        <f>IF(SalesData[[#This Row],[Total Revenue]]=0,0,SalesData[[#This Row],[Profit]]/SalesData[[#This Row],[Total Revenue]])</f>
        <v>0.23828529113299143</v>
      </c>
      <c r="L806" s="5" t="str">
        <f>TEXT(SalesData[[#This Row],[Date]],"mmm")</f>
        <v>Jul</v>
      </c>
      <c r="M806">
        <f>YEAR(SalesData[[#This Row],[Date]])</f>
        <v>2023</v>
      </c>
      <c r="N806">
        <f>WEEKNUM(SalesData[[#This Row],[Date]])</f>
        <v>30</v>
      </c>
      <c r="O806" t="s">
        <v>2084</v>
      </c>
      <c r="P806" t="s">
        <v>2523</v>
      </c>
      <c r="Q806" t="s">
        <v>2526</v>
      </c>
    </row>
    <row r="807" spans="1:17" x14ac:dyDescent="0.35">
      <c r="A807" t="s">
        <v>1436</v>
      </c>
      <c r="B807" s="3">
        <v>44937</v>
      </c>
      <c r="C807" t="s">
        <v>2013</v>
      </c>
      <c r="D807" t="s">
        <v>2023</v>
      </c>
      <c r="E807" s="8">
        <v>3204</v>
      </c>
      <c r="F807">
        <v>3</v>
      </c>
      <c r="G807">
        <v>5</v>
      </c>
      <c r="H807" s="8">
        <v>9131.4</v>
      </c>
      <c r="I807">
        <v>1869.79</v>
      </c>
      <c r="J807">
        <v>3522.03</v>
      </c>
      <c r="K807" s="5">
        <f>IF(SalesData[[#This Row],[Total Revenue]]=0,0,SalesData[[#This Row],[Profit]]/SalesData[[#This Row],[Total Revenue]])</f>
        <v>0.38570536828963797</v>
      </c>
      <c r="L807" s="5" t="str">
        <f>TEXT(SalesData[[#This Row],[Date]],"mmm")</f>
        <v>Jan</v>
      </c>
      <c r="M807">
        <f>YEAR(SalesData[[#This Row],[Date]])</f>
        <v>2023</v>
      </c>
      <c r="N807">
        <f>WEEKNUM(SalesData[[#This Row],[Date]])</f>
        <v>2</v>
      </c>
      <c r="O807" t="s">
        <v>2478</v>
      </c>
      <c r="P807" t="s">
        <v>2522</v>
      </c>
      <c r="Q807" t="s">
        <v>2524</v>
      </c>
    </row>
    <row r="808" spans="1:17" x14ac:dyDescent="0.35">
      <c r="A808" t="s">
        <v>1364</v>
      </c>
      <c r="B808" s="3">
        <v>45045</v>
      </c>
      <c r="C808" t="s">
        <v>2014</v>
      </c>
      <c r="D808" t="s">
        <v>2024</v>
      </c>
      <c r="E808" s="8">
        <v>3582</v>
      </c>
      <c r="F808">
        <v>3</v>
      </c>
      <c r="G808">
        <v>15</v>
      </c>
      <c r="H808" s="8">
        <v>9134.1</v>
      </c>
      <c r="I808">
        <v>2574.77</v>
      </c>
      <c r="J808">
        <v>1409.78</v>
      </c>
      <c r="K808" s="5">
        <f>IF(SalesData[[#This Row],[Total Revenue]]=0,0,SalesData[[#This Row],[Profit]]/SalesData[[#This Row],[Total Revenue]])</f>
        <v>0.15434251869368629</v>
      </c>
      <c r="L808" s="5" t="str">
        <f>TEXT(SalesData[[#This Row],[Date]],"mmm")</f>
        <v>Apr</v>
      </c>
      <c r="M808">
        <f>YEAR(SalesData[[#This Row],[Date]])</f>
        <v>2023</v>
      </c>
      <c r="N808">
        <f>WEEKNUM(SalesData[[#This Row],[Date]])</f>
        <v>17</v>
      </c>
      <c r="O808" t="s">
        <v>2142</v>
      </c>
      <c r="P808" t="s">
        <v>2523</v>
      </c>
      <c r="Q808" t="s">
        <v>2524</v>
      </c>
    </row>
    <row r="809" spans="1:17" x14ac:dyDescent="0.35">
      <c r="A809" t="s">
        <v>415</v>
      </c>
      <c r="B809" s="3">
        <v>45006</v>
      </c>
      <c r="C809" t="s">
        <v>2016</v>
      </c>
      <c r="D809" t="s">
        <v>2025</v>
      </c>
      <c r="E809" s="8">
        <v>2690</v>
      </c>
      <c r="F809">
        <v>4</v>
      </c>
      <c r="G809">
        <v>15</v>
      </c>
      <c r="H809" s="8">
        <v>9146</v>
      </c>
      <c r="I809">
        <v>1797.77</v>
      </c>
      <c r="J809">
        <v>1954.9</v>
      </c>
      <c r="K809" s="5">
        <f>IF(SalesData[[#This Row],[Total Revenue]]=0,0,SalesData[[#This Row],[Profit]]/SalesData[[#This Row],[Total Revenue]])</f>
        <v>0.21374371309862236</v>
      </c>
      <c r="L809" s="5" t="str">
        <f>TEXT(SalesData[[#This Row],[Date]],"mmm")</f>
        <v>Mar</v>
      </c>
      <c r="M809">
        <f>YEAR(SalesData[[#This Row],[Date]])</f>
        <v>2023</v>
      </c>
      <c r="N809">
        <f>WEEKNUM(SalesData[[#This Row],[Date]])</f>
        <v>12</v>
      </c>
      <c r="O809" t="s">
        <v>2302</v>
      </c>
      <c r="P809" t="s">
        <v>2522</v>
      </c>
      <c r="Q809" t="s">
        <v>2524</v>
      </c>
    </row>
    <row r="810" spans="1:17" x14ac:dyDescent="0.35">
      <c r="A810" t="s">
        <v>716</v>
      </c>
      <c r="B810" s="3">
        <v>45033</v>
      </c>
      <c r="C810" t="s">
        <v>2014</v>
      </c>
      <c r="D810" t="s">
        <v>2024</v>
      </c>
      <c r="E810" s="8">
        <v>3592</v>
      </c>
      <c r="F810">
        <v>3</v>
      </c>
      <c r="G810">
        <v>15</v>
      </c>
      <c r="H810" s="8">
        <v>9159.6</v>
      </c>
      <c r="I810">
        <v>2699.83</v>
      </c>
      <c r="J810">
        <v>1060.0999999999999</v>
      </c>
      <c r="K810" s="5">
        <f>IF(SalesData[[#This Row],[Total Revenue]]=0,0,SalesData[[#This Row],[Profit]]/SalesData[[#This Row],[Total Revenue]])</f>
        <v>0.11573649504345167</v>
      </c>
      <c r="L810" s="5" t="str">
        <f>TEXT(SalesData[[#This Row],[Date]],"mmm")</f>
        <v>Apr</v>
      </c>
      <c r="M810">
        <f>YEAR(SalesData[[#This Row],[Date]])</f>
        <v>2023</v>
      </c>
      <c r="N810">
        <f>WEEKNUM(SalesData[[#This Row],[Date]])</f>
        <v>16</v>
      </c>
      <c r="O810" t="s">
        <v>2380</v>
      </c>
      <c r="P810" t="s">
        <v>2523</v>
      </c>
      <c r="Q810" t="s">
        <v>2524</v>
      </c>
    </row>
    <row r="811" spans="1:17" x14ac:dyDescent="0.35">
      <c r="A811" t="s">
        <v>794</v>
      </c>
      <c r="B811" s="3">
        <v>45257</v>
      </c>
      <c r="C811" t="s">
        <v>2020</v>
      </c>
      <c r="D811" t="s">
        <v>2028</v>
      </c>
      <c r="E811" s="8">
        <v>2411</v>
      </c>
      <c r="F811">
        <v>4</v>
      </c>
      <c r="G811">
        <v>5</v>
      </c>
      <c r="H811" s="8">
        <v>9161.7999999999993</v>
      </c>
      <c r="I811">
        <v>1722.13</v>
      </c>
      <c r="J811">
        <v>2273.27</v>
      </c>
      <c r="K811" s="5">
        <f>IF(SalesData[[#This Row],[Total Revenue]]=0,0,SalesData[[#This Row],[Profit]]/SalesData[[#This Row],[Total Revenue]])</f>
        <v>0.24812482263310706</v>
      </c>
      <c r="L811" s="5" t="str">
        <f>TEXT(SalesData[[#This Row],[Date]],"mmm")</f>
        <v>Nov</v>
      </c>
      <c r="M811">
        <f>YEAR(SalesData[[#This Row],[Date]])</f>
        <v>2023</v>
      </c>
      <c r="N811">
        <f>WEEKNUM(SalesData[[#This Row],[Date]])</f>
        <v>48</v>
      </c>
      <c r="O811" t="s">
        <v>2268</v>
      </c>
      <c r="P811" t="s">
        <v>2523</v>
      </c>
      <c r="Q811" t="s">
        <v>2525</v>
      </c>
    </row>
    <row r="812" spans="1:17" x14ac:dyDescent="0.35">
      <c r="A812" t="s">
        <v>458</v>
      </c>
      <c r="B812" s="3">
        <v>45129</v>
      </c>
      <c r="C812" t="s">
        <v>2019</v>
      </c>
      <c r="D812" t="s">
        <v>2027</v>
      </c>
      <c r="E812" s="8">
        <v>4581</v>
      </c>
      <c r="F812">
        <v>2</v>
      </c>
      <c r="G812">
        <v>0</v>
      </c>
      <c r="H812" s="8">
        <v>9162</v>
      </c>
      <c r="I812">
        <v>2856.43</v>
      </c>
      <c r="J812">
        <v>3449.13</v>
      </c>
      <c r="K812" s="5">
        <f>IF(SalesData[[#This Row],[Total Revenue]]=0,0,SalesData[[#This Row],[Profit]]/SalesData[[#This Row],[Total Revenue]])</f>
        <v>0.37646037982973152</v>
      </c>
      <c r="L812" s="5" t="str">
        <f>TEXT(SalesData[[#This Row],[Date]],"mmm")</f>
        <v>Jul</v>
      </c>
      <c r="M812">
        <f>YEAR(SalesData[[#This Row],[Date]])</f>
        <v>2023</v>
      </c>
      <c r="N812">
        <f>WEEKNUM(SalesData[[#This Row],[Date]])</f>
        <v>29</v>
      </c>
      <c r="O812" t="s">
        <v>2170</v>
      </c>
      <c r="P812" t="s">
        <v>2522</v>
      </c>
      <c r="Q812" t="s">
        <v>2524</v>
      </c>
    </row>
    <row r="813" spans="1:17" x14ac:dyDescent="0.35">
      <c r="A813" t="s">
        <v>1910</v>
      </c>
      <c r="B813" s="3">
        <v>45268</v>
      </c>
      <c r="C813" t="s">
        <v>2022</v>
      </c>
      <c r="D813" t="s">
        <v>2024</v>
      </c>
      <c r="E813" s="8">
        <v>3408</v>
      </c>
      <c r="F813">
        <v>3</v>
      </c>
      <c r="G813">
        <v>10</v>
      </c>
      <c r="H813" s="8">
        <v>9201.6</v>
      </c>
      <c r="I813">
        <v>2011.98</v>
      </c>
      <c r="J813">
        <v>3165.66</v>
      </c>
      <c r="K813" s="5">
        <f>IF(SalesData[[#This Row],[Total Revenue]]=0,0,SalesData[[#This Row],[Profit]]/SalesData[[#This Row],[Total Revenue]])</f>
        <v>0.34403364632237871</v>
      </c>
      <c r="L813" s="5" t="str">
        <f>TEXT(SalesData[[#This Row],[Date]],"mmm")</f>
        <v>Dec</v>
      </c>
      <c r="M813">
        <f>YEAR(SalesData[[#This Row],[Date]])</f>
        <v>2023</v>
      </c>
      <c r="N813">
        <f>WEEKNUM(SalesData[[#This Row],[Date]])</f>
        <v>49</v>
      </c>
      <c r="O813" t="s">
        <v>2438</v>
      </c>
      <c r="P813" t="s">
        <v>2523</v>
      </c>
      <c r="Q813" t="s">
        <v>2524</v>
      </c>
    </row>
    <row r="814" spans="1:17" x14ac:dyDescent="0.35">
      <c r="A814" t="s">
        <v>1167</v>
      </c>
      <c r="B814" s="3">
        <v>44975</v>
      </c>
      <c r="C814" t="s">
        <v>2014</v>
      </c>
      <c r="D814" t="s">
        <v>2024</v>
      </c>
      <c r="E814" s="8">
        <v>1315</v>
      </c>
      <c r="F814">
        <v>7</v>
      </c>
      <c r="G814">
        <v>0</v>
      </c>
      <c r="H814" s="8">
        <v>9205</v>
      </c>
      <c r="I814">
        <v>774</v>
      </c>
      <c r="J814">
        <v>3786.97</v>
      </c>
      <c r="K814" s="5">
        <f>IF(SalesData[[#This Row],[Total Revenue]]=0,0,SalesData[[#This Row],[Profit]]/SalesData[[#This Row],[Total Revenue]])</f>
        <v>0.41140358500814772</v>
      </c>
      <c r="L814" s="5" t="str">
        <f>TEXT(SalesData[[#This Row],[Date]],"mmm")</f>
        <v>Feb</v>
      </c>
      <c r="M814">
        <f>YEAR(SalesData[[#This Row],[Date]])</f>
        <v>2023</v>
      </c>
      <c r="N814">
        <f>WEEKNUM(SalesData[[#This Row],[Date]])</f>
        <v>7</v>
      </c>
      <c r="O814" t="s">
        <v>2097</v>
      </c>
      <c r="P814" t="s">
        <v>2523</v>
      </c>
      <c r="Q814" t="s">
        <v>2526</v>
      </c>
    </row>
    <row r="815" spans="1:17" x14ac:dyDescent="0.35">
      <c r="A815" t="s">
        <v>2009</v>
      </c>
      <c r="B815" s="3">
        <v>44978</v>
      </c>
      <c r="C815" t="s">
        <v>2015</v>
      </c>
      <c r="D815" t="s">
        <v>2025</v>
      </c>
      <c r="E815" s="8">
        <v>1355</v>
      </c>
      <c r="F815">
        <v>8</v>
      </c>
      <c r="G815">
        <v>15</v>
      </c>
      <c r="H815" s="8">
        <v>9214</v>
      </c>
      <c r="I815">
        <v>748.92</v>
      </c>
      <c r="J815">
        <v>3222.63</v>
      </c>
      <c r="K815" s="5">
        <f>IF(SalesData[[#This Row],[Total Revenue]]=0,0,SalesData[[#This Row],[Profit]]/SalesData[[#This Row],[Total Revenue]])</f>
        <v>0.34975363577165186</v>
      </c>
      <c r="L815" s="5" t="str">
        <f>TEXT(SalesData[[#This Row],[Date]],"mmm")</f>
        <v>Feb</v>
      </c>
      <c r="M815">
        <f>YEAR(SalesData[[#This Row],[Date]])</f>
        <v>2023</v>
      </c>
      <c r="N815">
        <f>WEEKNUM(SalesData[[#This Row],[Date]])</f>
        <v>8</v>
      </c>
      <c r="O815" t="s">
        <v>2117</v>
      </c>
      <c r="P815" t="s">
        <v>2523</v>
      </c>
      <c r="Q815" t="s">
        <v>2525</v>
      </c>
    </row>
    <row r="816" spans="1:17" x14ac:dyDescent="0.35">
      <c r="A816" t="s">
        <v>1095</v>
      </c>
      <c r="B816" s="3">
        <v>44971</v>
      </c>
      <c r="C816" t="s">
        <v>2013</v>
      </c>
      <c r="D816" t="s">
        <v>2023</v>
      </c>
      <c r="E816" s="8">
        <v>3413</v>
      </c>
      <c r="F816">
        <v>3</v>
      </c>
      <c r="G816">
        <v>10</v>
      </c>
      <c r="H816" s="8">
        <v>9215.1</v>
      </c>
      <c r="I816">
        <v>2263.9</v>
      </c>
      <c r="J816">
        <v>2423.41</v>
      </c>
      <c r="K816" s="5">
        <f>IF(SalesData[[#This Row],[Total Revenue]]=0,0,SalesData[[#This Row],[Profit]]/SalesData[[#This Row],[Total Revenue]])</f>
        <v>0.26298249612049784</v>
      </c>
      <c r="L816" s="5" t="str">
        <f>TEXT(SalesData[[#This Row],[Date]],"mmm")</f>
        <v>Feb</v>
      </c>
      <c r="M816">
        <f>YEAR(SalesData[[#This Row],[Date]])</f>
        <v>2023</v>
      </c>
      <c r="N816">
        <f>WEEKNUM(SalesData[[#This Row],[Date]])</f>
        <v>7</v>
      </c>
      <c r="O816" t="s">
        <v>2468</v>
      </c>
      <c r="P816" t="s">
        <v>2522</v>
      </c>
      <c r="Q816" t="s">
        <v>2526</v>
      </c>
    </row>
    <row r="817" spans="1:17" x14ac:dyDescent="0.35">
      <c r="A817" t="s">
        <v>152</v>
      </c>
      <c r="B817" s="3">
        <v>44940</v>
      </c>
      <c r="C817" t="s">
        <v>2018</v>
      </c>
      <c r="D817" t="s">
        <v>2026</v>
      </c>
      <c r="E817" s="8">
        <v>1024</v>
      </c>
      <c r="F817">
        <v>9</v>
      </c>
      <c r="G817">
        <v>0</v>
      </c>
      <c r="H817" s="8">
        <v>9216</v>
      </c>
      <c r="I817">
        <v>690.94</v>
      </c>
      <c r="J817">
        <v>2997.57</v>
      </c>
      <c r="K817" s="5">
        <f>IF(SalesData[[#This Row],[Total Revenue]]=0,0,SalesData[[#This Row],[Profit]]/SalesData[[#This Row],[Total Revenue]])</f>
        <v>0.32525716145833333</v>
      </c>
      <c r="L817" s="5" t="str">
        <f>TEXT(SalesData[[#This Row],[Date]],"mmm")</f>
        <v>Jan</v>
      </c>
      <c r="M817">
        <f>YEAR(SalesData[[#This Row],[Date]])</f>
        <v>2023</v>
      </c>
      <c r="N817">
        <f>WEEKNUM(SalesData[[#This Row],[Date]])</f>
        <v>2</v>
      </c>
      <c r="O817" t="s">
        <v>2080</v>
      </c>
      <c r="P817" t="s">
        <v>2523</v>
      </c>
      <c r="Q817" t="s">
        <v>2526</v>
      </c>
    </row>
    <row r="818" spans="1:17" x14ac:dyDescent="0.35">
      <c r="A818" t="s">
        <v>407</v>
      </c>
      <c r="B818" s="3">
        <v>45005</v>
      </c>
      <c r="C818" t="s">
        <v>2016</v>
      </c>
      <c r="D818" t="s">
        <v>2025</v>
      </c>
      <c r="E818" s="8">
        <v>1617</v>
      </c>
      <c r="F818">
        <v>6</v>
      </c>
      <c r="G818">
        <v>5</v>
      </c>
      <c r="H818" s="8">
        <v>9216.9</v>
      </c>
      <c r="I818">
        <v>1026.3499999999999</v>
      </c>
      <c r="J818">
        <v>3058.79</v>
      </c>
      <c r="K818" s="5">
        <f>IF(SalesData[[#This Row],[Total Revenue]]=0,0,SalesData[[#This Row],[Profit]]/SalesData[[#This Row],[Total Revenue]])</f>
        <v>0.33186754765702137</v>
      </c>
      <c r="L818" s="5" t="str">
        <f>TEXT(SalesData[[#This Row],[Date]],"mmm")</f>
        <v>Mar</v>
      </c>
      <c r="M818">
        <f>YEAR(SalesData[[#This Row],[Date]])</f>
        <v>2023</v>
      </c>
      <c r="N818">
        <f>WEEKNUM(SalesData[[#This Row],[Date]])</f>
        <v>12</v>
      </c>
      <c r="O818" t="s">
        <v>2044</v>
      </c>
      <c r="P818" t="s">
        <v>2522</v>
      </c>
      <c r="Q818" t="s">
        <v>2527</v>
      </c>
    </row>
    <row r="819" spans="1:17" x14ac:dyDescent="0.35">
      <c r="A819" t="s">
        <v>333</v>
      </c>
      <c r="B819" s="3">
        <v>45210</v>
      </c>
      <c r="C819" t="s">
        <v>2016</v>
      </c>
      <c r="D819" t="s">
        <v>2025</v>
      </c>
      <c r="E819" s="8">
        <v>1029</v>
      </c>
      <c r="F819">
        <v>10</v>
      </c>
      <c r="G819">
        <v>10</v>
      </c>
      <c r="H819" s="8">
        <v>9261</v>
      </c>
      <c r="I819">
        <v>580.14</v>
      </c>
      <c r="J819">
        <v>3459.61</v>
      </c>
      <c r="K819" s="5">
        <f>IF(SalesData[[#This Row],[Total Revenue]]=0,0,SalesData[[#This Row],[Profit]]/SalesData[[#This Row],[Total Revenue]])</f>
        <v>0.37356764928193503</v>
      </c>
      <c r="L819" s="5" t="str">
        <f>TEXT(SalesData[[#This Row],[Date]],"mmm")</f>
        <v>Oct</v>
      </c>
      <c r="M819">
        <f>YEAR(SalesData[[#This Row],[Date]])</f>
        <v>2023</v>
      </c>
      <c r="N819">
        <f>WEEKNUM(SalesData[[#This Row],[Date]])</f>
        <v>41</v>
      </c>
      <c r="O819" t="s">
        <v>2038</v>
      </c>
      <c r="P819" t="s">
        <v>2522</v>
      </c>
      <c r="Q819" t="s">
        <v>2526</v>
      </c>
    </row>
    <row r="820" spans="1:17" x14ac:dyDescent="0.35">
      <c r="A820" t="s">
        <v>344</v>
      </c>
      <c r="B820" s="3">
        <v>45143</v>
      </c>
      <c r="C820" t="s">
        <v>2019</v>
      </c>
      <c r="D820" t="s">
        <v>2027</v>
      </c>
      <c r="E820" s="8">
        <v>1161</v>
      </c>
      <c r="F820">
        <v>8</v>
      </c>
      <c r="G820">
        <v>0</v>
      </c>
      <c r="H820" s="8">
        <v>9288</v>
      </c>
      <c r="I820">
        <v>644.82000000000005</v>
      </c>
      <c r="J820">
        <v>4129.4399999999996</v>
      </c>
      <c r="K820" s="5">
        <f>IF(SalesData[[#This Row],[Total Revenue]]=0,0,SalesData[[#This Row],[Profit]]/SalesData[[#This Row],[Total Revenue]])</f>
        <v>0.44459948320413434</v>
      </c>
      <c r="L820" s="5" t="str">
        <f>TEXT(SalesData[[#This Row],[Date]],"mmm")</f>
        <v>Aug</v>
      </c>
      <c r="M820">
        <f>YEAR(SalesData[[#This Row],[Date]])</f>
        <v>2023</v>
      </c>
      <c r="N820">
        <f>WEEKNUM(SalesData[[#This Row],[Date]])</f>
        <v>31</v>
      </c>
      <c r="O820" t="s">
        <v>2271</v>
      </c>
      <c r="P820" t="s">
        <v>2522</v>
      </c>
      <c r="Q820" t="s">
        <v>2524</v>
      </c>
    </row>
    <row r="821" spans="1:17" x14ac:dyDescent="0.35">
      <c r="A821" t="s">
        <v>736</v>
      </c>
      <c r="B821" s="3">
        <v>45100</v>
      </c>
      <c r="C821" t="s">
        <v>2017</v>
      </c>
      <c r="D821" t="s">
        <v>2026</v>
      </c>
      <c r="E821" s="8">
        <v>1860</v>
      </c>
      <c r="F821">
        <v>5</v>
      </c>
      <c r="G821">
        <v>0</v>
      </c>
      <c r="H821" s="8">
        <v>9300</v>
      </c>
      <c r="I821">
        <v>1446.97</v>
      </c>
      <c r="J821">
        <v>2065.16</v>
      </c>
      <c r="K821" s="5">
        <f>IF(SalesData[[#This Row],[Total Revenue]]=0,0,SalesData[[#This Row],[Profit]]/SalesData[[#This Row],[Total Revenue]])</f>
        <v>0.22206021505376342</v>
      </c>
      <c r="L821" s="5" t="str">
        <f>TEXT(SalesData[[#This Row],[Date]],"mmm")</f>
        <v>Jun</v>
      </c>
      <c r="M821">
        <f>YEAR(SalesData[[#This Row],[Date]])</f>
        <v>2023</v>
      </c>
      <c r="N821">
        <f>WEEKNUM(SalesData[[#This Row],[Date]])</f>
        <v>25</v>
      </c>
      <c r="O821" t="s">
        <v>2408</v>
      </c>
      <c r="P821" t="s">
        <v>2522</v>
      </c>
      <c r="Q821" t="s">
        <v>2524</v>
      </c>
    </row>
    <row r="822" spans="1:17" x14ac:dyDescent="0.35">
      <c r="A822" t="s">
        <v>17</v>
      </c>
      <c r="B822" s="3">
        <v>45082</v>
      </c>
      <c r="C822" t="s">
        <v>2015</v>
      </c>
      <c r="D822" t="s">
        <v>2025</v>
      </c>
      <c r="E822" s="8">
        <v>4659</v>
      </c>
      <c r="F822">
        <v>2</v>
      </c>
      <c r="G822">
        <v>0</v>
      </c>
      <c r="H822" s="8">
        <v>9318</v>
      </c>
      <c r="I822">
        <v>2516.69</v>
      </c>
      <c r="J822">
        <v>4284.6099999999997</v>
      </c>
      <c r="K822" s="5">
        <f>IF(SalesData[[#This Row],[Total Revenue]]=0,0,SalesData[[#This Row],[Profit]]/SalesData[[#This Row],[Total Revenue]])</f>
        <v>0.45982077699077051</v>
      </c>
      <c r="L822" s="5" t="str">
        <f>TEXT(SalesData[[#This Row],[Date]],"mmm")</f>
        <v>Jun</v>
      </c>
      <c r="M822">
        <f>YEAR(SalesData[[#This Row],[Date]])</f>
        <v>2023</v>
      </c>
      <c r="N822">
        <f>WEEKNUM(SalesData[[#This Row],[Date]])</f>
        <v>23</v>
      </c>
      <c r="O822" t="s">
        <v>2033</v>
      </c>
      <c r="P822" t="s">
        <v>2523</v>
      </c>
      <c r="Q822" t="s">
        <v>2524</v>
      </c>
    </row>
    <row r="823" spans="1:17" x14ac:dyDescent="0.35">
      <c r="A823" t="s">
        <v>242</v>
      </c>
      <c r="B823" s="3">
        <v>45227</v>
      </c>
      <c r="C823" t="s">
        <v>2018</v>
      </c>
      <c r="D823" t="s">
        <v>2026</v>
      </c>
      <c r="E823" s="8">
        <v>2591</v>
      </c>
      <c r="F823">
        <v>4</v>
      </c>
      <c r="G823">
        <v>10</v>
      </c>
      <c r="H823" s="8">
        <v>9327.6</v>
      </c>
      <c r="I823">
        <v>1541.04</v>
      </c>
      <c r="J823">
        <v>3163.45</v>
      </c>
      <c r="K823" s="5">
        <f>IF(SalesData[[#This Row],[Total Revenue]]=0,0,SalesData[[#This Row],[Profit]]/SalesData[[#This Row],[Total Revenue]])</f>
        <v>0.33914940606372485</v>
      </c>
      <c r="L823" s="5" t="str">
        <f>TEXT(SalesData[[#This Row],[Date]],"mmm")</f>
        <v>Oct</v>
      </c>
      <c r="M823">
        <f>YEAR(SalesData[[#This Row],[Date]])</f>
        <v>2023</v>
      </c>
      <c r="N823">
        <f>WEEKNUM(SalesData[[#This Row],[Date]])</f>
        <v>43</v>
      </c>
      <c r="O823" t="s">
        <v>2212</v>
      </c>
      <c r="P823" t="s">
        <v>2523</v>
      </c>
      <c r="Q823" t="s">
        <v>2524</v>
      </c>
    </row>
    <row r="824" spans="1:17" x14ac:dyDescent="0.35">
      <c r="A824" t="s">
        <v>105</v>
      </c>
      <c r="B824" s="3">
        <v>44998</v>
      </c>
      <c r="C824" t="s">
        <v>2017</v>
      </c>
      <c r="D824" t="s">
        <v>2026</v>
      </c>
      <c r="E824" s="8">
        <v>3110</v>
      </c>
      <c r="F824">
        <v>3</v>
      </c>
      <c r="G824">
        <v>0</v>
      </c>
      <c r="H824" s="8">
        <v>9330</v>
      </c>
      <c r="I824">
        <v>2343.91</v>
      </c>
      <c r="J824">
        <v>2298.2600000000002</v>
      </c>
      <c r="K824" s="5">
        <f>IF(SalesData[[#This Row],[Total Revenue]]=0,0,SalesData[[#This Row],[Profit]]/SalesData[[#This Row],[Total Revenue]])</f>
        <v>0.24633011789924975</v>
      </c>
      <c r="L824" s="5" t="str">
        <f>TEXT(SalesData[[#This Row],[Date]],"mmm")</f>
        <v>Mar</v>
      </c>
      <c r="M824">
        <f>YEAR(SalesData[[#This Row],[Date]])</f>
        <v>2023</v>
      </c>
      <c r="N824">
        <f>WEEKNUM(SalesData[[#This Row],[Date]])</f>
        <v>11</v>
      </c>
      <c r="O824" t="s">
        <v>2111</v>
      </c>
      <c r="P824" t="s">
        <v>2523</v>
      </c>
      <c r="Q824" t="s">
        <v>2524</v>
      </c>
    </row>
    <row r="825" spans="1:17" x14ac:dyDescent="0.35">
      <c r="A825" t="s">
        <v>464</v>
      </c>
      <c r="B825" s="3">
        <v>45056</v>
      </c>
      <c r="C825" t="s">
        <v>2017</v>
      </c>
      <c r="D825" t="s">
        <v>2026</v>
      </c>
      <c r="E825" s="8">
        <v>1222</v>
      </c>
      <c r="F825">
        <v>9</v>
      </c>
      <c r="G825">
        <v>15</v>
      </c>
      <c r="H825" s="8">
        <v>9348.2999999999993</v>
      </c>
      <c r="I825">
        <v>684.29</v>
      </c>
      <c r="J825">
        <v>3189.67</v>
      </c>
      <c r="K825" s="5">
        <f>IF(SalesData[[#This Row],[Total Revenue]]=0,0,SalesData[[#This Row],[Profit]]/SalesData[[#This Row],[Total Revenue]])</f>
        <v>0.34120321341848253</v>
      </c>
      <c r="L825" s="5" t="str">
        <f>TEXT(SalesData[[#This Row],[Date]],"mmm")</f>
        <v>May</v>
      </c>
      <c r="M825">
        <f>YEAR(SalesData[[#This Row],[Date]])</f>
        <v>2023</v>
      </c>
      <c r="N825">
        <f>WEEKNUM(SalesData[[#This Row],[Date]])</f>
        <v>19</v>
      </c>
      <c r="O825" t="s">
        <v>2197</v>
      </c>
      <c r="P825" t="s">
        <v>2523</v>
      </c>
      <c r="Q825" t="s">
        <v>2524</v>
      </c>
    </row>
    <row r="826" spans="1:17" x14ac:dyDescent="0.35">
      <c r="A826" t="s">
        <v>1325</v>
      </c>
      <c r="B826" s="3">
        <v>45177</v>
      </c>
      <c r="C826" t="s">
        <v>2013</v>
      </c>
      <c r="D826" t="s">
        <v>2023</v>
      </c>
      <c r="E826" s="8">
        <v>2751</v>
      </c>
      <c r="F826">
        <v>4</v>
      </c>
      <c r="G826">
        <v>15</v>
      </c>
      <c r="H826" s="8">
        <v>9353.4</v>
      </c>
      <c r="I826">
        <v>2037.49</v>
      </c>
      <c r="J826">
        <v>1203.43</v>
      </c>
      <c r="K826" s="5">
        <f>IF(SalesData[[#This Row],[Total Revenue]]=0,0,SalesData[[#This Row],[Profit]]/SalesData[[#This Row],[Total Revenue]])</f>
        <v>0.1286623046165031</v>
      </c>
      <c r="L826" s="5" t="str">
        <f>TEXT(SalesData[[#This Row],[Date]],"mmm")</f>
        <v>Sep</v>
      </c>
      <c r="M826">
        <f>YEAR(SalesData[[#This Row],[Date]])</f>
        <v>2023</v>
      </c>
      <c r="N826">
        <f>WEEKNUM(SalesData[[#This Row],[Date]])</f>
        <v>36</v>
      </c>
      <c r="O826" t="s">
        <v>2481</v>
      </c>
      <c r="P826" t="s">
        <v>2523</v>
      </c>
      <c r="Q826" t="s">
        <v>2526</v>
      </c>
    </row>
    <row r="827" spans="1:17" x14ac:dyDescent="0.35">
      <c r="A827" t="s">
        <v>1611</v>
      </c>
      <c r="B827" s="3">
        <v>45269</v>
      </c>
      <c r="C827" t="s">
        <v>2017</v>
      </c>
      <c r="D827" t="s">
        <v>2026</v>
      </c>
      <c r="E827" s="8">
        <v>1157</v>
      </c>
      <c r="F827">
        <v>9</v>
      </c>
      <c r="G827">
        <v>10</v>
      </c>
      <c r="H827" s="8">
        <v>9371.7000000000007</v>
      </c>
      <c r="I827">
        <v>750</v>
      </c>
      <c r="J827">
        <v>2621.7</v>
      </c>
      <c r="K827" s="5">
        <f>IF(SalesData[[#This Row],[Total Revenue]]=0,0,SalesData[[#This Row],[Profit]]/SalesData[[#This Row],[Total Revenue]])</f>
        <v>0.27974647075770664</v>
      </c>
      <c r="L827" s="5" t="str">
        <f>TEXT(SalesData[[#This Row],[Date]],"mmm")</f>
        <v>Dec</v>
      </c>
      <c r="M827">
        <f>YEAR(SalesData[[#This Row],[Date]])</f>
        <v>2023</v>
      </c>
      <c r="N827">
        <f>WEEKNUM(SalesData[[#This Row],[Date]])</f>
        <v>49</v>
      </c>
      <c r="O827" t="s">
        <v>2181</v>
      </c>
      <c r="P827" t="s">
        <v>2522</v>
      </c>
      <c r="Q827" t="s">
        <v>2524</v>
      </c>
    </row>
    <row r="828" spans="1:17" x14ac:dyDescent="0.35">
      <c r="A828" t="s">
        <v>461</v>
      </c>
      <c r="B828" s="3">
        <v>45150</v>
      </c>
      <c r="C828" t="s">
        <v>2014</v>
      </c>
      <c r="D828" t="s">
        <v>2024</v>
      </c>
      <c r="E828" s="8">
        <v>1228</v>
      </c>
      <c r="F828">
        <v>9</v>
      </c>
      <c r="G828">
        <v>15</v>
      </c>
      <c r="H828" s="8">
        <v>9394.2000000000007</v>
      </c>
      <c r="I828">
        <v>843.56</v>
      </c>
      <c r="J828">
        <v>1802.13</v>
      </c>
      <c r="K828" s="5">
        <f>IF(SalesData[[#This Row],[Total Revenue]]=0,0,SalesData[[#This Row],[Profit]]/SalesData[[#This Row],[Total Revenue]])</f>
        <v>0.19183432330586958</v>
      </c>
      <c r="L828" s="5" t="str">
        <f>TEXT(SalesData[[#This Row],[Date]],"mmm")</f>
        <v>Aug</v>
      </c>
      <c r="M828">
        <f>YEAR(SalesData[[#This Row],[Date]])</f>
        <v>2023</v>
      </c>
      <c r="N828">
        <f>WEEKNUM(SalesData[[#This Row],[Date]])</f>
        <v>32</v>
      </c>
      <c r="O828" t="s">
        <v>2164</v>
      </c>
      <c r="P828" t="s">
        <v>2522</v>
      </c>
      <c r="Q828" t="s">
        <v>2527</v>
      </c>
    </row>
    <row r="829" spans="1:17" x14ac:dyDescent="0.35">
      <c r="A829" t="s">
        <v>111</v>
      </c>
      <c r="B829" s="3">
        <v>45151</v>
      </c>
      <c r="C829" t="s">
        <v>2021</v>
      </c>
      <c r="D829" t="s">
        <v>2028</v>
      </c>
      <c r="E829" s="8">
        <v>2217</v>
      </c>
      <c r="F829">
        <v>5</v>
      </c>
      <c r="G829">
        <v>15</v>
      </c>
      <c r="H829" s="8">
        <v>9422.25</v>
      </c>
      <c r="I829">
        <v>1226.8399999999999</v>
      </c>
      <c r="J829">
        <v>3288.03</v>
      </c>
      <c r="K829" s="5">
        <f>IF(SalesData[[#This Row],[Total Revenue]]=0,0,SalesData[[#This Row],[Profit]]/SalesData[[#This Row],[Total Revenue]])</f>
        <v>0.348964419326594</v>
      </c>
      <c r="L829" s="5" t="str">
        <f>TEXT(SalesData[[#This Row],[Date]],"mmm")</f>
        <v>Aug</v>
      </c>
      <c r="M829">
        <f>YEAR(SalesData[[#This Row],[Date]])</f>
        <v>2023</v>
      </c>
      <c r="N829">
        <f>WEEKNUM(SalesData[[#This Row],[Date]])</f>
        <v>33</v>
      </c>
      <c r="O829" t="s">
        <v>2116</v>
      </c>
      <c r="P829" t="s">
        <v>2522</v>
      </c>
      <c r="Q829" t="s">
        <v>2527</v>
      </c>
    </row>
    <row r="830" spans="1:17" x14ac:dyDescent="0.35">
      <c r="A830" t="s">
        <v>564</v>
      </c>
      <c r="B830" s="3">
        <v>45119</v>
      </c>
      <c r="C830" t="s">
        <v>2013</v>
      </c>
      <c r="D830" t="s">
        <v>2023</v>
      </c>
      <c r="E830" s="8">
        <v>2618</v>
      </c>
      <c r="F830">
        <v>4</v>
      </c>
      <c r="G830">
        <v>10</v>
      </c>
      <c r="H830" s="8">
        <v>9424.7999999999993</v>
      </c>
      <c r="I830">
        <v>1317.36</v>
      </c>
      <c r="J830">
        <v>4155.3599999999997</v>
      </c>
      <c r="K830" s="5">
        <f>IF(SalesData[[#This Row],[Total Revenue]]=0,0,SalesData[[#This Row],[Profit]]/SalesData[[#This Row],[Total Revenue]])</f>
        <v>0.44089635854341735</v>
      </c>
      <c r="L830" s="5" t="str">
        <f>TEXT(SalesData[[#This Row],[Date]],"mmm")</f>
        <v>Jul</v>
      </c>
      <c r="M830">
        <f>YEAR(SalesData[[#This Row],[Date]])</f>
        <v>2023</v>
      </c>
      <c r="N830">
        <f>WEEKNUM(SalesData[[#This Row],[Date]])</f>
        <v>28</v>
      </c>
      <c r="O830" t="s">
        <v>2164</v>
      </c>
      <c r="P830" t="s">
        <v>2523</v>
      </c>
      <c r="Q830" t="s">
        <v>2526</v>
      </c>
    </row>
    <row r="831" spans="1:17" x14ac:dyDescent="0.35">
      <c r="A831" t="s">
        <v>1493</v>
      </c>
      <c r="B831" s="3">
        <v>45006</v>
      </c>
      <c r="C831" t="s">
        <v>2019</v>
      </c>
      <c r="D831" t="s">
        <v>2027</v>
      </c>
      <c r="E831" s="8">
        <v>2358</v>
      </c>
      <c r="F831">
        <v>4</v>
      </c>
      <c r="G831">
        <v>0</v>
      </c>
      <c r="H831" s="8">
        <v>9432</v>
      </c>
      <c r="I831">
        <v>1520.74</v>
      </c>
      <c r="J831">
        <v>3349.02</v>
      </c>
      <c r="K831" s="5">
        <f>IF(SalesData[[#This Row],[Total Revenue]]=0,0,SalesData[[#This Row],[Profit]]/SalesData[[#This Row],[Total Revenue]])</f>
        <v>0.3550699745547074</v>
      </c>
      <c r="L831" s="5" t="str">
        <f>TEXT(SalesData[[#This Row],[Date]],"mmm")</f>
        <v>Mar</v>
      </c>
      <c r="M831">
        <f>YEAR(SalesData[[#This Row],[Date]])</f>
        <v>2023</v>
      </c>
      <c r="N831">
        <f>WEEKNUM(SalesData[[#This Row],[Date]])</f>
        <v>12</v>
      </c>
      <c r="O831" t="s">
        <v>2131</v>
      </c>
      <c r="P831" t="s">
        <v>2523</v>
      </c>
      <c r="Q831" t="s">
        <v>2524</v>
      </c>
    </row>
    <row r="832" spans="1:17" x14ac:dyDescent="0.35">
      <c r="A832" t="s">
        <v>1784</v>
      </c>
      <c r="B832" s="3">
        <v>45162</v>
      </c>
      <c r="C832" t="s">
        <v>2013</v>
      </c>
      <c r="D832" t="s">
        <v>2023</v>
      </c>
      <c r="E832" s="8">
        <v>1242</v>
      </c>
      <c r="F832">
        <v>8</v>
      </c>
      <c r="G832">
        <v>5</v>
      </c>
      <c r="H832" s="8">
        <v>9439.2000000000007</v>
      </c>
      <c r="I832">
        <v>673.72</v>
      </c>
      <c r="J832">
        <v>4049.42</v>
      </c>
      <c r="K832" s="5">
        <f>IF(SalesData[[#This Row],[Total Revenue]]=0,0,SalesData[[#This Row],[Profit]]/SalesData[[#This Row],[Total Revenue]])</f>
        <v>0.42900033901178064</v>
      </c>
      <c r="L832" s="5" t="str">
        <f>TEXT(SalesData[[#This Row],[Date]],"mmm")</f>
        <v>Aug</v>
      </c>
      <c r="M832">
        <f>YEAR(SalesData[[#This Row],[Date]])</f>
        <v>2023</v>
      </c>
      <c r="N832">
        <f>WEEKNUM(SalesData[[#This Row],[Date]])</f>
        <v>34</v>
      </c>
      <c r="O832" t="s">
        <v>2321</v>
      </c>
      <c r="P832" t="s">
        <v>2522</v>
      </c>
      <c r="Q832" t="s">
        <v>2527</v>
      </c>
    </row>
    <row r="833" spans="1:17" x14ac:dyDescent="0.35">
      <c r="A833" t="s">
        <v>786</v>
      </c>
      <c r="B833" s="3">
        <v>45032</v>
      </c>
      <c r="C833" t="s">
        <v>2022</v>
      </c>
      <c r="D833" t="s">
        <v>2024</v>
      </c>
      <c r="E833" s="8">
        <v>2361</v>
      </c>
      <c r="F833">
        <v>4</v>
      </c>
      <c r="G833">
        <v>0</v>
      </c>
      <c r="H833" s="8">
        <v>9444</v>
      </c>
      <c r="I833">
        <v>1833.36</v>
      </c>
      <c r="J833">
        <v>2110.5700000000002</v>
      </c>
      <c r="K833" s="5">
        <f>IF(SalesData[[#This Row],[Total Revenue]]=0,0,SalesData[[#This Row],[Profit]]/SalesData[[#This Row],[Total Revenue]])</f>
        <v>0.22348263447691658</v>
      </c>
      <c r="L833" s="5" t="str">
        <f>TEXT(SalesData[[#This Row],[Date]],"mmm")</f>
        <v>Apr</v>
      </c>
      <c r="M833">
        <f>YEAR(SalesData[[#This Row],[Date]])</f>
        <v>2023</v>
      </c>
      <c r="N833">
        <f>WEEKNUM(SalesData[[#This Row],[Date]])</f>
        <v>16</v>
      </c>
      <c r="O833" t="s">
        <v>2172</v>
      </c>
      <c r="P833" t="s">
        <v>2522</v>
      </c>
      <c r="Q833" t="s">
        <v>2525</v>
      </c>
    </row>
    <row r="834" spans="1:17" x14ac:dyDescent="0.35">
      <c r="A834" t="s">
        <v>1475</v>
      </c>
      <c r="B834" s="3">
        <v>44986</v>
      </c>
      <c r="C834" t="s">
        <v>2019</v>
      </c>
      <c r="D834" t="s">
        <v>2027</v>
      </c>
      <c r="E834" s="8">
        <v>3710</v>
      </c>
      <c r="F834">
        <v>3</v>
      </c>
      <c r="G834">
        <v>15</v>
      </c>
      <c r="H834" s="8">
        <v>9460.5</v>
      </c>
      <c r="I834">
        <v>2932.19</v>
      </c>
      <c r="J834">
        <v>663.94</v>
      </c>
      <c r="K834" s="5">
        <f>IF(SalesData[[#This Row],[Total Revenue]]=0,0,SalesData[[#This Row],[Profit]]/SalesData[[#This Row],[Total Revenue]])</f>
        <v>7.0180223032609276E-2</v>
      </c>
      <c r="L834" s="5" t="str">
        <f>TEXT(SalesData[[#This Row],[Date]],"mmm")</f>
        <v>Mar</v>
      </c>
      <c r="M834">
        <f>YEAR(SalesData[[#This Row],[Date]])</f>
        <v>2023</v>
      </c>
      <c r="N834">
        <f>WEEKNUM(SalesData[[#This Row],[Date]])</f>
        <v>9</v>
      </c>
      <c r="O834" t="s">
        <v>2489</v>
      </c>
      <c r="P834" t="s">
        <v>2523</v>
      </c>
      <c r="Q834" t="s">
        <v>2525</v>
      </c>
    </row>
    <row r="835" spans="1:17" x14ac:dyDescent="0.35">
      <c r="A835" t="s">
        <v>817</v>
      </c>
      <c r="B835" s="3">
        <v>44994</v>
      </c>
      <c r="C835" t="s">
        <v>2013</v>
      </c>
      <c r="D835" t="s">
        <v>2023</v>
      </c>
      <c r="E835" s="8">
        <v>1109</v>
      </c>
      <c r="F835">
        <v>9</v>
      </c>
      <c r="G835">
        <v>5</v>
      </c>
      <c r="H835" s="8">
        <v>9481.9500000000007</v>
      </c>
      <c r="I835">
        <v>880.85</v>
      </c>
      <c r="J835">
        <v>1554.27</v>
      </c>
      <c r="K835" s="5">
        <f>IF(SalesData[[#This Row],[Total Revenue]]=0,0,SalesData[[#This Row],[Profit]]/SalesData[[#This Row],[Total Revenue]])</f>
        <v>0.16391881416797177</v>
      </c>
      <c r="L835" s="5" t="str">
        <f>TEXT(SalesData[[#This Row],[Date]],"mmm")</f>
        <v>Mar</v>
      </c>
      <c r="M835">
        <f>YEAR(SalesData[[#This Row],[Date]])</f>
        <v>2023</v>
      </c>
      <c r="N835">
        <f>WEEKNUM(SalesData[[#This Row],[Date]])</f>
        <v>10</v>
      </c>
      <c r="O835" t="s">
        <v>2426</v>
      </c>
      <c r="P835" t="s">
        <v>2522</v>
      </c>
      <c r="Q835" t="s">
        <v>2525</v>
      </c>
    </row>
    <row r="836" spans="1:17" x14ac:dyDescent="0.35">
      <c r="A836" t="s">
        <v>472</v>
      </c>
      <c r="B836" s="3">
        <v>45102</v>
      </c>
      <c r="C836" t="s">
        <v>2014</v>
      </c>
      <c r="D836" t="s">
        <v>2024</v>
      </c>
      <c r="E836" s="8">
        <v>1171</v>
      </c>
      <c r="F836">
        <v>9</v>
      </c>
      <c r="G836">
        <v>10</v>
      </c>
      <c r="H836" s="8">
        <v>9485.1</v>
      </c>
      <c r="I836">
        <v>897.43</v>
      </c>
      <c r="J836">
        <v>1408.26</v>
      </c>
      <c r="K836" s="5">
        <f>IF(SalesData[[#This Row],[Total Revenue]]=0,0,SalesData[[#This Row],[Profit]]/SalesData[[#This Row],[Total Revenue]])</f>
        <v>0.14847075940158774</v>
      </c>
      <c r="L836" s="5" t="str">
        <f>TEXT(SalesData[[#This Row],[Date]],"mmm")</f>
        <v>Jun</v>
      </c>
      <c r="M836">
        <f>YEAR(SalesData[[#This Row],[Date]])</f>
        <v>2023</v>
      </c>
      <c r="N836">
        <f>WEEKNUM(SalesData[[#This Row],[Date]])</f>
        <v>26</v>
      </c>
      <c r="O836" t="s">
        <v>2231</v>
      </c>
      <c r="P836" t="s">
        <v>2522</v>
      </c>
      <c r="Q836" t="s">
        <v>2526</v>
      </c>
    </row>
    <row r="837" spans="1:17" x14ac:dyDescent="0.35">
      <c r="A837" t="s">
        <v>733</v>
      </c>
      <c r="B837" s="3">
        <v>45167</v>
      </c>
      <c r="C837" t="s">
        <v>2020</v>
      </c>
      <c r="D837" t="s">
        <v>2028</v>
      </c>
      <c r="E837" s="8">
        <v>1506</v>
      </c>
      <c r="F837">
        <v>7</v>
      </c>
      <c r="G837">
        <v>10</v>
      </c>
      <c r="H837" s="8">
        <v>9487.7999999999993</v>
      </c>
      <c r="I837">
        <v>1086.17</v>
      </c>
      <c r="J837">
        <v>1884.6</v>
      </c>
      <c r="K837" s="5">
        <f>IF(SalesData[[#This Row],[Total Revenue]]=0,0,SalesData[[#This Row],[Profit]]/SalesData[[#This Row],[Total Revenue]])</f>
        <v>0.19863403528742174</v>
      </c>
      <c r="L837" s="5" t="str">
        <f>TEXT(SalesData[[#This Row],[Date]],"mmm")</f>
        <v>Aug</v>
      </c>
      <c r="M837">
        <f>YEAR(SalesData[[#This Row],[Date]])</f>
        <v>2023</v>
      </c>
      <c r="N837">
        <f>WEEKNUM(SalesData[[#This Row],[Date]])</f>
        <v>35</v>
      </c>
      <c r="O837" t="s">
        <v>2404</v>
      </c>
      <c r="P837" t="s">
        <v>2522</v>
      </c>
      <c r="Q837" t="s">
        <v>2527</v>
      </c>
    </row>
    <row r="838" spans="1:17" x14ac:dyDescent="0.35">
      <c r="A838" t="s">
        <v>1664</v>
      </c>
      <c r="B838" s="3">
        <v>45035</v>
      </c>
      <c r="C838" t="s">
        <v>2020</v>
      </c>
      <c r="D838" t="s">
        <v>2028</v>
      </c>
      <c r="E838" s="8">
        <v>1506</v>
      </c>
      <c r="F838">
        <v>7</v>
      </c>
      <c r="G838">
        <v>10</v>
      </c>
      <c r="H838" s="8">
        <v>9487.7999999999993</v>
      </c>
      <c r="I838">
        <v>1087.19</v>
      </c>
      <c r="J838">
        <v>1877.5</v>
      </c>
      <c r="K838" s="5">
        <f>IF(SalesData[[#This Row],[Total Revenue]]=0,0,SalesData[[#This Row],[Profit]]/SalesData[[#This Row],[Total Revenue]])</f>
        <v>0.19788570585383336</v>
      </c>
      <c r="L838" s="5" t="str">
        <f>TEXT(SalesData[[#This Row],[Date]],"mmm")</f>
        <v>Apr</v>
      </c>
      <c r="M838">
        <f>YEAR(SalesData[[#This Row],[Date]])</f>
        <v>2023</v>
      </c>
      <c r="N838">
        <f>WEEKNUM(SalesData[[#This Row],[Date]])</f>
        <v>16</v>
      </c>
      <c r="O838" t="s">
        <v>2491</v>
      </c>
      <c r="P838" t="s">
        <v>2523</v>
      </c>
      <c r="Q838" t="s">
        <v>2525</v>
      </c>
    </row>
    <row r="839" spans="1:17" x14ac:dyDescent="0.35">
      <c r="A839" t="s">
        <v>725</v>
      </c>
      <c r="B839" s="3">
        <v>45267</v>
      </c>
      <c r="C839" t="s">
        <v>2020</v>
      </c>
      <c r="D839" t="s">
        <v>2028</v>
      </c>
      <c r="E839" s="8">
        <v>2794</v>
      </c>
      <c r="F839">
        <v>4</v>
      </c>
      <c r="G839">
        <v>15</v>
      </c>
      <c r="H839" s="8">
        <v>9499.6</v>
      </c>
      <c r="I839">
        <v>2063.25</v>
      </c>
      <c r="J839">
        <v>1246.5899999999999</v>
      </c>
      <c r="K839" s="5">
        <f>IF(SalesData[[#This Row],[Total Revenue]]=0,0,SalesData[[#This Row],[Profit]]/SalesData[[#This Row],[Total Revenue]])</f>
        <v>0.13122552528527515</v>
      </c>
      <c r="L839" s="5" t="str">
        <f>TEXT(SalesData[[#This Row],[Date]],"mmm")</f>
        <v>Dec</v>
      </c>
      <c r="M839">
        <f>YEAR(SalesData[[#This Row],[Date]])</f>
        <v>2023</v>
      </c>
      <c r="N839">
        <f>WEEKNUM(SalesData[[#This Row],[Date]])</f>
        <v>49</v>
      </c>
      <c r="O839" t="s">
        <v>2110</v>
      </c>
      <c r="P839" t="s">
        <v>2523</v>
      </c>
      <c r="Q839" t="s">
        <v>2526</v>
      </c>
    </row>
    <row r="840" spans="1:17" x14ac:dyDescent="0.35">
      <c r="A840" t="s">
        <v>1351</v>
      </c>
      <c r="B840" s="3">
        <v>44998</v>
      </c>
      <c r="C840" t="s">
        <v>2019</v>
      </c>
      <c r="D840" t="s">
        <v>2027</v>
      </c>
      <c r="E840" s="8">
        <v>2378</v>
      </c>
      <c r="F840">
        <v>4</v>
      </c>
      <c r="G840">
        <v>0</v>
      </c>
      <c r="H840" s="8">
        <v>9512</v>
      </c>
      <c r="I840">
        <v>1708.37</v>
      </c>
      <c r="J840">
        <v>2678.52</v>
      </c>
      <c r="K840" s="5">
        <f>IF(SalesData[[#This Row],[Total Revenue]]=0,0,SalesData[[#This Row],[Profit]]/SalesData[[#This Row],[Total Revenue]])</f>
        <v>0.28159377628259041</v>
      </c>
      <c r="L840" s="5" t="str">
        <f>TEXT(SalesData[[#This Row],[Date]],"mmm")</f>
        <v>Mar</v>
      </c>
      <c r="M840">
        <f>YEAR(SalesData[[#This Row],[Date]])</f>
        <v>2023</v>
      </c>
      <c r="N840">
        <f>WEEKNUM(SalesData[[#This Row],[Date]])</f>
        <v>11</v>
      </c>
      <c r="O840" t="s">
        <v>2246</v>
      </c>
      <c r="P840" t="s">
        <v>2522</v>
      </c>
      <c r="Q840" t="s">
        <v>2524</v>
      </c>
    </row>
    <row r="841" spans="1:17" x14ac:dyDescent="0.35">
      <c r="A841" t="s">
        <v>540</v>
      </c>
      <c r="B841" s="3">
        <v>45110</v>
      </c>
      <c r="C841" t="s">
        <v>2020</v>
      </c>
      <c r="D841" t="s">
        <v>2028</v>
      </c>
      <c r="E841" s="8">
        <v>4767</v>
      </c>
      <c r="F841">
        <v>2</v>
      </c>
      <c r="G841">
        <v>0</v>
      </c>
      <c r="H841" s="8">
        <v>9534</v>
      </c>
      <c r="I841">
        <v>3218.85</v>
      </c>
      <c r="J841">
        <v>3096.3</v>
      </c>
      <c r="K841" s="5">
        <f>IF(SalesData[[#This Row],[Total Revenue]]=0,0,SalesData[[#This Row],[Profit]]/SalesData[[#This Row],[Total Revenue]])</f>
        <v>0.32476400251730653</v>
      </c>
      <c r="L841" s="5" t="str">
        <f>TEXT(SalesData[[#This Row],[Date]],"mmm")</f>
        <v>Jul</v>
      </c>
      <c r="M841">
        <f>YEAR(SalesData[[#This Row],[Date]])</f>
        <v>2023</v>
      </c>
      <c r="N841">
        <f>WEEKNUM(SalesData[[#This Row],[Date]])</f>
        <v>27</v>
      </c>
      <c r="O841" t="s">
        <v>2351</v>
      </c>
      <c r="P841" t="s">
        <v>2522</v>
      </c>
      <c r="Q841" t="s">
        <v>2524</v>
      </c>
    </row>
    <row r="842" spans="1:17" x14ac:dyDescent="0.35">
      <c r="A842" t="s">
        <v>1667</v>
      </c>
      <c r="B842" s="3">
        <v>44959</v>
      </c>
      <c r="C842" t="s">
        <v>2019</v>
      </c>
      <c r="D842" t="s">
        <v>2027</v>
      </c>
      <c r="E842" s="8">
        <v>2805</v>
      </c>
      <c r="F842">
        <v>4</v>
      </c>
      <c r="G842">
        <v>15</v>
      </c>
      <c r="H842" s="8">
        <v>9537</v>
      </c>
      <c r="I842">
        <v>1544.71</v>
      </c>
      <c r="J842">
        <v>3358.14</v>
      </c>
      <c r="K842" s="5">
        <f>IF(SalesData[[#This Row],[Total Revenue]]=0,0,SalesData[[#This Row],[Profit]]/SalesData[[#This Row],[Total Revenue]])</f>
        <v>0.3521170179301667</v>
      </c>
      <c r="L842" s="5" t="str">
        <f>TEXT(SalesData[[#This Row],[Date]],"mmm")</f>
        <v>Feb</v>
      </c>
      <c r="M842">
        <f>YEAR(SalesData[[#This Row],[Date]])</f>
        <v>2023</v>
      </c>
      <c r="N842">
        <f>WEEKNUM(SalesData[[#This Row],[Date]])</f>
        <v>5</v>
      </c>
      <c r="O842" t="s">
        <v>2249</v>
      </c>
      <c r="P842" t="s">
        <v>2523</v>
      </c>
      <c r="Q842" t="s">
        <v>2527</v>
      </c>
    </row>
    <row r="843" spans="1:17" x14ac:dyDescent="0.35">
      <c r="A843" t="s">
        <v>1211</v>
      </c>
      <c r="B843" s="3">
        <v>45150</v>
      </c>
      <c r="C843" t="s">
        <v>2020</v>
      </c>
      <c r="D843" t="s">
        <v>2028</v>
      </c>
      <c r="E843" s="8">
        <v>3540</v>
      </c>
      <c r="F843">
        <v>3</v>
      </c>
      <c r="G843">
        <v>10</v>
      </c>
      <c r="H843" s="8">
        <v>9558</v>
      </c>
      <c r="I843">
        <v>2708.67</v>
      </c>
      <c r="J843">
        <v>1432</v>
      </c>
      <c r="K843" s="5">
        <f>IF(SalesData[[#This Row],[Total Revenue]]=0,0,SalesData[[#This Row],[Profit]]/SalesData[[#This Row],[Total Revenue]])</f>
        <v>0.14982213852270349</v>
      </c>
      <c r="L843" s="5" t="str">
        <f>TEXT(SalesData[[#This Row],[Date]],"mmm")</f>
        <v>Aug</v>
      </c>
      <c r="M843">
        <f>YEAR(SalesData[[#This Row],[Date]])</f>
        <v>2023</v>
      </c>
      <c r="N843">
        <f>WEEKNUM(SalesData[[#This Row],[Date]])</f>
        <v>32</v>
      </c>
      <c r="O843" t="s">
        <v>2249</v>
      </c>
      <c r="P843" t="s">
        <v>2523</v>
      </c>
      <c r="Q843" t="s">
        <v>2526</v>
      </c>
    </row>
    <row r="844" spans="1:17" x14ac:dyDescent="0.35">
      <c r="A844" t="s">
        <v>1204</v>
      </c>
      <c r="B844" s="3">
        <v>45035</v>
      </c>
      <c r="C844" t="s">
        <v>2013</v>
      </c>
      <c r="D844" t="s">
        <v>2023</v>
      </c>
      <c r="E844" s="8">
        <v>3541</v>
      </c>
      <c r="F844">
        <v>3</v>
      </c>
      <c r="G844">
        <v>10</v>
      </c>
      <c r="H844" s="8">
        <v>9560.7000000000007</v>
      </c>
      <c r="I844">
        <v>2480.87</v>
      </c>
      <c r="J844">
        <v>2118.09</v>
      </c>
      <c r="K844" s="5">
        <f>IF(SalesData[[#This Row],[Total Revenue]]=0,0,SalesData[[#This Row],[Profit]]/SalesData[[#This Row],[Total Revenue]])</f>
        <v>0.22154130973673475</v>
      </c>
      <c r="L844" s="5" t="str">
        <f>TEXT(SalesData[[#This Row],[Date]],"mmm")</f>
        <v>Apr</v>
      </c>
      <c r="M844">
        <f>YEAR(SalesData[[#This Row],[Date]])</f>
        <v>2023</v>
      </c>
      <c r="N844">
        <f>WEEKNUM(SalesData[[#This Row],[Date]])</f>
        <v>16</v>
      </c>
      <c r="O844" t="s">
        <v>2485</v>
      </c>
      <c r="P844" t="s">
        <v>2523</v>
      </c>
      <c r="Q844" t="s">
        <v>2526</v>
      </c>
    </row>
    <row r="845" spans="1:17" x14ac:dyDescent="0.35">
      <c r="A845" t="s">
        <v>390</v>
      </c>
      <c r="B845" s="3">
        <v>45105</v>
      </c>
      <c r="C845" t="s">
        <v>2014</v>
      </c>
      <c r="D845" t="s">
        <v>2024</v>
      </c>
      <c r="E845" s="8">
        <v>4832</v>
      </c>
      <c r="F845">
        <v>2</v>
      </c>
      <c r="G845">
        <v>0</v>
      </c>
      <c r="H845" s="8">
        <v>9664</v>
      </c>
      <c r="I845">
        <v>3512.09</v>
      </c>
      <c r="J845">
        <v>2639.81</v>
      </c>
      <c r="K845" s="5">
        <f>IF(SalesData[[#This Row],[Total Revenue]]=0,0,SalesData[[#This Row],[Profit]]/SalesData[[#This Row],[Total Revenue]])</f>
        <v>0.27315914735099339</v>
      </c>
      <c r="L845" s="5" t="str">
        <f>TEXT(SalesData[[#This Row],[Date]],"mmm")</f>
        <v>Jun</v>
      </c>
      <c r="M845">
        <f>YEAR(SalesData[[#This Row],[Date]])</f>
        <v>2023</v>
      </c>
      <c r="N845">
        <f>WEEKNUM(SalesData[[#This Row],[Date]])</f>
        <v>26</v>
      </c>
      <c r="O845" t="s">
        <v>2155</v>
      </c>
      <c r="P845" t="s">
        <v>2523</v>
      </c>
      <c r="Q845" t="s">
        <v>2525</v>
      </c>
    </row>
    <row r="846" spans="1:17" x14ac:dyDescent="0.35">
      <c r="A846" t="s">
        <v>287</v>
      </c>
      <c r="B846" s="3">
        <v>44954</v>
      </c>
      <c r="C846" t="s">
        <v>2016</v>
      </c>
      <c r="D846" t="s">
        <v>2025</v>
      </c>
      <c r="E846" s="8">
        <v>3224</v>
      </c>
      <c r="F846">
        <v>3</v>
      </c>
      <c r="G846">
        <v>0</v>
      </c>
      <c r="H846" s="8">
        <v>9672</v>
      </c>
      <c r="I846">
        <v>2204.3000000000002</v>
      </c>
      <c r="J846">
        <v>3059.11</v>
      </c>
      <c r="K846" s="5">
        <f>IF(SalesData[[#This Row],[Total Revenue]]=0,0,SalesData[[#This Row],[Profit]]/SalesData[[#This Row],[Total Revenue]])</f>
        <v>0.31628515301902399</v>
      </c>
      <c r="L846" s="5" t="str">
        <f>TEXT(SalesData[[#This Row],[Date]],"mmm")</f>
        <v>Jan</v>
      </c>
      <c r="M846">
        <f>YEAR(SalesData[[#This Row],[Date]])</f>
        <v>2023</v>
      </c>
      <c r="N846">
        <f>WEEKNUM(SalesData[[#This Row],[Date]])</f>
        <v>4</v>
      </c>
      <c r="O846" t="s">
        <v>2238</v>
      </c>
      <c r="P846" t="s">
        <v>2522</v>
      </c>
      <c r="Q846" t="s">
        <v>2527</v>
      </c>
    </row>
    <row r="847" spans="1:17" x14ac:dyDescent="0.35">
      <c r="A847" t="s">
        <v>159</v>
      </c>
      <c r="B847" s="3">
        <v>44939</v>
      </c>
      <c r="C847" t="s">
        <v>2016</v>
      </c>
      <c r="D847" t="s">
        <v>2025</v>
      </c>
      <c r="E847" s="8">
        <v>3225</v>
      </c>
      <c r="F847">
        <v>3</v>
      </c>
      <c r="G847">
        <v>0</v>
      </c>
      <c r="H847" s="8">
        <v>9675</v>
      </c>
      <c r="I847">
        <v>2466.67</v>
      </c>
      <c r="J847">
        <v>2274.9899999999998</v>
      </c>
      <c r="K847" s="5">
        <f>IF(SalesData[[#This Row],[Total Revenue]]=0,0,SalesData[[#This Row],[Profit]]/SalesData[[#This Row],[Total Revenue]])</f>
        <v>0.2351410852713178</v>
      </c>
      <c r="L847" s="5" t="str">
        <f>TEXT(SalesData[[#This Row],[Date]],"mmm")</f>
        <v>Jan</v>
      </c>
      <c r="M847">
        <f>YEAR(SalesData[[#This Row],[Date]])</f>
        <v>2023</v>
      </c>
      <c r="N847">
        <f>WEEKNUM(SalesData[[#This Row],[Date]])</f>
        <v>2</v>
      </c>
      <c r="O847" t="s">
        <v>2121</v>
      </c>
      <c r="P847" t="s">
        <v>2522</v>
      </c>
      <c r="Q847" t="s">
        <v>2526</v>
      </c>
    </row>
    <row r="848" spans="1:17" x14ac:dyDescent="0.35">
      <c r="A848" t="s">
        <v>1559</v>
      </c>
      <c r="B848" s="3">
        <v>45265</v>
      </c>
      <c r="C848" t="s">
        <v>2019</v>
      </c>
      <c r="D848" t="s">
        <v>2027</v>
      </c>
      <c r="E848" s="8">
        <v>2151</v>
      </c>
      <c r="F848">
        <v>5</v>
      </c>
      <c r="G848">
        <v>10</v>
      </c>
      <c r="H848" s="8">
        <v>9679.5</v>
      </c>
      <c r="I848">
        <v>1351.6</v>
      </c>
      <c r="J848">
        <v>2921.5</v>
      </c>
      <c r="K848" s="5">
        <f>IF(SalesData[[#This Row],[Total Revenue]]=0,0,SalesData[[#This Row],[Profit]]/SalesData[[#This Row],[Total Revenue]])</f>
        <v>0.30182344129345523</v>
      </c>
      <c r="L848" s="5" t="str">
        <f>TEXT(SalesData[[#This Row],[Date]],"mmm")</f>
        <v>Dec</v>
      </c>
      <c r="M848">
        <f>YEAR(SalesData[[#This Row],[Date]])</f>
        <v>2023</v>
      </c>
      <c r="N848">
        <f>WEEKNUM(SalesData[[#This Row],[Date]])</f>
        <v>49</v>
      </c>
      <c r="O848" t="s">
        <v>2312</v>
      </c>
      <c r="P848" t="s">
        <v>2523</v>
      </c>
      <c r="Q848" t="s">
        <v>2526</v>
      </c>
    </row>
    <row r="849" spans="1:17" x14ac:dyDescent="0.35">
      <c r="A849" t="s">
        <v>67</v>
      </c>
      <c r="B849" s="3">
        <v>45089</v>
      </c>
      <c r="C849" t="s">
        <v>2017</v>
      </c>
      <c r="D849" t="s">
        <v>2026</v>
      </c>
      <c r="E849" s="8">
        <v>968</v>
      </c>
      <c r="F849">
        <v>10</v>
      </c>
      <c r="G849">
        <v>0</v>
      </c>
      <c r="H849" s="8">
        <v>9680</v>
      </c>
      <c r="I849">
        <v>653.39</v>
      </c>
      <c r="J849">
        <v>3146.11</v>
      </c>
      <c r="K849" s="5">
        <f>IF(SalesData[[#This Row],[Total Revenue]]=0,0,SalesData[[#This Row],[Profit]]/SalesData[[#This Row],[Total Revenue]])</f>
        <v>0.32501136363636363</v>
      </c>
      <c r="L849" s="5" t="str">
        <f>TEXT(SalesData[[#This Row],[Date]],"mmm")</f>
        <v>Jun</v>
      </c>
      <c r="M849">
        <f>YEAR(SalesData[[#This Row],[Date]])</f>
        <v>2023</v>
      </c>
      <c r="N849">
        <f>WEEKNUM(SalesData[[#This Row],[Date]])</f>
        <v>24</v>
      </c>
      <c r="O849" t="s">
        <v>2078</v>
      </c>
      <c r="P849" t="s">
        <v>2522</v>
      </c>
      <c r="Q849" t="s">
        <v>2525</v>
      </c>
    </row>
    <row r="850" spans="1:17" x14ac:dyDescent="0.35">
      <c r="A850" t="s">
        <v>351</v>
      </c>
      <c r="B850" s="3">
        <v>45287</v>
      </c>
      <c r="C850" t="s">
        <v>2017</v>
      </c>
      <c r="D850" t="s">
        <v>2026</v>
      </c>
      <c r="E850" s="8">
        <v>3586</v>
      </c>
      <c r="F850">
        <v>3</v>
      </c>
      <c r="G850">
        <v>10</v>
      </c>
      <c r="H850" s="8">
        <v>9682.2000000000007</v>
      </c>
      <c r="I850">
        <v>2182.63</v>
      </c>
      <c r="J850">
        <v>3134.31</v>
      </c>
      <c r="K850" s="5">
        <f>IF(SalesData[[#This Row],[Total Revenue]]=0,0,SalesData[[#This Row],[Profit]]/SalesData[[#This Row],[Total Revenue]])</f>
        <v>0.3237187829212369</v>
      </c>
      <c r="L850" s="5" t="str">
        <f>TEXT(SalesData[[#This Row],[Date]],"mmm")</f>
        <v>Dec</v>
      </c>
      <c r="M850">
        <f>YEAR(SalesData[[#This Row],[Date]])</f>
        <v>2023</v>
      </c>
      <c r="N850">
        <f>WEEKNUM(SalesData[[#This Row],[Date]])</f>
        <v>52</v>
      </c>
      <c r="O850" t="s">
        <v>2240</v>
      </c>
      <c r="P850" t="s">
        <v>2523</v>
      </c>
      <c r="Q850" t="s">
        <v>2525</v>
      </c>
    </row>
    <row r="851" spans="1:17" x14ac:dyDescent="0.35">
      <c r="A851" t="s">
        <v>1268</v>
      </c>
      <c r="B851" s="3">
        <v>45262</v>
      </c>
      <c r="C851" t="s">
        <v>2022</v>
      </c>
      <c r="D851" t="s">
        <v>2024</v>
      </c>
      <c r="E851" s="8">
        <v>1079</v>
      </c>
      <c r="F851">
        <v>10</v>
      </c>
      <c r="G851">
        <v>10</v>
      </c>
      <c r="H851" s="8">
        <v>9711</v>
      </c>
      <c r="I851">
        <v>591.02</v>
      </c>
      <c r="J851">
        <v>3800.76</v>
      </c>
      <c r="K851" s="5">
        <f>IF(SalesData[[#This Row],[Total Revenue]]=0,0,SalesData[[#This Row],[Profit]]/SalesData[[#This Row],[Total Revenue]])</f>
        <v>0.3913870868087736</v>
      </c>
      <c r="L851" s="5" t="str">
        <f>TEXT(SalesData[[#This Row],[Date]],"mmm")</f>
        <v>Dec</v>
      </c>
      <c r="M851">
        <f>YEAR(SalesData[[#This Row],[Date]])</f>
        <v>2023</v>
      </c>
      <c r="N851">
        <f>WEEKNUM(SalesData[[#This Row],[Date]])</f>
        <v>48</v>
      </c>
      <c r="O851" t="s">
        <v>2185</v>
      </c>
      <c r="P851" t="s">
        <v>2522</v>
      </c>
      <c r="Q851" t="s">
        <v>2525</v>
      </c>
    </row>
    <row r="852" spans="1:17" x14ac:dyDescent="0.35">
      <c r="A852" t="s">
        <v>288</v>
      </c>
      <c r="B852" s="3">
        <v>45082</v>
      </c>
      <c r="C852" t="s">
        <v>2022</v>
      </c>
      <c r="D852" t="s">
        <v>2024</v>
      </c>
      <c r="E852" s="8">
        <v>2047</v>
      </c>
      <c r="F852">
        <v>5</v>
      </c>
      <c r="G852">
        <v>5</v>
      </c>
      <c r="H852" s="8">
        <v>9723.25</v>
      </c>
      <c r="I852">
        <v>1596.52</v>
      </c>
      <c r="J852">
        <v>1740.67</v>
      </c>
      <c r="K852" s="5">
        <f>IF(SalesData[[#This Row],[Total Revenue]]=0,0,SalesData[[#This Row],[Profit]]/SalesData[[#This Row],[Total Revenue]])</f>
        <v>0.17902141773583935</v>
      </c>
      <c r="L852" s="5" t="str">
        <f>TEXT(SalesData[[#This Row],[Date]],"mmm")</f>
        <v>Jun</v>
      </c>
      <c r="M852">
        <f>YEAR(SalesData[[#This Row],[Date]])</f>
        <v>2023</v>
      </c>
      <c r="N852">
        <f>WEEKNUM(SalesData[[#This Row],[Date]])</f>
        <v>23</v>
      </c>
      <c r="O852" t="s">
        <v>2031</v>
      </c>
      <c r="P852" t="s">
        <v>2522</v>
      </c>
      <c r="Q852" t="s">
        <v>2526</v>
      </c>
    </row>
    <row r="853" spans="1:17" x14ac:dyDescent="0.35">
      <c r="A853" t="s">
        <v>670</v>
      </c>
      <c r="B853" s="3">
        <v>45042</v>
      </c>
      <c r="C853" t="s">
        <v>2014</v>
      </c>
      <c r="D853" t="s">
        <v>2024</v>
      </c>
      <c r="E853" s="8">
        <v>1805</v>
      </c>
      <c r="F853">
        <v>6</v>
      </c>
      <c r="G853">
        <v>10</v>
      </c>
      <c r="H853" s="8">
        <v>9747</v>
      </c>
      <c r="I853">
        <v>1251.5</v>
      </c>
      <c r="J853">
        <v>2238.0100000000002</v>
      </c>
      <c r="K853" s="5">
        <f>IF(SalesData[[#This Row],[Total Revenue]]=0,0,SalesData[[#This Row],[Profit]]/SalesData[[#This Row],[Total Revenue]])</f>
        <v>0.22961013645224174</v>
      </c>
      <c r="L853" s="5" t="str">
        <f>TEXT(SalesData[[#This Row],[Date]],"mmm")</f>
        <v>Apr</v>
      </c>
      <c r="M853">
        <f>YEAR(SalesData[[#This Row],[Date]])</f>
        <v>2023</v>
      </c>
      <c r="N853">
        <f>WEEKNUM(SalesData[[#This Row],[Date]])</f>
        <v>17</v>
      </c>
      <c r="O853" t="s">
        <v>2171</v>
      </c>
      <c r="P853" t="s">
        <v>2522</v>
      </c>
      <c r="Q853" t="s">
        <v>2525</v>
      </c>
    </row>
    <row r="854" spans="1:17" x14ac:dyDescent="0.35">
      <c r="A854" t="s">
        <v>1027</v>
      </c>
      <c r="B854" s="3">
        <v>45029</v>
      </c>
      <c r="C854" t="s">
        <v>2022</v>
      </c>
      <c r="D854" t="s">
        <v>2024</v>
      </c>
      <c r="E854" s="8">
        <v>1630</v>
      </c>
      <c r="F854">
        <v>6</v>
      </c>
      <c r="G854">
        <v>0</v>
      </c>
      <c r="H854" s="8">
        <v>9780</v>
      </c>
      <c r="I854">
        <v>867.99</v>
      </c>
      <c r="J854">
        <v>4572.0600000000004</v>
      </c>
      <c r="K854" s="5">
        <f>IF(SalesData[[#This Row],[Total Revenue]]=0,0,SalesData[[#This Row],[Profit]]/SalesData[[#This Row],[Total Revenue]])</f>
        <v>0.4674907975460123</v>
      </c>
      <c r="L854" s="5" t="str">
        <f>TEXT(SalesData[[#This Row],[Date]],"mmm")</f>
        <v>Apr</v>
      </c>
      <c r="M854">
        <f>YEAR(SalesData[[#This Row],[Date]])</f>
        <v>2023</v>
      </c>
      <c r="N854">
        <f>WEEKNUM(SalesData[[#This Row],[Date]])</f>
        <v>15</v>
      </c>
      <c r="O854" t="s">
        <v>2113</v>
      </c>
      <c r="P854" t="s">
        <v>2522</v>
      </c>
      <c r="Q854" t="s">
        <v>2527</v>
      </c>
    </row>
    <row r="855" spans="1:17" x14ac:dyDescent="0.35">
      <c r="A855" t="s">
        <v>924</v>
      </c>
      <c r="B855" s="3">
        <v>45196</v>
      </c>
      <c r="C855" t="s">
        <v>2016</v>
      </c>
      <c r="D855" t="s">
        <v>2025</v>
      </c>
      <c r="E855" s="8">
        <v>1288</v>
      </c>
      <c r="F855">
        <v>8</v>
      </c>
      <c r="G855">
        <v>5</v>
      </c>
      <c r="H855" s="8">
        <v>9788.7999999999993</v>
      </c>
      <c r="I855">
        <v>918.78</v>
      </c>
      <c r="J855">
        <v>2438.58</v>
      </c>
      <c r="K855" s="5">
        <f>IF(SalesData[[#This Row],[Total Revenue]]=0,0,SalesData[[#This Row],[Profit]]/SalesData[[#This Row],[Total Revenue]])</f>
        <v>0.24911940176528277</v>
      </c>
      <c r="L855" s="5" t="str">
        <f>TEXT(SalesData[[#This Row],[Date]],"mmm")</f>
        <v>Sep</v>
      </c>
      <c r="M855">
        <f>YEAR(SalesData[[#This Row],[Date]])</f>
        <v>2023</v>
      </c>
      <c r="N855">
        <f>WEEKNUM(SalesData[[#This Row],[Date]])</f>
        <v>39</v>
      </c>
      <c r="O855" t="s">
        <v>2349</v>
      </c>
      <c r="P855" t="s">
        <v>2522</v>
      </c>
      <c r="Q855" t="s">
        <v>2525</v>
      </c>
    </row>
    <row r="856" spans="1:17" x14ac:dyDescent="0.35">
      <c r="A856" t="s">
        <v>555</v>
      </c>
      <c r="B856" s="3">
        <v>45018</v>
      </c>
      <c r="C856" t="s">
        <v>2020</v>
      </c>
      <c r="D856" t="s">
        <v>2028</v>
      </c>
      <c r="E856" s="8">
        <v>1147</v>
      </c>
      <c r="F856">
        <v>9</v>
      </c>
      <c r="G856">
        <v>5</v>
      </c>
      <c r="H856" s="8">
        <v>9806.85</v>
      </c>
      <c r="I856">
        <v>781.75</v>
      </c>
      <c r="J856">
        <v>2771.12</v>
      </c>
      <c r="K856" s="5">
        <f>IF(SalesData[[#This Row],[Total Revenue]]=0,0,SalesData[[#This Row],[Profit]]/SalesData[[#This Row],[Total Revenue]])</f>
        <v>0.28256983638987032</v>
      </c>
      <c r="L856" s="5" t="str">
        <f>TEXT(SalesData[[#This Row],[Date]],"mmm")</f>
        <v>Apr</v>
      </c>
      <c r="M856">
        <f>YEAR(SalesData[[#This Row],[Date]])</f>
        <v>2023</v>
      </c>
      <c r="N856">
        <f>WEEKNUM(SalesData[[#This Row],[Date]])</f>
        <v>14</v>
      </c>
      <c r="O856" t="s">
        <v>2081</v>
      </c>
      <c r="P856" t="s">
        <v>2523</v>
      </c>
      <c r="Q856" t="s">
        <v>2524</v>
      </c>
    </row>
    <row r="857" spans="1:17" x14ac:dyDescent="0.35">
      <c r="A857" t="s">
        <v>1420</v>
      </c>
      <c r="B857" s="3">
        <v>45237</v>
      </c>
      <c r="C857" t="s">
        <v>2017</v>
      </c>
      <c r="D857" t="s">
        <v>2026</v>
      </c>
      <c r="E857" s="8">
        <v>3449</v>
      </c>
      <c r="F857">
        <v>3</v>
      </c>
      <c r="G857">
        <v>5</v>
      </c>
      <c r="H857" s="8">
        <v>9829.65</v>
      </c>
      <c r="I857">
        <v>1899.4</v>
      </c>
      <c r="J857">
        <v>4131.45</v>
      </c>
      <c r="K857" s="5">
        <f>IF(SalesData[[#This Row],[Total Revenue]]=0,0,SalesData[[#This Row],[Profit]]/SalesData[[#This Row],[Total Revenue]])</f>
        <v>0.42030489386702474</v>
      </c>
      <c r="L857" s="5" t="str">
        <f>TEXT(SalesData[[#This Row],[Date]],"mmm")</f>
        <v>Nov</v>
      </c>
      <c r="M857">
        <f>YEAR(SalesData[[#This Row],[Date]])</f>
        <v>2023</v>
      </c>
      <c r="N857">
        <f>WEEKNUM(SalesData[[#This Row],[Date]])</f>
        <v>45</v>
      </c>
      <c r="O857" t="s">
        <v>2468</v>
      </c>
      <c r="P857" t="s">
        <v>2523</v>
      </c>
      <c r="Q857" t="s">
        <v>2525</v>
      </c>
    </row>
    <row r="858" spans="1:17" x14ac:dyDescent="0.35">
      <c r="A858" t="s">
        <v>481</v>
      </c>
      <c r="B858" s="3">
        <v>45095</v>
      </c>
      <c r="C858" t="s">
        <v>2022</v>
      </c>
      <c r="D858" t="s">
        <v>2024</v>
      </c>
      <c r="E858" s="8">
        <v>3277</v>
      </c>
      <c r="F858">
        <v>3</v>
      </c>
      <c r="G858">
        <v>0</v>
      </c>
      <c r="H858" s="8">
        <v>9831</v>
      </c>
      <c r="I858">
        <v>2165.06</v>
      </c>
      <c r="J858">
        <v>3335.81</v>
      </c>
      <c r="K858" s="5">
        <f>IF(SalesData[[#This Row],[Total Revenue]]=0,0,SalesData[[#This Row],[Profit]]/SalesData[[#This Row],[Total Revenue]])</f>
        <v>0.33931543078018511</v>
      </c>
      <c r="L858" s="5" t="str">
        <f>TEXT(SalesData[[#This Row],[Date]],"mmm")</f>
        <v>Jun</v>
      </c>
      <c r="M858">
        <f>YEAR(SalesData[[#This Row],[Date]])</f>
        <v>2023</v>
      </c>
      <c r="N858">
        <f>WEEKNUM(SalesData[[#This Row],[Date]])</f>
        <v>25</v>
      </c>
      <c r="O858" t="s">
        <v>2328</v>
      </c>
      <c r="P858" t="s">
        <v>2523</v>
      </c>
      <c r="Q858" t="s">
        <v>2526</v>
      </c>
    </row>
    <row r="859" spans="1:17" x14ac:dyDescent="0.35">
      <c r="A859" t="s">
        <v>173</v>
      </c>
      <c r="B859" s="3">
        <v>45014</v>
      </c>
      <c r="C859" t="s">
        <v>2016</v>
      </c>
      <c r="D859" t="s">
        <v>2025</v>
      </c>
      <c r="E859" s="8">
        <v>1481</v>
      </c>
      <c r="F859">
        <v>7</v>
      </c>
      <c r="G859">
        <v>5</v>
      </c>
      <c r="H859" s="8">
        <v>9848.65</v>
      </c>
      <c r="I859">
        <v>997.98</v>
      </c>
      <c r="J859">
        <v>2862.8</v>
      </c>
      <c r="K859" s="5">
        <f>IF(SalesData[[#This Row],[Total Revenue]]=0,0,SalesData[[#This Row],[Profit]]/SalesData[[#This Row],[Total Revenue]])</f>
        <v>0.29067943322181217</v>
      </c>
      <c r="L859" s="5" t="str">
        <f>TEXT(SalesData[[#This Row],[Date]],"mmm")</f>
        <v>Mar</v>
      </c>
      <c r="M859">
        <f>YEAR(SalesData[[#This Row],[Date]])</f>
        <v>2023</v>
      </c>
      <c r="N859">
        <f>WEEKNUM(SalesData[[#This Row],[Date]])</f>
        <v>13</v>
      </c>
      <c r="O859" t="s">
        <v>2169</v>
      </c>
      <c r="P859" t="s">
        <v>2523</v>
      </c>
      <c r="Q859" t="s">
        <v>2525</v>
      </c>
    </row>
    <row r="860" spans="1:17" x14ac:dyDescent="0.35">
      <c r="A860" t="s">
        <v>198</v>
      </c>
      <c r="B860" s="3">
        <v>45254</v>
      </c>
      <c r="C860" t="s">
        <v>2018</v>
      </c>
      <c r="D860" t="s">
        <v>2026</v>
      </c>
      <c r="E860" s="8">
        <v>1407</v>
      </c>
      <c r="F860">
        <v>7</v>
      </c>
      <c r="G860">
        <v>0</v>
      </c>
      <c r="H860" s="8">
        <v>9849</v>
      </c>
      <c r="I860">
        <v>767.05</v>
      </c>
      <c r="J860">
        <v>4479.6499999999996</v>
      </c>
      <c r="K860" s="5">
        <f>IF(SalesData[[#This Row],[Total Revenue]]=0,0,SalesData[[#This Row],[Profit]]/SalesData[[#This Row],[Total Revenue]])</f>
        <v>0.45483297796730626</v>
      </c>
      <c r="L860" s="5" t="str">
        <f>TEXT(SalesData[[#This Row],[Date]],"mmm")</f>
        <v>Nov</v>
      </c>
      <c r="M860">
        <f>YEAR(SalesData[[#This Row],[Date]])</f>
        <v>2023</v>
      </c>
      <c r="N860">
        <f>WEEKNUM(SalesData[[#This Row],[Date]])</f>
        <v>47</v>
      </c>
      <c r="O860" t="s">
        <v>2182</v>
      </c>
      <c r="P860" t="s">
        <v>2523</v>
      </c>
      <c r="Q860" t="s">
        <v>2527</v>
      </c>
    </row>
    <row r="861" spans="1:17" x14ac:dyDescent="0.35">
      <c r="A861" t="s">
        <v>676</v>
      </c>
      <c r="B861" s="3">
        <v>45105</v>
      </c>
      <c r="C861" t="s">
        <v>2017</v>
      </c>
      <c r="D861" t="s">
        <v>2026</v>
      </c>
      <c r="E861" s="8">
        <v>1152</v>
      </c>
      <c r="F861">
        <v>9</v>
      </c>
      <c r="G861">
        <v>5</v>
      </c>
      <c r="H861" s="8">
        <v>9849.6</v>
      </c>
      <c r="I861">
        <v>626.32000000000005</v>
      </c>
      <c r="J861">
        <v>4212.7299999999996</v>
      </c>
      <c r="K861" s="5">
        <f>IF(SalesData[[#This Row],[Total Revenue]]=0,0,SalesData[[#This Row],[Profit]]/SalesData[[#This Row],[Total Revenue]])</f>
        <v>0.42770569363222866</v>
      </c>
      <c r="L861" s="5" t="str">
        <f>TEXT(SalesData[[#This Row],[Date]],"mmm")</f>
        <v>Jun</v>
      </c>
      <c r="M861">
        <f>YEAR(SalesData[[#This Row],[Date]])</f>
        <v>2023</v>
      </c>
      <c r="N861">
        <f>WEEKNUM(SalesData[[#This Row],[Date]])</f>
        <v>26</v>
      </c>
      <c r="O861" t="s">
        <v>2281</v>
      </c>
      <c r="P861" t="s">
        <v>2523</v>
      </c>
      <c r="Q861" t="s">
        <v>2524</v>
      </c>
    </row>
    <row r="862" spans="1:17" x14ac:dyDescent="0.35">
      <c r="A862" t="s">
        <v>435</v>
      </c>
      <c r="B862" s="3">
        <v>44986</v>
      </c>
      <c r="C862" t="s">
        <v>2015</v>
      </c>
      <c r="D862" t="s">
        <v>2025</v>
      </c>
      <c r="E862" s="8">
        <v>2328</v>
      </c>
      <c r="F862">
        <v>5</v>
      </c>
      <c r="G862">
        <v>15</v>
      </c>
      <c r="H862" s="8">
        <v>9894</v>
      </c>
      <c r="I862">
        <v>1348.3</v>
      </c>
      <c r="J862">
        <v>3152.49</v>
      </c>
      <c r="K862" s="5">
        <f>IF(SalesData[[#This Row],[Total Revenue]]=0,0,SalesData[[#This Row],[Profit]]/SalesData[[#This Row],[Total Revenue]])</f>
        <v>0.31862644026682835</v>
      </c>
      <c r="L862" s="5" t="str">
        <f>TEXT(SalesData[[#This Row],[Date]],"mmm")</f>
        <v>Mar</v>
      </c>
      <c r="M862">
        <f>YEAR(SalesData[[#This Row],[Date]])</f>
        <v>2023</v>
      </c>
      <c r="N862">
        <f>WEEKNUM(SalesData[[#This Row],[Date]])</f>
        <v>9</v>
      </c>
      <c r="O862" t="s">
        <v>2307</v>
      </c>
      <c r="P862" t="s">
        <v>2522</v>
      </c>
      <c r="Q862" t="s">
        <v>2524</v>
      </c>
    </row>
    <row r="863" spans="1:17" x14ac:dyDescent="0.35">
      <c r="A863" t="s">
        <v>874</v>
      </c>
      <c r="B863" s="3">
        <v>44967</v>
      </c>
      <c r="C863" t="s">
        <v>2019</v>
      </c>
      <c r="D863" t="s">
        <v>2027</v>
      </c>
      <c r="E863" s="8">
        <v>3888</v>
      </c>
      <c r="F863">
        <v>3</v>
      </c>
      <c r="G863">
        <v>15</v>
      </c>
      <c r="H863" s="8">
        <v>9914.4</v>
      </c>
      <c r="I863">
        <v>2456.56</v>
      </c>
      <c r="J863">
        <v>2544.7199999999998</v>
      </c>
      <c r="K863" s="5">
        <f>IF(SalesData[[#This Row],[Total Revenue]]=0,0,SalesData[[#This Row],[Profit]]/SalesData[[#This Row],[Total Revenue]])</f>
        <v>0.25666908738804162</v>
      </c>
      <c r="L863" s="5" t="str">
        <f>TEXT(SalesData[[#This Row],[Date]],"mmm")</f>
        <v>Feb</v>
      </c>
      <c r="M863">
        <f>YEAR(SalesData[[#This Row],[Date]])</f>
        <v>2023</v>
      </c>
      <c r="N863">
        <f>WEEKNUM(SalesData[[#This Row],[Date]])</f>
        <v>6</v>
      </c>
      <c r="O863" t="s">
        <v>2057</v>
      </c>
      <c r="P863" t="s">
        <v>2523</v>
      </c>
      <c r="Q863" t="s">
        <v>2525</v>
      </c>
    </row>
    <row r="864" spans="1:17" x14ac:dyDescent="0.35">
      <c r="A864" t="s">
        <v>581</v>
      </c>
      <c r="B864" s="3">
        <v>45147</v>
      </c>
      <c r="C864" t="s">
        <v>2016</v>
      </c>
      <c r="D864" t="s">
        <v>2025</v>
      </c>
      <c r="E864" s="8">
        <v>4964</v>
      </c>
      <c r="F864">
        <v>2</v>
      </c>
      <c r="G864">
        <v>0</v>
      </c>
      <c r="H864" s="8">
        <v>9928</v>
      </c>
      <c r="I864">
        <v>3302.31</v>
      </c>
      <c r="J864">
        <v>3323.38</v>
      </c>
      <c r="K864" s="5">
        <f>IF(SalesData[[#This Row],[Total Revenue]]=0,0,SalesData[[#This Row],[Profit]]/SalesData[[#This Row],[Total Revenue]])</f>
        <v>0.33474818694601127</v>
      </c>
      <c r="L864" s="5" t="str">
        <f>TEXT(SalesData[[#This Row],[Date]],"mmm")</f>
        <v>Aug</v>
      </c>
      <c r="M864">
        <f>YEAR(SalesData[[#This Row],[Date]])</f>
        <v>2023</v>
      </c>
      <c r="N864">
        <f>WEEKNUM(SalesData[[#This Row],[Date]])</f>
        <v>32</v>
      </c>
      <c r="O864" t="s">
        <v>2364</v>
      </c>
      <c r="P864" t="s">
        <v>2522</v>
      </c>
      <c r="Q864" t="s">
        <v>2526</v>
      </c>
    </row>
    <row r="865" spans="1:17" x14ac:dyDescent="0.35">
      <c r="A865" t="s">
        <v>1915</v>
      </c>
      <c r="B865" s="3">
        <v>44955</v>
      </c>
      <c r="C865" t="s">
        <v>2013</v>
      </c>
      <c r="D865" t="s">
        <v>2023</v>
      </c>
      <c r="E865" s="8">
        <v>994</v>
      </c>
      <c r="F865">
        <v>10</v>
      </c>
      <c r="G865">
        <v>0</v>
      </c>
      <c r="H865" s="8">
        <v>9940</v>
      </c>
      <c r="I865">
        <v>507.65</v>
      </c>
      <c r="J865">
        <v>4863.51</v>
      </c>
      <c r="K865" s="5">
        <f>IF(SalesData[[#This Row],[Total Revenue]]=0,0,SalesData[[#This Row],[Profit]]/SalesData[[#This Row],[Total Revenue]])</f>
        <v>0.4892867203219316</v>
      </c>
      <c r="L865" s="5" t="str">
        <f>TEXT(SalesData[[#This Row],[Date]],"mmm")</f>
        <v>Jan</v>
      </c>
      <c r="M865">
        <f>YEAR(SalesData[[#This Row],[Date]])</f>
        <v>2023</v>
      </c>
      <c r="N865">
        <f>WEEKNUM(SalesData[[#This Row],[Date]])</f>
        <v>5</v>
      </c>
      <c r="O865" t="s">
        <v>2248</v>
      </c>
      <c r="P865" t="s">
        <v>2523</v>
      </c>
      <c r="Q865" t="s">
        <v>2525</v>
      </c>
    </row>
    <row r="866" spans="1:17" x14ac:dyDescent="0.35">
      <c r="A866" t="s">
        <v>903</v>
      </c>
      <c r="B866" s="3">
        <v>44976</v>
      </c>
      <c r="C866" t="s">
        <v>2015</v>
      </c>
      <c r="D866" t="s">
        <v>2025</v>
      </c>
      <c r="E866" s="8">
        <v>3899</v>
      </c>
      <c r="F866">
        <v>3</v>
      </c>
      <c r="G866">
        <v>15</v>
      </c>
      <c r="H866" s="8">
        <v>9942.4500000000007</v>
      </c>
      <c r="I866">
        <v>2025.45</v>
      </c>
      <c r="J866">
        <v>3866.09</v>
      </c>
      <c r="K866" s="5">
        <f>IF(SalesData[[#This Row],[Total Revenue]]=0,0,SalesData[[#This Row],[Profit]]/SalesData[[#This Row],[Total Revenue]])</f>
        <v>0.38884681341118132</v>
      </c>
      <c r="L866" s="5" t="str">
        <f>TEXT(SalesData[[#This Row],[Date]],"mmm")</f>
        <v>Feb</v>
      </c>
      <c r="M866">
        <f>YEAR(SalesData[[#This Row],[Date]])</f>
        <v>2023</v>
      </c>
      <c r="N866">
        <f>WEEKNUM(SalesData[[#This Row],[Date]])</f>
        <v>8</v>
      </c>
      <c r="O866" t="s">
        <v>2068</v>
      </c>
      <c r="P866" t="s">
        <v>2523</v>
      </c>
      <c r="Q866" t="s">
        <v>2525</v>
      </c>
    </row>
    <row r="867" spans="1:17" x14ac:dyDescent="0.35">
      <c r="A867" t="s">
        <v>702</v>
      </c>
      <c r="B867" s="3">
        <v>45132</v>
      </c>
      <c r="C867" t="s">
        <v>2013</v>
      </c>
      <c r="D867" t="s">
        <v>2023</v>
      </c>
      <c r="E867" s="8">
        <v>1464</v>
      </c>
      <c r="F867">
        <v>8</v>
      </c>
      <c r="G867">
        <v>15</v>
      </c>
      <c r="H867" s="8">
        <v>9955.2000000000007</v>
      </c>
      <c r="I867">
        <v>734.81</v>
      </c>
      <c r="J867">
        <v>4076.74</v>
      </c>
      <c r="K867" s="5">
        <f>IF(SalesData[[#This Row],[Total Revenue]]=0,0,SalesData[[#This Row],[Profit]]/SalesData[[#This Row],[Total Revenue]])</f>
        <v>0.40950859852137572</v>
      </c>
      <c r="L867" s="5" t="str">
        <f>TEXT(SalesData[[#This Row],[Date]],"mmm")</f>
        <v>Jul</v>
      </c>
      <c r="M867">
        <f>YEAR(SalesData[[#This Row],[Date]])</f>
        <v>2023</v>
      </c>
      <c r="N867">
        <f>WEEKNUM(SalesData[[#This Row],[Date]])</f>
        <v>30</v>
      </c>
      <c r="O867" t="s">
        <v>2160</v>
      </c>
      <c r="P867" t="s">
        <v>2523</v>
      </c>
      <c r="Q867" t="s">
        <v>2526</v>
      </c>
    </row>
    <row r="868" spans="1:17" x14ac:dyDescent="0.35">
      <c r="A868" t="s">
        <v>1131</v>
      </c>
      <c r="B868" s="3">
        <v>45169</v>
      </c>
      <c r="C868" t="s">
        <v>2019</v>
      </c>
      <c r="D868" t="s">
        <v>2027</v>
      </c>
      <c r="E868" s="8">
        <v>3904</v>
      </c>
      <c r="F868">
        <v>3</v>
      </c>
      <c r="G868">
        <v>15</v>
      </c>
      <c r="H868" s="8">
        <v>9955.2000000000007</v>
      </c>
      <c r="I868">
        <v>3034.19</v>
      </c>
      <c r="J868">
        <v>852.62</v>
      </c>
      <c r="K868" s="5">
        <f>IF(SalesData[[#This Row],[Total Revenue]]=0,0,SalesData[[#This Row],[Profit]]/SalesData[[#This Row],[Total Revenue]])</f>
        <v>8.5645692703310822E-2</v>
      </c>
      <c r="L868" s="5" t="str">
        <f>TEXT(SalesData[[#This Row],[Date]],"mmm")</f>
        <v>Aug</v>
      </c>
      <c r="M868">
        <f>YEAR(SalesData[[#This Row],[Date]])</f>
        <v>2023</v>
      </c>
      <c r="N868">
        <f>WEEKNUM(SalesData[[#This Row],[Date]])</f>
        <v>35</v>
      </c>
      <c r="O868" t="s">
        <v>2114</v>
      </c>
      <c r="P868" t="s">
        <v>2523</v>
      </c>
      <c r="Q868" t="s">
        <v>2525</v>
      </c>
    </row>
    <row r="869" spans="1:17" x14ac:dyDescent="0.35">
      <c r="A869" t="s">
        <v>1238</v>
      </c>
      <c r="B869" s="3">
        <v>45026</v>
      </c>
      <c r="C869" t="s">
        <v>2020</v>
      </c>
      <c r="D869" t="s">
        <v>2028</v>
      </c>
      <c r="E869" s="8">
        <v>3319</v>
      </c>
      <c r="F869">
        <v>3</v>
      </c>
      <c r="G869">
        <v>0</v>
      </c>
      <c r="H869" s="8">
        <v>9957</v>
      </c>
      <c r="I869">
        <v>2531.64</v>
      </c>
      <c r="J869">
        <v>2362.09</v>
      </c>
      <c r="K869" s="5">
        <f>IF(SalesData[[#This Row],[Total Revenue]]=0,0,SalesData[[#This Row],[Profit]]/SalesData[[#This Row],[Total Revenue]])</f>
        <v>0.23722908506578289</v>
      </c>
      <c r="L869" s="5" t="str">
        <f>TEXT(SalesData[[#This Row],[Date]],"mmm")</f>
        <v>Apr</v>
      </c>
      <c r="M869">
        <f>YEAR(SalesData[[#This Row],[Date]])</f>
        <v>2023</v>
      </c>
      <c r="N869">
        <f>WEEKNUM(SalesData[[#This Row],[Date]])</f>
        <v>15</v>
      </c>
      <c r="O869" t="s">
        <v>2104</v>
      </c>
      <c r="P869" t="s">
        <v>2523</v>
      </c>
      <c r="Q869" t="s">
        <v>2525</v>
      </c>
    </row>
    <row r="870" spans="1:17" x14ac:dyDescent="0.35">
      <c r="A870" t="s">
        <v>622</v>
      </c>
      <c r="B870" s="3">
        <v>44937</v>
      </c>
      <c r="C870" t="s">
        <v>2014</v>
      </c>
      <c r="D870" t="s">
        <v>2024</v>
      </c>
      <c r="E870" s="8">
        <v>2766</v>
      </c>
      <c r="F870">
        <v>4</v>
      </c>
      <c r="G870">
        <v>10</v>
      </c>
      <c r="H870" s="8">
        <v>9957.6</v>
      </c>
      <c r="I870">
        <v>1792.12</v>
      </c>
      <c r="J870">
        <v>2789.13</v>
      </c>
      <c r="K870" s="5">
        <f>IF(SalesData[[#This Row],[Total Revenue]]=0,0,SalesData[[#This Row],[Profit]]/SalesData[[#This Row],[Total Revenue]])</f>
        <v>0.28010062665702579</v>
      </c>
      <c r="L870" s="5" t="str">
        <f>TEXT(SalesData[[#This Row],[Date]],"mmm")</f>
        <v>Jan</v>
      </c>
      <c r="M870">
        <f>YEAR(SalesData[[#This Row],[Date]])</f>
        <v>2023</v>
      </c>
      <c r="N870">
        <f>WEEKNUM(SalesData[[#This Row],[Date]])</f>
        <v>2</v>
      </c>
      <c r="O870" t="s">
        <v>2114</v>
      </c>
      <c r="P870" t="s">
        <v>2522</v>
      </c>
      <c r="Q870" t="s">
        <v>2527</v>
      </c>
    </row>
    <row r="871" spans="1:17" x14ac:dyDescent="0.35">
      <c r="A871" t="s">
        <v>561</v>
      </c>
      <c r="B871" s="3">
        <v>44947</v>
      </c>
      <c r="C871" t="s">
        <v>2018</v>
      </c>
      <c r="D871" t="s">
        <v>2026</v>
      </c>
      <c r="E871" s="8">
        <v>2346</v>
      </c>
      <c r="F871">
        <v>5</v>
      </c>
      <c r="G871">
        <v>15</v>
      </c>
      <c r="H871" s="8">
        <v>9970.5</v>
      </c>
      <c r="I871">
        <v>1714.88</v>
      </c>
      <c r="J871">
        <v>1396.12</v>
      </c>
      <c r="K871" s="5">
        <f>IF(SalesData[[#This Row],[Total Revenue]]=0,0,SalesData[[#This Row],[Profit]]/SalesData[[#This Row],[Total Revenue]])</f>
        <v>0.14002507396820621</v>
      </c>
      <c r="L871" s="5" t="str">
        <f>TEXT(SalesData[[#This Row],[Date]],"mmm")</f>
        <v>Jan</v>
      </c>
      <c r="M871">
        <f>YEAR(SalesData[[#This Row],[Date]])</f>
        <v>2023</v>
      </c>
      <c r="N871">
        <f>WEEKNUM(SalesData[[#This Row],[Date]])</f>
        <v>3</v>
      </c>
      <c r="O871" t="s">
        <v>2236</v>
      </c>
      <c r="P871" t="s">
        <v>2523</v>
      </c>
      <c r="Q871" t="s">
        <v>2524</v>
      </c>
    </row>
    <row r="872" spans="1:17" x14ac:dyDescent="0.35">
      <c r="A872" t="s">
        <v>1753</v>
      </c>
      <c r="B872" s="3">
        <v>45081</v>
      </c>
      <c r="C872" t="s">
        <v>2014</v>
      </c>
      <c r="D872" t="s">
        <v>2024</v>
      </c>
      <c r="E872" s="8">
        <v>4990</v>
      </c>
      <c r="F872">
        <v>2</v>
      </c>
      <c r="G872">
        <v>0</v>
      </c>
      <c r="H872" s="8">
        <v>9980</v>
      </c>
      <c r="I872">
        <v>2840.37</v>
      </c>
      <c r="J872">
        <v>4299.25</v>
      </c>
      <c r="K872" s="5">
        <f>IF(SalesData[[#This Row],[Total Revenue]]=0,0,SalesData[[#This Row],[Profit]]/SalesData[[#This Row],[Total Revenue]])</f>
        <v>0.4307865731462926</v>
      </c>
      <c r="L872" s="5" t="str">
        <f>TEXT(SalesData[[#This Row],[Date]],"mmm")</f>
        <v>Jun</v>
      </c>
      <c r="M872">
        <f>YEAR(SalesData[[#This Row],[Date]])</f>
        <v>2023</v>
      </c>
      <c r="N872">
        <f>WEEKNUM(SalesData[[#This Row],[Date]])</f>
        <v>23</v>
      </c>
      <c r="O872" t="s">
        <v>2361</v>
      </c>
      <c r="P872" t="s">
        <v>2522</v>
      </c>
      <c r="Q872" t="s">
        <v>2527</v>
      </c>
    </row>
    <row r="873" spans="1:17" x14ac:dyDescent="0.35">
      <c r="A873" t="s">
        <v>1460</v>
      </c>
      <c r="B873" s="3">
        <v>45051</v>
      </c>
      <c r="C873" t="s">
        <v>2019</v>
      </c>
      <c r="D873" t="s">
        <v>2027</v>
      </c>
      <c r="E873" s="8">
        <v>2223</v>
      </c>
      <c r="F873">
        <v>5</v>
      </c>
      <c r="G873">
        <v>10</v>
      </c>
      <c r="H873" s="8">
        <v>10003.5</v>
      </c>
      <c r="I873">
        <v>1444.39</v>
      </c>
      <c r="J873">
        <v>2781.53</v>
      </c>
      <c r="K873" s="5">
        <f>IF(SalesData[[#This Row],[Total Revenue]]=0,0,SalesData[[#This Row],[Profit]]/SalesData[[#This Row],[Total Revenue]])</f>
        <v>0.27805568051182089</v>
      </c>
      <c r="L873" s="5" t="str">
        <f>TEXT(SalesData[[#This Row],[Date]],"mmm")</f>
        <v>May</v>
      </c>
      <c r="M873">
        <f>YEAR(SalesData[[#This Row],[Date]])</f>
        <v>2023</v>
      </c>
      <c r="N873">
        <f>WEEKNUM(SalesData[[#This Row],[Date]])</f>
        <v>18</v>
      </c>
      <c r="O873" t="s">
        <v>2055</v>
      </c>
      <c r="P873" t="s">
        <v>2523</v>
      </c>
      <c r="Q873" t="s">
        <v>2525</v>
      </c>
    </row>
    <row r="874" spans="1:17" x14ac:dyDescent="0.35">
      <c r="A874" t="s">
        <v>732</v>
      </c>
      <c r="B874" s="3">
        <v>44940</v>
      </c>
      <c r="C874" t="s">
        <v>2013</v>
      </c>
      <c r="D874" t="s">
        <v>2023</v>
      </c>
      <c r="E874" s="8">
        <v>2108</v>
      </c>
      <c r="F874">
        <v>5</v>
      </c>
      <c r="G874">
        <v>5</v>
      </c>
      <c r="H874" s="8">
        <v>10013</v>
      </c>
      <c r="I874">
        <v>1625.16</v>
      </c>
      <c r="J874">
        <v>1887.2</v>
      </c>
      <c r="K874" s="5">
        <f>IF(SalesData[[#This Row],[Total Revenue]]=0,0,SalesData[[#This Row],[Profit]]/SalesData[[#This Row],[Total Revenue]])</f>
        <v>0.18847498252272046</v>
      </c>
      <c r="L874" s="5" t="str">
        <f>TEXT(SalesData[[#This Row],[Date]],"mmm")</f>
        <v>Jan</v>
      </c>
      <c r="M874">
        <f>YEAR(SalesData[[#This Row],[Date]])</f>
        <v>2023</v>
      </c>
      <c r="N874">
        <f>WEEKNUM(SalesData[[#This Row],[Date]])</f>
        <v>2</v>
      </c>
      <c r="O874" t="s">
        <v>2218</v>
      </c>
      <c r="P874" t="s">
        <v>2522</v>
      </c>
      <c r="Q874" t="s">
        <v>2526</v>
      </c>
    </row>
    <row r="875" spans="1:17" x14ac:dyDescent="0.35">
      <c r="A875" t="s">
        <v>963</v>
      </c>
      <c r="B875" s="3">
        <v>44976</v>
      </c>
      <c r="C875" t="s">
        <v>2015</v>
      </c>
      <c r="D875" t="s">
        <v>2025</v>
      </c>
      <c r="E875" s="8">
        <v>2789</v>
      </c>
      <c r="F875">
        <v>4</v>
      </c>
      <c r="G875">
        <v>10</v>
      </c>
      <c r="H875" s="8">
        <v>10040.4</v>
      </c>
      <c r="I875">
        <v>2081.9</v>
      </c>
      <c r="J875">
        <v>1712.81</v>
      </c>
      <c r="K875" s="5">
        <f>IF(SalesData[[#This Row],[Total Revenue]]=0,0,SalesData[[#This Row],[Profit]]/SalesData[[#This Row],[Total Revenue]])</f>
        <v>0.17059180909127125</v>
      </c>
      <c r="L875" s="5" t="str">
        <f>TEXT(SalesData[[#This Row],[Date]],"mmm")</f>
        <v>Feb</v>
      </c>
      <c r="M875">
        <f>YEAR(SalesData[[#This Row],[Date]])</f>
        <v>2023</v>
      </c>
      <c r="N875">
        <f>WEEKNUM(SalesData[[#This Row],[Date]])</f>
        <v>8</v>
      </c>
      <c r="O875" t="s">
        <v>2031</v>
      </c>
      <c r="P875" t="s">
        <v>2523</v>
      </c>
      <c r="Q875" t="s">
        <v>2525</v>
      </c>
    </row>
    <row r="876" spans="1:17" x14ac:dyDescent="0.35">
      <c r="A876" t="s">
        <v>815</v>
      </c>
      <c r="B876" s="3">
        <v>45048</v>
      </c>
      <c r="C876" t="s">
        <v>2022</v>
      </c>
      <c r="D876" t="s">
        <v>2024</v>
      </c>
      <c r="E876" s="8">
        <v>3944</v>
      </c>
      <c r="F876">
        <v>3</v>
      </c>
      <c r="G876">
        <v>15</v>
      </c>
      <c r="H876" s="8">
        <v>10057.200000000001</v>
      </c>
      <c r="I876">
        <v>2523.0700000000002</v>
      </c>
      <c r="J876">
        <v>2487.98</v>
      </c>
      <c r="K876" s="5">
        <f>IF(SalesData[[#This Row],[Total Revenue]]=0,0,SalesData[[#This Row],[Profit]]/SalesData[[#This Row],[Total Revenue]])</f>
        <v>0.2473829694149465</v>
      </c>
      <c r="L876" s="5" t="str">
        <f>TEXT(SalesData[[#This Row],[Date]],"mmm")</f>
        <v>May</v>
      </c>
      <c r="M876">
        <f>YEAR(SalesData[[#This Row],[Date]])</f>
        <v>2023</v>
      </c>
      <c r="N876">
        <f>WEEKNUM(SalesData[[#This Row],[Date]])</f>
        <v>18</v>
      </c>
      <c r="O876" t="s">
        <v>2079</v>
      </c>
      <c r="P876" t="s">
        <v>2522</v>
      </c>
      <c r="Q876" t="s">
        <v>2525</v>
      </c>
    </row>
    <row r="877" spans="1:17" x14ac:dyDescent="0.35">
      <c r="A877" t="s">
        <v>1102</v>
      </c>
      <c r="B877" s="3">
        <v>45128</v>
      </c>
      <c r="C877" t="s">
        <v>2021</v>
      </c>
      <c r="D877" t="s">
        <v>2028</v>
      </c>
      <c r="E877" s="8">
        <v>1520</v>
      </c>
      <c r="F877">
        <v>7</v>
      </c>
      <c r="G877">
        <v>5</v>
      </c>
      <c r="H877" s="8">
        <v>10108</v>
      </c>
      <c r="I877">
        <v>1013.19</v>
      </c>
      <c r="J877">
        <v>3015.68</v>
      </c>
      <c r="K877" s="5">
        <f>IF(SalesData[[#This Row],[Total Revenue]]=0,0,SalesData[[#This Row],[Profit]]/SalesData[[#This Row],[Total Revenue]])</f>
        <v>0.29834586466165414</v>
      </c>
      <c r="L877" s="5" t="str">
        <f>TEXT(SalesData[[#This Row],[Date]],"mmm")</f>
        <v>Jul</v>
      </c>
      <c r="M877">
        <f>YEAR(SalesData[[#This Row],[Date]])</f>
        <v>2023</v>
      </c>
      <c r="N877">
        <f>WEEKNUM(SalesData[[#This Row],[Date]])</f>
        <v>29</v>
      </c>
      <c r="O877" t="s">
        <v>2032</v>
      </c>
      <c r="P877" t="s">
        <v>2522</v>
      </c>
      <c r="Q877" t="s">
        <v>2525</v>
      </c>
    </row>
    <row r="878" spans="1:17" x14ac:dyDescent="0.35">
      <c r="A878" t="s">
        <v>1567</v>
      </c>
      <c r="B878" s="3">
        <v>44927</v>
      </c>
      <c r="C878" t="s">
        <v>2019</v>
      </c>
      <c r="D878" t="s">
        <v>2027</v>
      </c>
      <c r="E878" s="8">
        <v>1685</v>
      </c>
      <c r="F878">
        <v>6</v>
      </c>
      <c r="G878">
        <v>0</v>
      </c>
      <c r="H878" s="8">
        <v>10110</v>
      </c>
      <c r="I878">
        <v>985.08</v>
      </c>
      <c r="J878">
        <v>4199.51</v>
      </c>
      <c r="K878" s="5">
        <f>IF(SalesData[[#This Row],[Total Revenue]]=0,0,SalesData[[#This Row],[Profit]]/SalesData[[#This Row],[Total Revenue]])</f>
        <v>0.41538180019782395</v>
      </c>
      <c r="L878" s="5" t="str">
        <f>TEXT(SalesData[[#This Row],[Date]],"mmm")</f>
        <v>Jan</v>
      </c>
      <c r="M878">
        <f>YEAR(SalesData[[#This Row],[Date]])</f>
        <v>2023</v>
      </c>
      <c r="N878">
        <f>WEEKNUM(SalesData[[#This Row],[Date]])</f>
        <v>1</v>
      </c>
      <c r="O878" t="s">
        <v>2285</v>
      </c>
      <c r="P878" t="s">
        <v>2522</v>
      </c>
      <c r="Q878" t="s">
        <v>2525</v>
      </c>
    </row>
    <row r="879" spans="1:17" x14ac:dyDescent="0.35">
      <c r="A879" t="s">
        <v>989</v>
      </c>
      <c r="B879" s="3">
        <v>45120</v>
      </c>
      <c r="C879" t="s">
        <v>2016</v>
      </c>
      <c r="D879" t="s">
        <v>2025</v>
      </c>
      <c r="E879" s="8">
        <v>1487</v>
      </c>
      <c r="F879">
        <v>8</v>
      </c>
      <c r="G879">
        <v>15</v>
      </c>
      <c r="H879" s="8">
        <v>10111.6</v>
      </c>
      <c r="I879">
        <v>1163.9000000000001</v>
      </c>
      <c r="J879">
        <v>800.43</v>
      </c>
      <c r="K879" s="5">
        <f>IF(SalesData[[#This Row],[Total Revenue]]=0,0,SalesData[[#This Row],[Profit]]/SalesData[[#This Row],[Total Revenue]])</f>
        <v>7.9159579097274405E-2</v>
      </c>
      <c r="L879" s="5" t="str">
        <f>TEXT(SalesData[[#This Row],[Date]],"mmm")</f>
        <v>Jul</v>
      </c>
      <c r="M879">
        <f>YEAR(SalesData[[#This Row],[Date]])</f>
        <v>2023</v>
      </c>
      <c r="N879">
        <f>WEEKNUM(SalesData[[#This Row],[Date]])</f>
        <v>28</v>
      </c>
      <c r="O879" t="s">
        <v>2121</v>
      </c>
      <c r="P879" t="s">
        <v>2523</v>
      </c>
      <c r="Q879" t="s">
        <v>2527</v>
      </c>
    </row>
    <row r="880" spans="1:17" x14ac:dyDescent="0.35">
      <c r="A880" t="s">
        <v>254</v>
      </c>
      <c r="B880" s="3">
        <v>45094</v>
      </c>
      <c r="C880" t="s">
        <v>2017</v>
      </c>
      <c r="D880" t="s">
        <v>2026</v>
      </c>
      <c r="E880" s="8">
        <v>1445</v>
      </c>
      <c r="F880">
        <v>7</v>
      </c>
      <c r="G880">
        <v>0</v>
      </c>
      <c r="H880" s="8">
        <v>10115</v>
      </c>
      <c r="I880">
        <v>883.41</v>
      </c>
      <c r="J880">
        <v>3931.12</v>
      </c>
      <c r="K880" s="5">
        <f>IF(SalesData[[#This Row],[Total Revenue]]=0,0,SalesData[[#This Row],[Profit]]/SalesData[[#This Row],[Total Revenue]])</f>
        <v>0.38864260998517053</v>
      </c>
      <c r="L880" s="5" t="str">
        <f>TEXT(SalesData[[#This Row],[Date]],"mmm")</f>
        <v>Jun</v>
      </c>
      <c r="M880">
        <f>YEAR(SalesData[[#This Row],[Date]])</f>
        <v>2023</v>
      </c>
      <c r="N880">
        <f>WEEKNUM(SalesData[[#This Row],[Date]])</f>
        <v>24</v>
      </c>
      <c r="O880" t="s">
        <v>2070</v>
      </c>
      <c r="P880" t="s">
        <v>2522</v>
      </c>
      <c r="Q880" t="s">
        <v>2524</v>
      </c>
    </row>
    <row r="881" spans="1:17" x14ac:dyDescent="0.35">
      <c r="A881" t="s">
        <v>1291</v>
      </c>
      <c r="B881" s="3">
        <v>44945</v>
      </c>
      <c r="C881" t="s">
        <v>2018</v>
      </c>
      <c r="D881" t="s">
        <v>2026</v>
      </c>
      <c r="E881" s="8">
        <v>1268</v>
      </c>
      <c r="F881">
        <v>8</v>
      </c>
      <c r="G881">
        <v>0</v>
      </c>
      <c r="H881" s="8">
        <v>10144</v>
      </c>
      <c r="I881">
        <v>683.06</v>
      </c>
      <c r="J881">
        <v>4679.53</v>
      </c>
      <c r="K881" s="5">
        <f>IF(SalesData[[#This Row],[Total Revenue]]=0,0,SalesData[[#This Row],[Profit]]/SalesData[[#This Row],[Total Revenue]])</f>
        <v>0.46131013406940058</v>
      </c>
      <c r="L881" s="5" t="str">
        <f>TEXT(SalesData[[#This Row],[Date]],"mmm")</f>
        <v>Jan</v>
      </c>
      <c r="M881">
        <f>YEAR(SalesData[[#This Row],[Date]])</f>
        <v>2023</v>
      </c>
      <c r="N881">
        <f>WEEKNUM(SalesData[[#This Row],[Date]])</f>
        <v>3</v>
      </c>
      <c r="O881" t="s">
        <v>2495</v>
      </c>
      <c r="P881" t="s">
        <v>2523</v>
      </c>
      <c r="Q881" t="s">
        <v>2525</v>
      </c>
    </row>
    <row r="882" spans="1:17" x14ac:dyDescent="0.35">
      <c r="A882" t="s">
        <v>1609</v>
      </c>
      <c r="B882" s="3">
        <v>44955</v>
      </c>
      <c r="C882" t="s">
        <v>2017</v>
      </c>
      <c r="D882" t="s">
        <v>2026</v>
      </c>
      <c r="E882" s="8">
        <v>2540</v>
      </c>
      <c r="F882">
        <v>4</v>
      </c>
      <c r="G882">
        <v>0</v>
      </c>
      <c r="H882" s="8">
        <v>10160</v>
      </c>
      <c r="I882">
        <v>1701.26</v>
      </c>
      <c r="J882">
        <v>3354.96</v>
      </c>
      <c r="K882" s="5">
        <f>IF(SalesData[[#This Row],[Total Revenue]]=0,0,SalesData[[#This Row],[Profit]]/SalesData[[#This Row],[Total Revenue]])</f>
        <v>0.33021259842519685</v>
      </c>
      <c r="L882" s="5" t="str">
        <f>TEXT(SalesData[[#This Row],[Date]],"mmm")</f>
        <v>Jan</v>
      </c>
      <c r="M882">
        <f>YEAR(SalesData[[#This Row],[Date]])</f>
        <v>2023</v>
      </c>
      <c r="N882">
        <f>WEEKNUM(SalesData[[#This Row],[Date]])</f>
        <v>5</v>
      </c>
      <c r="O882" t="s">
        <v>2137</v>
      </c>
      <c r="P882" t="s">
        <v>2522</v>
      </c>
      <c r="Q882" t="s">
        <v>2525</v>
      </c>
    </row>
    <row r="883" spans="1:17" x14ac:dyDescent="0.35">
      <c r="A883" t="s">
        <v>215</v>
      </c>
      <c r="B883" s="3">
        <v>45072</v>
      </c>
      <c r="C883" t="s">
        <v>2018</v>
      </c>
      <c r="D883" t="s">
        <v>2026</v>
      </c>
      <c r="E883" s="8">
        <v>1694</v>
      </c>
      <c r="F883">
        <v>6</v>
      </c>
      <c r="G883">
        <v>0</v>
      </c>
      <c r="H883" s="8">
        <v>10164</v>
      </c>
      <c r="I883">
        <v>1299.82</v>
      </c>
      <c r="J883">
        <v>2365.1</v>
      </c>
      <c r="K883" s="5">
        <f>IF(SalesData[[#This Row],[Total Revenue]]=0,0,SalesData[[#This Row],[Profit]]/SalesData[[#This Row],[Total Revenue]])</f>
        <v>0.23269382133018496</v>
      </c>
      <c r="L883" s="5" t="str">
        <f>TEXT(SalesData[[#This Row],[Date]],"mmm")</f>
        <v>May</v>
      </c>
      <c r="M883">
        <f>YEAR(SalesData[[#This Row],[Date]])</f>
        <v>2023</v>
      </c>
      <c r="N883">
        <f>WEEKNUM(SalesData[[#This Row],[Date]])</f>
        <v>21</v>
      </c>
      <c r="O883" t="s">
        <v>2193</v>
      </c>
      <c r="P883" t="s">
        <v>2522</v>
      </c>
      <c r="Q883" t="s">
        <v>2526</v>
      </c>
    </row>
    <row r="884" spans="1:17" x14ac:dyDescent="0.35">
      <c r="A884" t="s">
        <v>1731</v>
      </c>
      <c r="B884" s="3">
        <v>45086</v>
      </c>
      <c r="C884" t="s">
        <v>2013</v>
      </c>
      <c r="D884" t="s">
        <v>2023</v>
      </c>
      <c r="E884" s="8">
        <v>1256</v>
      </c>
      <c r="F884">
        <v>9</v>
      </c>
      <c r="G884">
        <v>10</v>
      </c>
      <c r="H884" s="8">
        <v>10173.6</v>
      </c>
      <c r="I884">
        <v>893.53</v>
      </c>
      <c r="J884">
        <v>2131.8200000000002</v>
      </c>
      <c r="K884" s="5">
        <f>IF(SalesData[[#This Row],[Total Revenue]]=0,0,SalesData[[#This Row],[Profit]]/SalesData[[#This Row],[Total Revenue]])</f>
        <v>0.20954431076511756</v>
      </c>
      <c r="L884" s="5" t="str">
        <f>TEXT(SalesData[[#This Row],[Date]],"mmm")</f>
        <v>Jun</v>
      </c>
      <c r="M884">
        <f>YEAR(SalesData[[#This Row],[Date]])</f>
        <v>2023</v>
      </c>
      <c r="N884">
        <f>WEEKNUM(SalesData[[#This Row],[Date]])</f>
        <v>23</v>
      </c>
      <c r="O884" t="s">
        <v>2516</v>
      </c>
      <c r="P884" t="s">
        <v>2523</v>
      </c>
      <c r="Q884" t="s">
        <v>2525</v>
      </c>
    </row>
    <row r="885" spans="1:17" x14ac:dyDescent="0.35">
      <c r="A885" t="s">
        <v>940</v>
      </c>
      <c r="B885" s="3">
        <v>45202</v>
      </c>
      <c r="C885" t="s">
        <v>2020</v>
      </c>
      <c r="D885" t="s">
        <v>2028</v>
      </c>
      <c r="E885" s="8">
        <v>2038</v>
      </c>
      <c r="F885">
        <v>5</v>
      </c>
      <c r="G885">
        <v>0</v>
      </c>
      <c r="H885" s="8">
        <v>10190</v>
      </c>
      <c r="I885">
        <v>1220.49</v>
      </c>
      <c r="J885">
        <v>4087.54</v>
      </c>
      <c r="K885" s="5">
        <f>IF(SalesData[[#This Row],[Total Revenue]]=0,0,SalesData[[#This Row],[Profit]]/SalesData[[#This Row],[Total Revenue]])</f>
        <v>0.40113248282630032</v>
      </c>
      <c r="L885" s="5" t="str">
        <f>TEXT(SalesData[[#This Row],[Date]],"mmm")</f>
        <v>Oct</v>
      </c>
      <c r="M885">
        <f>YEAR(SalesData[[#This Row],[Date]])</f>
        <v>2023</v>
      </c>
      <c r="N885">
        <f>WEEKNUM(SalesData[[#This Row],[Date]])</f>
        <v>40</v>
      </c>
      <c r="O885" t="s">
        <v>2038</v>
      </c>
      <c r="P885" t="s">
        <v>2523</v>
      </c>
      <c r="Q885" t="s">
        <v>2526</v>
      </c>
    </row>
    <row r="886" spans="1:17" x14ac:dyDescent="0.35">
      <c r="A886" t="s">
        <v>923</v>
      </c>
      <c r="B886" s="3">
        <v>45051</v>
      </c>
      <c r="C886" t="s">
        <v>2013</v>
      </c>
      <c r="D886" t="s">
        <v>2023</v>
      </c>
      <c r="E886" s="8">
        <v>1888</v>
      </c>
      <c r="F886">
        <v>6</v>
      </c>
      <c r="G886">
        <v>10</v>
      </c>
      <c r="H886" s="8">
        <v>10195.200000000001</v>
      </c>
      <c r="I886">
        <v>1414.8</v>
      </c>
      <c r="J886">
        <v>1706.42</v>
      </c>
      <c r="K886" s="5">
        <f>IF(SalesData[[#This Row],[Total Revenue]]=0,0,SalesData[[#This Row],[Profit]]/SalesData[[#This Row],[Total Revenue]])</f>
        <v>0.16737484306340239</v>
      </c>
      <c r="L886" s="5" t="str">
        <f>TEXT(SalesData[[#This Row],[Date]],"mmm")</f>
        <v>May</v>
      </c>
      <c r="M886">
        <f>YEAR(SalesData[[#This Row],[Date]])</f>
        <v>2023</v>
      </c>
      <c r="N886">
        <f>WEEKNUM(SalesData[[#This Row],[Date]])</f>
        <v>18</v>
      </c>
      <c r="O886" t="s">
        <v>2402</v>
      </c>
      <c r="P886" t="s">
        <v>2522</v>
      </c>
      <c r="Q886" t="s">
        <v>2527</v>
      </c>
    </row>
    <row r="887" spans="1:17" x14ac:dyDescent="0.35">
      <c r="A887" t="s">
        <v>1142</v>
      </c>
      <c r="B887" s="3">
        <v>45238</v>
      </c>
      <c r="C887" t="s">
        <v>2013</v>
      </c>
      <c r="D887" t="s">
        <v>2023</v>
      </c>
      <c r="E887" s="8">
        <v>1458</v>
      </c>
      <c r="F887">
        <v>7</v>
      </c>
      <c r="G887">
        <v>0</v>
      </c>
      <c r="H887" s="8">
        <v>10206</v>
      </c>
      <c r="I887">
        <v>1056.26</v>
      </c>
      <c r="J887">
        <v>2812.19</v>
      </c>
      <c r="K887" s="5">
        <f>IF(SalesData[[#This Row],[Total Revenue]]=0,0,SalesData[[#This Row],[Profit]]/SalesData[[#This Row],[Total Revenue]])</f>
        <v>0.27554281795022534</v>
      </c>
      <c r="L887" s="5" t="str">
        <f>TEXT(SalesData[[#This Row],[Date]],"mmm")</f>
        <v>Nov</v>
      </c>
      <c r="M887">
        <f>YEAR(SalesData[[#This Row],[Date]])</f>
        <v>2023</v>
      </c>
      <c r="N887">
        <f>WEEKNUM(SalesData[[#This Row],[Date]])</f>
        <v>45</v>
      </c>
      <c r="O887" t="s">
        <v>2379</v>
      </c>
      <c r="P887" t="s">
        <v>2522</v>
      </c>
      <c r="Q887" t="s">
        <v>2526</v>
      </c>
    </row>
    <row r="888" spans="1:17" x14ac:dyDescent="0.35">
      <c r="A888" t="s">
        <v>1764</v>
      </c>
      <c r="B888" s="3">
        <v>45001</v>
      </c>
      <c r="C888" t="s">
        <v>2018</v>
      </c>
      <c r="D888" t="s">
        <v>2026</v>
      </c>
      <c r="E888" s="8">
        <v>4003</v>
      </c>
      <c r="F888">
        <v>3</v>
      </c>
      <c r="G888">
        <v>15</v>
      </c>
      <c r="H888" s="8">
        <v>10207.65</v>
      </c>
      <c r="I888">
        <v>2495.23</v>
      </c>
      <c r="J888">
        <v>2721.96</v>
      </c>
      <c r="K888" s="5">
        <f>IF(SalesData[[#This Row],[Total Revenue]]=0,0,SalesData[[#This Row],[Profit]]/SalesData[[#This Row],[Total Revenue]])</f>
        <v>0.26665882940735625</v>
      </c>
      <c r="L888" s="5" t="str">
        <f>TEXT(SalesData[[#This Row],[Date]],"mmm")</f>
        <v>Mar</v>
      </c>
      <c r="M888">
        <f>YEAR(SalesData[[#This Row],[Date]])</f>
        <v>2023</v>
      </c>
      <c r="N888">
        <f>WEEKNUM(SalesData[[#This Row],[Date]])</f>
        <v>11</v>
      </c>
      <c r="O888" t="s">
        <v>2069</v>
      </c>
      <c r="P888" t="s">
        <v>2522</v>
      </c>
      <c r="Q888" t="s">
        <v>2525</v>
      </c>
    </row>
    <row r="889" spans="1:17" x14ac:dyDescent="0.35">
      <c r="A889" t="s">
        <v>1245</v>
      </c>
      <c r="B889" s="3">
        <v>45040</v>
      </c>
      <c r="C889" t="s">
        <v>2013</v>
      </c>
      <c r="D889" t="s">
        <v>2023</v>
      </c>
      <c r="E889" s="8">
        <v>1539</v>
      </c>
      <c r="F889">
        <v>7</v>
      </c>
      <c r="G889">
        <v>5</v>
      </c>
      <c r="H889" s="8">
        <v>10234.35</v>
      </c>
      <c r="I889">
        <v>961.57</v>
      </c>
      <c r="J889">
        <v>3503.37</v>
      </c>
      <c r="K889" s="5">
        <f>IF(SalesData[[#This Row],[Total Revenue]]=0,0,SalesData[[#This Row],[Profit]]/SalesData[[#This Row],[Total Revenue]])</f>
        <v>0.34231485145612567</v>
      </c>
      <c r="L889" s="5" t="str">
        <f>TEXT(SalesData[[#This Row],[Date]],"mmm")</f>
        <v>Apr</v>
      </c>
      <c r="M889">
        <f>YEAR(SalesData[[#This Row],[Date]])</f>
        <v>2023</v>
      </c>
      <c r="N889">
        <f>WEEKNUM(SalesData[[#This Row],[Date]])</f>
        <v>17</v>
      </c>
      <c r="O889" t="s">
        <v>2370</v>
      </c>
      <c r="P889" t="s">
        <v>2522</v>
      </c>
      <c r="Q889" t="s">
        <v>2527</v>
      </c>
    </row>
    <row r="890" spans="1:17" x14ac:dyDescent="0.35">
      <c r="A890" t="s">
        <v>680</v>
      </c>
      <c r="B890" s="3">
        <v>45233</v>
      </c>
      <c r="C890" t="s">
        <v>2019</v>
      </c>
      <c r="D890" t="s">
        <v>2027</v>
      </c>
      <c r="E890" s="8">
        <v>1507</v>
      </c>
      <c r="F890">
        <v>8</v>
      </c>
      <c r="G890">
        <v>15</v>
      </c>
      <c r="H890" s="8">
        <v>10247.6</v>
      </c>
      <c r="I890">
        <v>1155.03</v>
      </c>
      <c r="J890">
        <v>1007.38</v>
      </c>
      <c r="K890" s="5">
        <f>IF(SalesData[[#This Row],[Total Revenue]]=0,0,SalesData[[#This Row],[Profit]]/SalesData[[#This Row],[Total Revenue]])</f>
        <v>9.8303993130098757E-2</v>
      </c>
      <c r="L890" s="5" t="str">
        <f>TEXT(SalesData[[#This Row],[Date]],"mmm")</f>
        <v>Nov</v>
      </c>
      <c r="M890">
        <f>YEAR(SalesData[[#This Row],[Date]])</f>
        <v>2023</v>
      </c>
      <c r="N890">
        <f>WEEKNUM(SalesData[[#This Row],[Date]])</f>
        <v>44</v>
      </c>
      <c r="O890" t="s">
        <v>2396</v>
      </c>
      <c r="P890" t="s">
        <v>2523</v>
      </c>
      <c r="Q890" t="s">
        <v>2527</v>
      </c>
    </row>
    <row r="891" spans="1:17" x14ac:dyDescent="0.35">
      <c r="A891" t="s">
        <v>144</v>
      </c>
      <c r="B891" s="3">
        <v>45078</v>
      </c>
      <c r="C891" t="s">
        <v>2018</v>
      </c>
      <c r="D891" t="s">
        <v>2026</v>
      </c>
      <c r="E891" s="8">
        <v>3416</v>
      </c>
      <c r="F891">
        <v>3</v>
      </c>
      <c r="G891">
        <v>0</v>
      </c>
      <c r="H891" s="8">
        <v>10248</v>
      </c>
      <c r="I891">
        <v>1953.89</v>
      </c>
      <c r="J891">
        <v>4386.34</v>
      </c>
      <c r="K891" s="5">
        <f>IF(SalesData[[#This Row],[Total Revenue]]=0,0,SalesData[[#This Row],[Profit]]/SalesData[[#This Row],[Total Revenue]])</f>
        <v>0.42801912568306011</v>
      </c>
      <c r="L891" s="5" t="str">
        <f>TEXT(SalesData[[#This Row],[Date]],"mmm")</f>
        <v>Jun</v>
      </c>
      <c r="M891">
        <f>YEAR(SalesData[[#This Row],[Date]])</f>
        <v>2023</v>
      </c>
      <c r="N891">
        <f>WEEKNUM(SalesData[[#This Row],[Date]])</f>
        <v>22</v>
      </c>
      <c r="O891" t="s">
        <v>2145</v>
      </c>
      <c r="P891" t="s">
        <v>2523</v>
      </c>
      <c r="Q891" t="s">
        <v>2527</v>
      </c>
    </row>
    <row r="892" spans="1:17" x14ac:dyDescent="0.35">
      <c r="A892" t="s">
        <v>767</v>
      </c>
      <c r="B892" s="3">
        <v>45270</v>
      </c>
      <c r="C892" t="s">
        <v>2020</v>
      </c>
      <c r="D892" t="s">
        <v>2028</v>
      </c>
      <c r="E892" s="8">
        <v>3015</v>
      </c>
      <c r="F892">
        <v>4</v>
      </c>
      <c r="G892">
        <v>15</v>
      </c>
      <c r="H892" s="8">
        <v>10251</v>
      </c>
      <c r="I892">
        <v>2173.81</v>
      </c>
      <c r="J892">
        <v>1555.78</v>
      </c>
      <c r="K892" s="5">
        <f>IF(SalesData[[#This Row],[Total Revenue]]=0,0,SalesData[[#This Row],[Profit]]/SalesData[[#This Row],[Total Revenue]])</f>
        <v>0.15176860794068872</v>
      </c>
      <c r="L892" s="5" t="str">
        <f>TEXT(SalesData[[#This Row],[Date]],"mmm")</f>
        <v>Dec</v>
      </c>
      <c r="M892">
        <f>YEAR(SalesData[[#This Row],[Date]])</f>
        <v>2023</v>
      </c>
      <c r="N892">
        <f>WEEKNUM(SalesData[[#This Row],[Date]])</f>
        <v>50</v>
      </c>
      <c r="O892" t="s">
        <v>2385</v>
      </c>
      <c r="P892" t="s">
        <v>2523</v>
      </c>
      <c r="Q892" t="s">
        <v>2525</v>
      </c>
    </row>
    <row r="893" spans="1:17" x14ac:dyDescent="0.35">
      <c r="A893" t="s">
        <v>446</v>
      </c>
      <c r="B893" s="3">
        <v>45185</v>
      </c>
      <c r="C893" t="s">
        <v>2020</v>
      </c>
      <c r="D893" t="s">
        <v>2028</v>
      </c>
      <c r="E893" s="8">
        <v>1026</v>
      </c>
      <c r="F893">
        <v>10</v>
      </c>
      <c r="G893">
        <v>0</v>
      </c>
      <c r="H893" s="8">
        <v>10260</v>
      </c>
      <c r="I893">
        <v>817.62</v>
      </c>
      <c r="J893">
        <v>2083.7600000000002</v>
      </c>
      <c r="K893" s="5">
        <f>IF(SalesData[[#This Row],[Total Revenue]]=0,0,SalesData[[#This Row],[Profit]]/SalesData[[#This Row],[Total Revenue]])</f>
        <v>0.2030955165692008</v>
      </c>
      <c r="L893" s="5" t="str">
        <f>TEXT(SalesData[[#This Row],[Date]],"mmm")</f>
        <v>Sep</v>
      </c>
      <c r="M893">
        <f>YEAR(SalesData[[#This Row],[Date]])</f>
        <v>2023</v>
      </c>
      <c r="N893">
        <f>WEEKNUM(SalesData[[#This Row],[Date]])</f>
        <v>37</v>
      </c>
      <c r="O893" t="s">
        <v>2159</v>
      </c>
      <c r="P893" t="s">
        <v>2523</v>
      </c>
      <c r="Q893" t="s">
        <v>2525</v>
      </c>
    </row>
    <row r="894" spans="1:17" x14ac:dyDescent="0.35">
      <c r="A894" t="s">
        <v>47</v>
      </c>
      <c r="B894" s="3">
        <v>44989</v>
      </c>
      <c r="C894" t="s">
        <v>2022</v>
      </c>
      <c r="D894" t="s">
        <v>2024</v>
      </c>
      <c r="E894" s="8">
        <v>1352</v>
      </c>
      <c r="F894">
        <v>8</v>
      </c>
      <c r="G894">
        <v>5</v>
      </c>
      <c r="H894" s="8">
        <v>10275.200000000001</v>
      </c>
      <c r="I894">
        <v>930.03</v>
      </c>
      <c r="J894">
        <v>2834.98</v>
      </c>
      <c r="K894" s="5">
        <f>IF(SalesData[[#This Row],[Total Revenue]]=0,0,SalesData[[#This Row],[Profit]]/SalesData[[#This Row],[Total Revenue]])</f>
        <v>0.27590509187169104</v>
      </c>
      <c r="L894" s="5" t="str">
        <f>TEXT(SalesData[[#This Row],[Date]],"mmm")</f>
        <v>Mar</v>
      </c>
      <c r="M894">
        <f>YEAR(SalesData[[#This Row],[Date]])</f>
        <v>2023</v>
      </c>
      <c r="N894">
        <f>WEEKNUM(SalesData[[#This Row],[Date]])</f>
        <v>9</v>
      </c>
      <c r="O894" t="s">
        <v>2059</v>
      </c>
      <c r="P894" t="s">
        <v>2523</v>
      </c>
      <c r="Q894" t="s">
        <v>2524</v>
      </c>
    </row>
    <row r="895" spans="1:17" x14ac:dyDescent="0.35">
      <c r="A895" t="s">
        <v>545</v>
      </c>
      <c r="B895" s="3">
        <v>44950</v>
      </c>
      <c r="C895" t="s">
        <v>2019</v>
      </c>
      <c r="D895" t="s">
        <v>2027</v>
      </c>
      <c r="E895" s="8">
        <v>1904</v>
      </c>
      <c r="F895">
        <v>6</v>
      </c>
      <c r="G895">
        <v>10</v>
      </c>
      <c r="H895" s="8">
        <v>10281.6</v>
      </c>
      <c r="I895">
        <v>1513.67</v>
      </c>
      <c r="J895">
        <v>1199.5999999999999</v>
      </c>
      <c r="K895" s="5">
        <f>IF(SalesData[[#This Row],[Total Revenue]]=0,0,SalesData[[#This Row],[Profit]]/SalesData[[#This Row],[Total Revenue]])</f>
        <v>0.11667444755680048</v>
      </c>
      <c r="L895" s="5" t="str">
        <f>TEXT(SalesData[[#This Row],[Date]],"mmm")</f>
        <v>Jan</v>
      </c>
      <c r="M895">
        <f>YEAR(SalesData[[#This Row],[Date]])</f>
        <v>2023</v>
      </c>
      <c r="N895">
        <f>WEEKNUM(SalesData[[#This Row],[Date]])</f>
        <v>4</v>
      </c>
      <c r="O895" t="s">
        <v>2099</v>
      </c>
      <c r="P895" t="s">
        <v>2522</v>
      </c>
      <c r="Q895" t="s">
        <v>2524</v>
      </c>
    </row>
    <row r="896" spans="1:17" x14ac:dyDescent="0.35">
      <c r="A896" t="s">
        <v>468</v>
      </c>
      <c r="B896" s="3">
        <v>45059</v>
      </c>
      <c r="C896" t="s">
        <v>2013</v>
      </c>
      <c r="D896" t="s">
        <v>2023</v>
      </c>
      <c r="E896" s="8">
        <v>2425</v>
      </c>
      <c r="F896">
        <v>5</v>
      </c>
      <c r="G896">
        <v>15</v>
      </c>
      <c r="H896" s="8">
        <v>10306.25</v>
      </c>
      <c r="I896">
        <v>1852.4</v>
      </c>
      <c r="J896">
        <v>1044.27</v>
      </c>
      <c r="K896" s="5">
        <f>IF(SalesData[[#This Row],[Total Revenue]]=0,0,SalesData[[#This Row],[Profit]]/SalesData[[#This Row],[Total Revenue]])</f>
        <v>0.10132395391146148</v>
      </c>
      <c r="L896" s="5" t="str">
        <f>TEXT(SalesData[[#This Row],[Date]],"mmm")</f>
        <v>May</v>
      </c>
      <c r="M896">
        <f>YEAR(SalesData[[#This Row],[Date]])</f>
        <v>2023</v>
      </c>
      <c r="N896">
        <f>WEEKNUM(SalesData[[#This Row],[Date]])</f>
        <v>19</v>
      </c>
      <c r="O896" t="s">
        <v>2110</v>
      </c>
      <c r="P896" t="s">
        <v>2522</v>
      </c>
      <c r="Q896" t="s">
        <v>2524</v>
      </c>
    </row>
    <row r="897" spans="1:17" x14ac:dyDescent="0.35">
      <c r="A897" t="s">
        <v>1591</v>
      </c>
      <c r="B897" s="3">
        <v>45172</v>
      </c>
      <c r="C897" t="s">
        <v>2015</v>
      </c>
      <c r="D897" t="s">
        <v>2025</v>
      </c>
      <c r="E897" s="8">
        <v>3827</v>
      </c>
      <c r="F897">
        <v>3</v>
      </c>
      <c r="G897">
        <v>10</v>
      </c>
      <c r="H897" s="8">
        <v>10332.9</v>
      </c>
      <c r="I897">
        <v>2725.06</v>
      </c>
      <c r="J897">
        <v>2157.73</v>
      </c>
      <c r="K897" s="5">
        <f>IF(SalesData[[#This Row],[Total Revenue]]=0,0,SalesData[[#This Row],[Profit]]/SalesData[[#This Row],[Total Revenue]])</f>
        <v>0.20882133766899902</v>
      </c>
      <c r="L897" s="5" t="str">
        <f>TEXT(SalesData[[#This Row],[Date]],"mmm")</f>
        <v>Sep</v>
      </c>
      <c r="M897">
        <f>YEAR(SalesData[[#This Row],[Date]])</f>
        <v>2023</v>
      </c>
      <c r="N897">
        <f>WEEKNUM(SalesData[[#This Row],[Date]])</f>
        <v>36</v>
      </c>
      <c r="O897" t="s">
        <v>2196</v>
      </c>
      <c r="P897" t="s">
        <v>2523</v>
      </c>
      <c r="Q897" t="s">
        <v>2527</v>
      </c>
    </row>
    <row r="898" spans="1:17" x14ac:dyDescent="0.35">
      <c r="A898" t="s">
        <v>412</v>
      </c>
      <c r="B898" s="3">
        <v>45140</v>
      </c>
      <c r="C898" t="s">
        <v>2014</v>
      </c>
      <c r="D898" t="s">
        <v>2024</v>
      </c>
      <c r="E898" s="8">
        <v>1363</v>
      </c>
      <c r="F898">
        <v>8</v>
      </c>
      <c r="G898">
        <v>5</v>
      </c>
      <c r="H898" s="8">
        <v>10358.799999999999</v>
      </c>
      <c r="I898">
        <v>758.21</v>
      </c>
      <c r="J898">
        <v>4293.1000000000004</v>
      </c>
      <c r="K898" s="5">
        <f>IF(SalesData[[#This Row],[Total Revenue]]=0,0,SalesData[[#This Row],[Profit]]/SalesData[[#This Row],[Total Revenue]])</f>
        <v>0.4144398965131097</v>
      </c>
      <c r="L898" s="5" t="str">
        <f>TEXT(SalesData[[#This Row],[Date]],"mmm")</f>
        <v>Aug</v>
      </c>
      <c r="M898">
        <f>YEAR(SalesData[[#This Row],[Date]])</f>
        <v>2023</v>
      </c>
      <c r="N898">
        <f>WEEKNUM(SalesData[[#This Row],[Date]])</f>
        <v>31</v>
      </c>
      <c r="O898" t="s">
        <v>2236</v>
      </c>
      <c r="P898" t="s">
        <v>2523</v>
      </c>
      <c r="Q898" t="s">
        <v>2524</v>
      </c>
    </row>
    <row r="899" spans="1:17" x14ac:dyDescent="0.35">
      <c r="A899" t="s">
        <v>338</v>
      </c>
      <c r="B899" s="3">
        <v>45273</v>
      </c>
      <c r="C899" t="s">
        <v>2015</v>
      </c>
      <c r="D899" t="s">
        <v>2025</v>
      </c>
      <c r="E899" s="8">
        <v>1741</v>
      </c>
      <c r="F899">
        <v>7</v>
      </c>
      <c r="G899">
        <v>15</v>
      </c>
      <c r="H899" s="8">
        <v>10358.950000000001</v>
      </c>
      <c r="I899">
        <v>1088.08</v>
      </c>
      <c r="J899">
        <v>2742.41</v>
      </c>
      <c r="K899" s="5">
        <f>IF(SalesData[[#This Row],[Total Revenue]]=0,0,SalesData[[#This Row],[Profit]]/SalesData[[#This Row],[Total Revenue]])</f>
        <v>0.26473822153789717</v>
      </c>
      <c r="L899" s="5" t="str">
        <f>TEXT(SalesData[[#This Row],[Date]],"mmm")</f>
        <v>Dec</v>
      </c>
      <c r="M899">
        <f>YEAR(SalesData[[#This Row],[Date]])</f>
        <v>2023</v>
      </c>
      <c r="N899">
        <f>WEEKNUM(SalesData[[#This Row],[Date]])</f>
        <v>50</v>
      </c>
      <c r="O899" t="s">
        <v>2081</v>
      </c>
      <c r="P899" t="s">
        <v>2522</v>
      </c>
      <c r="Q899" t="s">
        <v>2527</v>
      </c>
    </row>
    <row r="900" spans="1:17" x14ac:dyDescent="0.35">
      <c r="A900" t="s">
        <v>2010</v>
      </c>
      <c r="B900" s="3">
        <v>45189</v>
      </c>
      <c r="C900" t="s">
        <v>2021</v>
      </c>
      <c r="D900" t="s">
        <v>2028</v>
      </c>
      <c r="E900" s="8">
        <v>1036</v>
      </c>
      <c r="F900">
        <v>10</v>
      </c>
      <c r="G900">
        <v>0</v>
      </c>
      <c r="H900" s="8">
        <v>10360</v>
      </c>
      <c r="I900">
        <v>784.65</v>
      </c>
      <c r="J900">
        <v>2513.4899999999998</v>
      </c>
      <c r="K900" s="5">
        <f>IF(SalesData[[#This Row],[Total Revenue]]=0,0,SalesData[[#This Row],[Profit]]/SalesData[[#This Row],[Total Revenue]])</f>
        <v>0.24261486486486483</v>
      </c>
      <c r="L900" s="5" t="str">
        <f>TEXT(SalesData[[#This Row],[Date]],"mmm")</f>
        <v>Sep</v>
      </c>
      <c r="M900">
        <f>YEAR(SalesData[[#This Row],[Date]])</f>
        <v>2023</v>
      </c>
      <c r="N900">
        <f>WEEKNUM(SalesData[[#This Row],[Date]])</f>
        <v>38</v>
      </c>
      <c r="O900" t="s">
        <v>2421</v>
      </c>
      <c r="P900" t="s">
        <v>2523</v>
      </c>
      <c r="Q900" t="s">
        <v>2527</v>
      </c>
    </row>
    <row r="901" spans="1:17" x14ac:dyDescent="0.35">
      <c r="A901" t="s">
        <v>85</v>
      </c>
      <c r="B901" s="3">
        <v>45034</v>
      </c>
      <c r="C901" t="s">
        <v>2020</v>
      </c>
      <c r="D901" t="s">
        <v>2028</v>
      </c>
      <c r="E901" s="8">
        <v>2879</v>
      </c>
      <c r="F901">
        <v>4</v>
      </c>
      <c r="G901">
        <v>10</v>
      </c>
      <c r="H901" s="8">
        <v>10364.4</v>
      </c>
      <c r="I901">
        <v>2106.12</v>
      </c>
      <c r="J901">
        <v>1939.92</v>
      </c>
      <c r="K901" s="5">
        <f>IF(SalesData[[#This Row],[Total Revenue]]=0,0,SalesData[[#This Row],[Profit]]/SalesData[[#This Row],[Total Revenue]])</f>
        <v>0.18717147157577865</v>
      </c>
      <c r="L901" s="5" t="str">
        <f>TEXT(SalesData[[#This Row],[Date]],"mmm")</f>
        <v>Apr</v>
      </c>
      <c r="M901">
        <f>YEAR(SalesData[[#This Row],[Date]])</f>
        <v>2023</v>
      </c>
      <c r="N901">
        <f>WEEKNUM(SalesData[[#This Row],[Date]])</f>
        <v>16</v>
      </c>
      <c r="O901" t="s">
        <v>2093</v>
      </c>
      <c r="P901" t="s">
        <v>2523</v>
      </c>
      <c r="Q901" t="s">
        <v>2526</v>
      </c>
    </row>
    <row r="902" spans="1:17" x14ac:dyDescent="0.35">
      <c r="A902" t="s">
        <v>1911</v>
      </c>
      <c r="B902" s="3">
        <v>45157</v>
      </c>
      <c r="C902" t="s">
        <v>2016</v>
      </c>
      <c r="D902" t="s">
        <v>2025</v>
      </c>
      <c r="E902" s="8">
        <v>2074</v>
      </c>
      <c r="F902">
        <v>5</v>
      </c>
      <c r="G902">
        <v>0</v>
      </c>
      <c r="H902" s="8">
        <v>10370</v>
      </c>
      <c r="I902">
        <v>1565.7</v>
      </c>
      <c r="J902">
        <v>2541.5</v>
      </c>
      <c r="K902" s="5">
        <f>IF(SalesData[[#This Row],[Total Revenue]]=0,0,SalesData[[#This Row],[Profit]]/SalesData[[#This Row],[Total Revenue]])</f>
        <v>0.24508196721311476</v>
      </c>
      <c r="L902" s="5" t="str">
        <f>TEXT(SalesData[[#This Row],[Date]],"mmm")</f>
        <v>Aug</v>
      </c>
      <c r="M902">
        <f>YEAR(SalesData[[#This Row],[Date]])</f>
        <v>2023</v>
      </c>
      <c r="N902">
        <f>WEEKNUM(SalesData[[#This Row],[Date]])</f>
        <v>33</v>
      </c>
      <c r="O902" t="s">
        <v>2140</v>
      </c>
      <c r="P902" t="s">
        <v>2522</v>
      </c>
      <c r="Q902" t="s">
        <v>2524</v>
      </c>
    </row>
    <row r="903" spans="1:17" x14ac:dyDescent="0.35">
      <c r="A903" t="s">
        <v>1454</v>
      </c>
      <c r="B903" s="3">
        <v>45131</v>
      </c>
      <c r="C903" t="s">
        <v>2019</v>
      </c>
      <c r="D903" t="s">
        <v>2027</v>
      </c>
      <c r="E903" s="8">
        <v>2893</v>
      </c>
      <c r="F903">
        <v>4</v>
      </c>
      <c r="G903">
        <v>10</v>
      </c>
      <c r="H903" s="8">
        <v>10414.799999999999</v>
      </c>
      <c r="I903">
        <v>2152.6799999999998</v>
      </c>
      <c r="J903">
        <v>1804.06</v>
      </c>
      <c r="K903" s="5">
        <f>IF(SalesData[[#This Row],[Total Revenue]]=0,0,SalesData[[#This Row],[Profit]]/SalesData[[#This Row],[Total Revenue]])</f>
        <v>0.17322080116756924</v>
      </c>
      <c r="L903" s="5" t="str">
        <f>TEXT(SalesData[[#This Row],[Date]],"mmm")</f>
        <v>Jul</v>
      </c>
      <c r="M903">
        <f>YEAR(SalesData[[#This Row],[Date]])</f>
        <v>2023</v>
      </c>
      <c r="N903">
        <f>WEEKNUM(SalesData[[#This Row],[Date]])</f>
        <v>30</v>
      </c>
      <c r="O903" t="s">
        <v>2202</v>
      </c>
      <c r="P903" t="s">
        <v>2523</v>
      </c>
      <c r="Q903" t="s">
        <v>2527</v>
      </c>
    </row>
    <row r="904" spans="1:17" x14ac:dyDescent="0.35">
      <c r="A904" t="s">
        <v>1533</v>
      </c>
      <c r="B904" s="3">
        <v>44951</v>
      </c>
      <c r="C904" t="s">
        <v>2018</v>
      </c>
      <c r="D904" t="s">
        <v>2026</v>
      </c>
      <c r="E904" s="8">
        <v>1488</v>
      </c>
      <c r="F904">
        <v>7</v>
      </c>
      <c r="G904">
        <v>0</v>
      </c>
      <c r="H904" s="8">
        <v>10416</v>
      </c>
      <c r="I904">
        <v>1181.9000000000001</v>
      </c>
      <c r="J904">
        <v>2142.69</v>
      </c>
      <c r="K904" s="5">
        <f>IF(SalesData[[#This Row],[Total Revenue]]=0,0,SalesData[[#This Row],[Profit]]/SalesData[[#This Row],[Total Revenue]])</f>
        <v>0.20571140552995393</v>
      </c>
      <c r="L904" s="5" t="str">
        <f>TEXT(SalesData[[#This Row],[Date]],"mmm")</f>
        <v>Jan</v>
      </c>
      <c r="M904">
        <f>YEAR(SalesData[[#This Row],[Date]])</f>
        <v>2023</v>
      </c>
      <c r="N904">
        <f>WEEKNUM(SalesData[[#This Row],[Date]])</f>
        <v>4</v>
      </c>
      <c r="O904" t="s">
        <v>2508</v>
      </c>
      <c r="P904" t="s">
        <v>2523</v>
      </c>
      <c r="Q904" t="s">
        <v>2526</v>
      </c>
    </row>
    <row r="905" spans="1:17" x14ac:dyDescent="0.35">
      <c r="A905" t="s">
        <v>1928</v>
      </c>
      <c r="B905" s="3">
        <v>45034</v>
      </c>
      <c r="C905" t="s">
        <v>2021</v>
      </c>
      <c r="D905" t="s">
        <v>2028</v>
      </c>
      <c r="E905" s="8">
        <v>1832</v>
      </c>
      <c r="F905">
        <v>6</v>
      </c>
      <c r="G905">
        <v>5</v>
      </c>
      <c r="H905" s="8">
        <v>10442.4</v>
      </c>
      <c r="I905">
        <v>1046.07</v>
      </c>
      <c r="J905">
        <v>4165.9799999999996</v>
      </c>
      <c r="K905" s="5">
        <f>IF(SalesData[[#This Row],[Total Revenue]]=0,0,SalesData[[#This Row],[Profit]]/SalesData[[#This Row],[Total Revenue]])</f>
        <v>0.39894851758216499</v>
      </c>
      <c r="L905" s="5" t="str">
        <f>TEXT(SalesData[[#This Row],[Date]],"mmm")</f>
        <v>Apr</v>
      </c>
      <c r="M905">
        <f>YEAR(SalesData[[#This Row],[Date]])</f>
        <v>2023</v>
      </c>
      <c r="N905">
        <f>WEEKNUM(SalesData[[#This Row],[Date]])</f>
        <v>16</v>
      </c>
      <c r="O905" t="s">
        <v>2304</v>
      </c>
      <c r="P905" t="s">
        <v>2523</v>
      </c>
      <c r="Q905" t="s">
        <v>2527</v>
      </c>
    </row>
    <row r="906" spans="1:17" x14ac:dyDescent="0.35">
      <c r="A906" t="s">
        <v>1275</v>
      </c>
      <c r="B906" s="3">
        <v>44953</v>
      </c>
      <c r="C906" t="s">
        <v>2015</v>
      </c>
      <c r="D906" t="s">
        <v>2025</v>
      </c>
      <c r="E906" s="8">
        <v>1836</v>
      </c>
      <c r="F906">
        <v>6</v>
      </c>
      <c r="G906">
        <v>5</v>
      </c>
      <c r="H906" s="8">
        <v>10465.200000000001</v>
      </c>
      <c r="I906">
        <v>929.02</v>
      </c>
      <c r="J906">
        <v>4891.09</v>
      </c>
      <c r="K906" s="5">
        <f>IF(SalesData[[#This Row],[Total Revenue]]=0,0,SalesData[[#This Row],[Profit]]/SalesData[[#This Row],[Total Revenue]])</f>
        <v>0.46736708328555593</v>
      </c>
      <c r="L906" s="5" t="str">
        <f>TEXT(SalesData[[#This Row],[Date]],"mmm")</f>
        <v>Jan</v>
      </c>
      <c r="M906">
        <f>YEAR(SalesData[[#This Row],[Date]])</f>
        <v>2023</v>
      </c>
      <c r="N906">
        <f>WEEKNUM(SalesData[[#This Row],[Date]])</f>
        <v>4</v>
      </c>
      <c r="O906" t="s">
        <v>2333</v>
      </c>
      <c r="P906" t="s">
        <v>2522</v>
      </c>
      <c r="Q906" t="s">
        <v>2525</v>
      </c>
    </row>
    <row r="907" spans="1:17" x14ac:dyDescent="0.35">
      <c r="A907" t="s">
        <v>1177</v>
      </c>
      <c r="B907" s="3">
        <v>45116</v>
      </c>
      <c r="C907" t="s">
        <v>2019</v>
      </c>
      <c r="D907" t="s">
        <v>2027</v>
      </c>
      <c r="E907" s="8">
        <v>1163</v>
      </c>
      <c r="F907">
        <v>9</v>
      </c>
      <c r="G907">
        <v>0</v>
      </c>
      <c r="H907" s="8">
        <v>10467</v>
      </c>
      <c r="I907">
        <v>649.35</v>
      </c>
      <c r="J907">
        <v>4622.8500000000004</v>
      </c>
      <c r="K907" s="5">
        <f>IF(SalesData[[#This Row],[Total Revenue]]=0,0,SalesData[[#This Row],[Profit]]/SalesData[[#This Row],[Total Revenue]])</f>
        <v>0.44165950128976789</v>
      </c>
      <c r="L907" s="5" t="str">
        <f>TEXT(SalesData[[#This Row],[Date]],"mmm")</f>
        <v>Jul</v>
      </c>
      <c r="M907">
        <f>YEAR(SalesData[[#This Row],[Date]])</f>
        <v>2023</v>
      </c>
      <c r="N907">
        <f>WEEKNUM(SalesData[[#This Row],[Date]])</f>
        <v>28</v>
      </c>
      <c r="O907" t="s">
        <v>2479</v>
      </c>
      <c r="P907" t="s">
        <v>2522</v>
      </c>
      <c r="Q907" t="s">
        <v>2527</v>
      </c>
    </row>
    <row r="908" spans="1:17" x14ac:dyDescent="0.35">
      <c r="A908" t="s">
        <v>1975</v>
      </c>
      <c r="B908" s="3">
        <v>45261</v>
      </c>
      <c r="C908" t="s">
        <v>2019</v>
      </c>
      <c r="D908" t="s">
        <v>2027</v>
      </c>
      <c r="E908" s="8">
        <v>1371</v>
      </c>
      <c r="F908">
        <v>9</v>
      </c>
      <c r="G908">
        <v>15</v>
      </c>
      <c r="H908" s="8">
        <v>10488.15</v>
      </c>
      <c r="I908">
        <v>825.28</v>
      </c>
      <c r="J908">
        <v>3060.61</v>
      </c>
      <c r="K908" s="5">
        <f>IF(SalesData[[#This Row],[Total Revenue]]=0,0,SalesData[[#This Row],[Profit]]/SalesData[[#This Row],[Total Revenue]])</f>
        <v>0.29181600186877571</v>
      </c>
      <c r="L908" s="5" t="str">
        <f>TEXT(SalesData[[#This Row],[Date]],"mmm")</f>
        <v>Dec</v>
      </c>
      <c r="M908">
        <f>YEAR(SalesData[[#This Row],[Date]])</f>
        <v>2023</v>
      </c>
      <c r="N908">
        <f>WEEKNUM(SalesData[[#This Row],[Date]])</f>
        <v>48</v>
      </c>
      <c r="O908" t="s">
        <v>2252</v>
      </c>
      <c r="P908" t="s">
        <v>2523</v>
      </c>
      <c r="Q908" t="s">
        <v>2524</v>
      </c>
    </row>
    <row r="909" spans="1:17" x14ac:dyDescent="0.35">
      <c r="A909" t="s">
        <v>700</v>
      </c>
      <c r="B909" s="3">
        <v>45236</v>
      </c>
      <c r="C909" t="s">
        <v>2021</v>
      </c>
      <c r="D909" t="s">
        <v>2028</v>
      </c>
      <c r="E909" s="8">
        <v>3500</v>
      </c>
      <c r="F909">
        <v>3</v>
      </c>
      <c r="G909">
        <v>0</v>
      </c>
      <c r="H909" s="8">
        <v>10500</v>
      </c>
      <c r="I909">
        <v>2331.98</v>
      </c>
      <c r="J909">
        <v>3504.05</v>
      </c>
      <c r="K909" s="5">
        <f>IF(SalesData[[#This Row],[Total Revenue]]=0,0,SalesData[[#This Row],[Profit]]/SalesData[[#This Row],[Total Revenue]])</f>
        <v>0.33371904761904764</v>
      </c>
      <c r="L909" s="5" t="str">
        <f>TEXT(SalesData[[#This Row],[Date]],"mmm")</f>
        <v>Nov</v>
      </c>
      <c r="M909">
        <f>YEAR(SalesData[[#This Row],[Date]])</f>
        <v>2023</v>
      </c>
      <c r="N909">
        <f>WEEKNUM(SalesData[[#This Row],[Date]])</f>
        <v>45</v>
      </c>
      <c r="O909" t="s">
        <v>2401</v>
      </c>
      <c r="P909" t="s">
        <v>2523</v>
      </c>
      <c r="Q909" t="s">
        <v>2527</v>
      </c>
    </row>
    <row r="910" spans="1:17" x14ac:dyDescent="0.35">
      <c r="A910" t="s">
        <v>78</v>
      </c>
      <c r="B910" s="3">
        <v>45024</v>
      </c>
      <c r="C910" t="s">
        <v>2020</v>
      </c>
      <c r="D910" t="s">
        <v>2028</v>
      </c>
      <c r="E910" s="8">
        <v>1751</v>
      </c>
      <c r="F910">
        <v>6</v>
      </c>
      <c r="G910">
        <v>0</v>
      </c>
      <c r="H910" s="8">
        <v>10506</v>
      </c>
      <c r="I910">
        <v>992.44</v>
      </c>
      <c r="J910">
        <v>4551.37</v>
      </c>
      <c r="K910" s="5">
        <f>IF(SalesData[[#This Row],[Total Revenue]]=0,0,SalesData[[#This Row],[Profit]]/SalesData[[#This Row],[Total Revenue]])</f>
        <v>0.43321625737673708</v>
      </c>
      <c r="L910" s="5" t="str">
        <f>TEXT(SalesData[[#This Row],[Date]],"mmm")</f>
        <v>Apr</v>
      </c>
      <c r="M910">
        <f>YEAR(SalesData[[#This Row],[Date]])</f>
        <v>2023</v>
      </c>
      <c r="N910">
        <f>WEEKNUM(SalesData[[#This Row],[Date]])</f>
        <v>14</v>
      </c>
      <c r="O910" t="s">
        <v>2086</v>
      </c>
      <c r="P910" t="s">
        <v>2522</v>
      </c>
      <c r="Q910" t="s">
        <v>2526</v>
      </c>
    </row>
    <row r="911" spans="1:17" x14ac:dyDescent="0.35">
      <c r="A911" t="s">
        <v>1272</v>
      </c>
      <c r="B911" s="3">
        <v>44974</v>
      </c>
      <c r="C911" t="s">
        <v>2020</v>
      </c>
      <c r="D911" t="s">
        <v>2028</v>
      </c>
      <c r="E911" s="8">
        <v>1107</v>
      </c>
      <c r="F911">
        <v>10</v>
      </c>
      <c r="G911">
        <v>5</v>
      </c>
      <c r="H911" s="8">
        <v>10516.5</v>
      </c>
      <c r="I911">
        <v>774.89</v>
      </c>
      <c r="J911">
        <v>2767.64</v>
      </c>
      <c r="K911" s="5">
        <f>IF(SalesData[[#This Row],[Total Revenue]]=0,0,SalesData[[#This Row],[Profit]]/SalesData[[#This Row],[Total Revenue]])</f>
        <v>0.263171207150668</v>
      </c>
      <c r="L911" s="5" t="str">
        <f>TEXT(SalesData[[#This Row],[Date]],"mmm")</f>
        <v>Feb</v>
      </c>
      <c r="M911">
        <f>YEAR(SalesData[[#This Row],[Date]])</f>
        <v>2023</v>
      </c>
      <c r="N911">
        <f>WEEKNUM(SalesData[[#This Row],[Date]])</f>
        <v>7</v>
      </c>
      <c r="O911" t="s">
        <v>2099</v>
      </c>
      <c r="P911" t="s">
        <v>2522</v>
      </c>
      <c r="Q911" t="s">
        <v>2524</v>
      </c>
    </row>
    <row r="912" spans="1:17" x14ac:dyDescent="0.35">
      <c r="A912" t="s">
        <v>531</v>
      </c>
      <c r="B912" s="3">
        <v>45063</v>
      </c>
      <c r="C912" t="s">
        <v>2013</v>
      </c>
      <c r="D912" t="s">
        <v>2023</v>
      </c>
      <c r="E912" s="8">
        <v>1547</v>
      </c>
      <c r="F912">
        <v>8</v>
      </c>
      <c r="G912">
        <v>15</v>
      </c>
      <c r="H912" s="8">
        <v>10519.6</v>
      </c>
      <c r="I912">
        <v>776.07</v>
      </c>
      <c r="J912">
        <v>4311.04</v>
      </c>
      <c r="K912" s="5">
        <f>IF(SalesData[[#This Row],[Total Revenue]]=0,0,SalesData[[#This Row],[Profit]]/SalesData[[#This Row],[Total Revenue]])</f>
        <v>0.40981025894520701</v>
      </c>
      <c r="L912" s="5" t="str">
        <f>TEXT(SalesData[[#This Row],[Date]],"mmm")</f>
        <v>May</v>
      </c>
      <c r="M912">
        <f>YEAR(SalesData[[#This Row],[Date]])</f>
        <v>2023</v>
      </c>
      <c r="N912">
        <f>WEEKNUM(SalesData[[#This Row],[Date]])</f>
        <v>20</v>
      </c>
      <c r="O912" t="s">
        <v>2347</v>
      </c>
      <c r="P912" t="s">
        <v>2522</v>
      </c>
      <c r="Q912" t="s">
        <v>2525</v>
      </c>
    </row>
    <row r="913" spans="1:17" x14ac:dyDescent="0.35">
      <c r="A913" t="s">
        <v>1328</v>
      </c>
      <c r="B913" s="3">
        <v>45284</v>
      </c>
      <c r="C913" t="s">
        <v>2021</v>
      </c>
      <c r="D913" t="s">
        <v>2028</v>
      </c>
      <c r="E913" s="8">
        <v>3901</v>
      </c>
      <c r="F913">
        <v>3</v>
      </c>
      <c r="G913">
        <v>10</v>
      </c>
      <c r="H913" s="8">
        <v>10532.7</v>
      </c>
      <c r="I913">
        <v>2325.4699999999998</v>
      </c>
      <c r="J913">
        <v>3556.29</v>
      </c>
      <c r="K913" s="5">
        <f>IF(SalesData[[#This Row],[Total Revenue]]=0,0,SalesData[[#This Row],[Profit]]/SalesData[[#This Row],[Total Revenue]])</f>
        <v>0.33764276966020107</v>
      </c>
      <c r="L913" s="5" t="str">
        <f>TEXT(SalesData[[#This Row],[Date]],"mmm")</f>
        <v>Dec</v>
      </c>
      <c r="M913">
        <f>YEAR(SalesData[[#This Row],[Date]])</f>
        <v>2023</v>
      </c>
      <c r="N913">
        <f>WEEKNUM(SalesData[[#This Row],[Date]])</f>
        <v>52</v>
      </c>
      <c r="O913" t="s">
        <v>2222</v>
      </c>
      <c r="P913" t="s">
        <v>2523</v>
      </c>
      <c r="Q913" t="s">
        <v>2526</v>
      </c>
    </row>
    <row r="914" spans="1:17" x14ac:dyDescent="0.35">
      <c r="A914" t="s">
        <v>1046</v>
      </c>
      <c r="B914" s="3">
        <v>44999</v>
      </c>
      <c r="C914" t="s">
        <v>2017</v>
      </c>
      <c r="D914" t="s">
        <v>2026</v>
      </c>
      <c r="E914" s="8">
        <v>3701</v>
      </c>
      <c r="F914">
        <v>3</v>
      </c>
      <c r="G914">
        <v>5</v>
      </c>
      <c r="H914" s="8">
        <v>10547.85</v>
      </c>
      <c r="I914">
        <v>1973.14</v>
      </c>
      <c r="J914">
        <v>4628.4399999999996</v>
      </c>
      <c r="K914" s="5">
        <f>IF(SalesData[[#This Row],[Total Revenue]]=0,0,SalesData[[#This Row],[Profit]]/SalesData[[#This Row],[Total Revenue]])</f>
        <v>0.43880411647871365</v>
      </c>
      <c r="L914" s="5" t="str">
        <f>TEXT(SalesData[[#This Row],[Date]],"mmm")</f>
        <v>Mar</v>
      </c>
      <c r="M914">
        <f>YEAR(SalesData[[#This Row],[Date]])</f>
        <v>2023</v>
      </c>
      <c r="N914">
        <f>WEEKNUM(SalesData[[#This Row],[Date]])</f>
        <v>11</v>
      </c>
      <c r="O914" t="s">
        <v>2179</v>
      </c>
      <c r="P914" t="s">
        <v>2522</v>
      </c>
      <c r="Q914" t="s">
        <v>2524</v>
      </c>
    </row>
    <row r="915" spans="1:17" x14ac:dyDescent="0.35">
      <c r="A915" t="s">
        <v>544</v>
      </c>
      <c r="B915" s="3">
        <v>45123</v>
      </c>
      <c r="C915" t="s">
        <v>2018</v>
      </c>
      <c r="D915" t="s">
        <v>2026</v>
      </c>
      <c r="E915" s="8">
        <v>3525</v>
      </c>
      <c r="F915">
        <v>3</v>
      </c>
      <c r="G915">
        <v>0</v>
      </c>
      <c r="H915" s="8">
        <v>10575</v>
      </c>
      <c r="I915">
        <v>2680.6</v>
      </c>
      <c r="J915">
        <v>2533.1999999999998</v>
      </c>
      <c r="K915" s="5">
        <f>IF(SalesData[[#This Row],[Total Revenue]]=0,0,SalesData[[#This Row],[Profit]]/SalesData[[#This Row],[Total Revenue]])</f>
        <v>0.23954609929078013</v>
      </c>
      <c r="L915" s="5" t="str">
        <f>TEXT(SalesData[[#This Row],[Date]],"mmm")</f>
        <v>Jul</v>
      </c>
      <c r="M915">
        <f>YEAR(SalesData[[#This Row],[Date]])</f>
        <v>2023</v>
      </c>
      <c r="N915">
        <f>WEEKNUM(SalesData[[#This Row],[Date]])</f>
        <v>29</v>
      </c>
      <c r="O915" t="s">
        <v>2273</v>
      </c>
      <c r="P915" t="s">
        <v>2522</v>
      </c>
      <c r="Q915" t="s">
        <v>2524</v>
      </c>
    </row>
    <row r="916" spans="1:17" x14ac:dyDescent="0.35">
      <c r="A916" t="s">
        <v>1507</v>
      </c>
      <c r="B916" s="3">
        <v>45218</v>
      </c>
      <c r="C916" t="s">
        <v>2013</v>
      </c>
      <c r="D916" t="s">
        <v>2023</v>
      </c>
      <c r="E916" s="8">
        <v>2116</v>
      </c>
      <c r="F916">
        <v>5</v>
      </c>
      <c r="G916">
        <v>0</v>
      </c>
      <c r="H916" s="8">
        <v>10580</v>
      </c>
      <c r="I916">
        <v>1086.48</v>
      </c>
      <c r="J916">
        <v>5147.59</v>
      </c>
      <c r="K916" s="5">
        <f>IF(SalesData[[#This Row],[Total Revenue]]=0,0,SalesData[[#This Row],[Profit]]/SalesData[[#This Row],[Total Revenue]])</f>
        <v>0.48653969754253312</v>
      </c>
      <c r="L916" s="5" t="str">
        <f>TEXT(SalesData[[#This Row],[Date]],"mmm")</f>
        <v>Oct</v>
      </c>
      <c r="M916">
        <f>YEAR(SalesData[[#This Row],[Date]])</f>
        <v>2023</v>
      </c>
      <c r="N916">
        <f>WEEKNUM(SalesData[[#This Row],[Date]])</f>
        <v>42</v>
      </c>
      <c r="O916" t="s">
        <v>2506</v>
      </c>
      <c r="P916" t="s">
        <v>2523</v>
      </c>
      <c r="Q916" t="s">
        <v>2526</v>
      </c>
    </row>
    <row r="917" spans="1:17" x14ac:dyDescent="0.35">
      <c r="A917" t="s">
        <v>1511</v>
      </c>
      <c r="B917" s="3">
        <v>44951</v>
      </c>
      <c r="C917" t="s">
        <v>2014</v>
      </c>
      <c r="D917" t="s">
        <v>2024</v>
      </c>
      <c r="E917" s="8">
        <v>2076</v>
      </c>
      <c r="F917">
        <v>6</v>
      </c>
      <c r="G917">
        <v>15</v>
      </c>
      <c r="H917" s="8">
        <v>10587.6</v>
      </c>
      <c r="I917">
        <v>1575.45</v>
      </c>
      <c r="J917">
        <v>1134.92</v>
      </c>
      <c r="K917" s="5">
        <f>IF(SalesData[[#This Row],[Total Revenue]]=0,0,SalesData[[#This Row],[Profit]]/SalesData[[#This Row],[Total Revenue]])</f>
        <v>0.10719332048811818</v>
      </c>
      <c r="L917" s="5" t="str">
        <f>TEXT(SalesData[[#This Row],[Date]],"mmm")</f>
        <v>Jan</v>
      </c>
      <c r="M917">
        <f>YEAR(SalesData[[#This Row],[Date]])</f>
        <v>2023</v>
      </c>
      <c r="N917">
        <f>WEEKNUM(SalesData[[#This Row],[Date]])</f>
        <v>4</v>
      </c>
      <c r="O917" t="s">
        <v>2077</v>
      </c>
      <c r="P917" t="s">
        <v>2523</v>
      </c>
      <c r="Q917" t="s">
        <v>2527</v>
      </c>
    </row>
    <row r="918" spans="1:17" x14ac:dyDescent="0.35">
      <c r="A918" t="s">
        <v>640</v>
      </c>
      <c r="B918" s="3">
        <v>45190</v>
      </c>
      <c r="C918" t="s">
        <v>2022</v>
      </c>
      <c r="D918" t="s">
        <v>2024</v>
      </c>
      <c r="E918" s="8">
        <v>4156</v>
      </c>
      <c r="F918">
        <v>3</v>
      </c>
      <c r="G918">
        <v>15</v>
      </c>
      <c r="H918" s="8">
        <v>10597.8</v>
      </c>
      <c r="I918">
        <v>2740.7</v>
      </c>
      <c r="J918">
        <v>2375.71</v>
      </c>
      <c r="K918" s="5">
        <f>IF(SalesData[[#This Row],[Total Revenue]]=0,0,SalesData[[#This Row],[Profit]]/SalesData[[#This Row],[Total Revenue]])</f>
        <v>0.2241701107777086</v>
      </c>
      <c r="L918" s="5" t="str">
        <f>TEXT(SalesData[[#This Row],[Date]],"mmm")</f>
        <v>Sep</v>
      </c>
      <c r="M918">
        <f>YEAR(SalesData[[#This Row],[Date]])</f>
        <v>2023</v>
      </c>
      <c r="N918">
        <f>WEEKNUM(SalesData[[#This Row],[Date]])</f>
        <v>38</v>
      </c>
      <c r="O918" t="s">
        <v>2203</v>
      </c>
      <c r="P918" t="s">
        <v>2523</v>
      </c>
      <c r="Q918" t="s">
        <v>2524</v>
      </c>
    </row>
    <row r="919" spans="1:17" x14ac:dyDescent="0.35">
      <c r="A919" t="s">
        <v>648</v>
      </c>
      <c r="B919" s="3">
        <v>45099</v>
      </c>
      <c r="C919" t="s">
        <v>2014</v>
      </c>
      <c r="D919" t="s">
        <v>2024</v>
      </c>
      <c r="E919" s="8">
        <v>2789</v>
      </c>
      <c r="F919">
        <v>4</v>
      </c>
      <c r="G919">
        <v>5</v>
      </c>
      <c r="H919" s="8">
        <v>10598.2</v>
      </c>
      <c r="I919">
        <v>1548.51</v>
      </c>
      <c r="J919">
        <v>4404.16</v>
      </c>
      <c r="K919" s="5">
        <f>IF(SalesData[[#This Row],[Total Revenue]]=0,0,SalesData[[#This Row],[Profit]]/SalesData[[#This Row],[Total Revenue]])</f>
        <v>0.41555735879677674</v>
      </c>
      <c r="L919" s="5" t="str">
        <f>TEXT(SalesData[[#This Row],[Date]],"mmm")</f>
        <v>Jun</v>
      </c>
      <c r="M919">
        <f>YEAR(SalesData[[#This Row],[Date]])</f>
        <v>2023</v>
      </c>
      <c r="N919">
        <f>WEEKNUM(SalesData[[#This Row],[Date]])</f>
        <v>25</v>
      </c>
      <c r="O919" t="s">
        <v>2389</v>
      </c>
      <c r="P919" t="s">
        <v>2523</v>
      </c>
      <c r="Q919" t="s">
        <v>2526</v>
      </c>
    </row>
    <row r="920" spans="1:17" x14ac:dyDescent="0.35">
      <c r="A920" t="s">
        <v>857</v>
      </c>
      <c r="B920" s="3">
        <v>45052</v>
      </c>
      <c r="C920" t="s">
        <v>2013</v>
      </c>
      <c r="D920" t="s">
        <v>2023</v>
      </c>
      <c r="E920" s="8">
        <v>1559</v>
      </c>
      <c r="F920">
        <v>8</v>
      </c>
      <c r="G920">
        <v>15</v>
      </c>
      <c r="H920" s="8">
        <v>10601.2</v>
      </c>
      <c r="I920">
        <v>1156.17</v>
      </c>
      <c r="J920">
        <v>1351.83</v>
      </c>
      <c r="K920" s="5">
        <f>IF(SalesData[[#This Row],[Total Revenue]]=0,0,SalesData[[#This Row],[Profit]]/SalesData[[#This Row],[Total Revenue]])</f>
        <v>0.12751669622306908</v>
      </c>
      <c r="L920" s="5" t="str">
        <f>TEXT(SalesData[[#This Row],[Date]],"mmm")</f>
        <v>May</v>
      </c>
      <c r="M920">
        <f>YEAR(SalesData[[#This Row],[Date]])</f>
        <v>2023</v>
      </c>
      <c r="N920">
        <f>WEEKNUM(SalesData[[#This Row],[Date]])</f>
        <v>18</v>
      </c>
      <c r="O920" t="s">
        <v>2365</v>
      </c>
      <c r="P920" t="s">
        <v>2522</v>
      </c>
      <c r="Q920" t="s">
        <v>2526</v>
      </c>
    </row>
    <row r="921" spans="1:17" x14ac:dyDescent="0.35">
      <c r="A921" t="s">
        <v>1251</v>
      </c>
      <c r="B921" s="3">
        <v>44927</v>
      </c>
      <c r="C921" t="s">
        <v>2017</v>
      </c>
      <c r="D921" t="s">
        <v>2026</v>
      </c>
      <c r="E921" s="8">
        <v>2235</v>
      </c>
      <c r="F921">
        <v>5</v>
      </c>
      <c r="G921">
        <v>5</v>
      </c>
      <c r="H921" s="8">
        <v>10616.25</v>
      </c>
      <c r="I921">
        <v>1427.6</v>
      </c>
      <c r="J921">
        <v>3478.24</v>
      </c>
      <c r="K921" s="5">
        <f>IF(SalesData[[#This Row],[Total Revenue]]=0,0,SalesData[[#This Row],[Profit]]/SalesData[[#This Row],[Total Revenue]])</f>
        <v>0.32763358059578473</v>
      </c>
      <c r="L921" s="5" t="str">
        <f>TEXT(SalesData[[#This Row],[Date]],"mmm")</f>
        <v>Jan</v>
      </c>
      <c r="M921">
        <f>YEAR(SalesData[[#This Row],[Date]])</f>
        <v>2023</v>
      </c>
      <c r="N921">
        <f>WEEKNUM(SalesData[[#This Row],[Date]])</f>
        <v>1</v>
      </c>
      <c r="O921" t="s">
        <v>2264</v>
      </c>
      <c r="P921" t="s">
        <v>2522</v>
      </c>
      <c r="Q921" t="s">
        <v>2524</v>
      </c>
    </row>
    <row r="922" spans="1:17" x14ac:dyDescent="0.35">
      <c r="A922" t="s">
        <v>1462</v>
      </c>
      <c r="B922" s="3">
        <v>45028</v>
      </c>
      <c r="C922" t="s">
        <v>2018</v>
      </c>
      <c r="D922" t="s">
        <v>2026</v>
      </c>
      <c r="E922" s="8">
        <v>2498</v>
      </c>
      <c r="F922">
        <v>5</v>
      </c>
      <c r="G922">
        <v>15</v>
      </c>
      <c r="H922" s="8">
        <v>10616.5</v>
      </c>
      <c r="I922">
        <v>1264.05</v>
      </c>
      <c r="J922">
        <v>4296.26</v>
      </c>
      <c r="K922" s="5">
        <f>IF(SalesData[[#This Row],[Total Revenue]]=0,0,SalesData[[#This Row],[Profit]]/SalesData[[#This Row],[Total Revenue]])</f>
        <v>0.40467762445250322</v>
      </c>
      <c r="L922" s="5" t="str">
        <f>TEXT(SalesData[[#This Row],[Date]],"mmm")</f>
        <v>Apr</v>
      </c>
      <c r="M922">
        <f>YEAR(SalesData[[#This Row],[Date]])</f>
        <v>2023</v>
      </c>
      <c r="N922">
        <f>WEEKNUM(SalesData[[#This Row],[Date]])</f>
        <v>15</v>
      </c>
      <c r="O922" t="s">
        <v>2376</v>
      </c>
      <c r="P922" t="s">
        <v>2522</v>
      </c>
      <c r="Q922" t="s">
        <v>2525</v>
      </c>
    </row>
    <row r="923" spans="1:17" x14ac:dyDescent="0.35">
      <c r="A923" t="s">
        <v>1478</v>
      </c>
      <c r="B923" s="3">
        <v>45261</v>
      </c>
      <c r="C923" t="s">
        <v>2021</v>
      </c>
      <c r="D923" t="s">
        <v>2028</v>
      </c>
      <c r="E923" s="8">
        <v>3549</v>
      </c>
      <c r="F923">
        <v>3</v>
      </c>
      <c r="G923">
        <v>0</v>
      </c>
      <c r="H923" s="8">
        <v>10647</v>
      </c>
      <c r="I923">
        <v>2571.64</v>
      </c>
      <c r="J923">
        <v>2932.09</v>
      </c>
      <c r="K923" s="5">
        <f>IF(SalesData[[#This Row],[Total Revenue]]=0,0,SalesData[[#This Row],[Profit]]/SalesData[[#This Row],[Total Revenue]])</f>
        <v>0.27539119000657464</v>
      </c>
      <c r="L923" s="5" t="str">
        <f>TEXT(SalesData[[#This Row],[Date]],"mmm")</f>
        <v>Dec</v>
      </c>
      <c r="M923">
        <f>YEAR(SalesData[[#This Row],[Date]])</f>
        <v>2023</v>
      </c>
      <c r="N923">
        <f>WEEKNUM(SalesData[[#This Row],[Date]])</f>
        <v>48</v>
      </c>
      <c r="O923" t="s">
        <v>2316</v>
      </c>
      <c r="P923" t="s">
        <v>2522</v>
      </c>
      <c r="Q923" t="s">
        <v>2527</v>
      </c>
    </row>
    <row r="924" spans="1:17" x14ac:dyDescent="0.35">
      <c r="A924" t="s">
        <v>395</v>
      </c>
      <c r="B924" s="3">
        <v>45134</v>
      </c>
      <c r="C924" t="s">
        <v>2017</v>
      </c>
      <c r="D924" t="s">
        <v>2026</v>
      </c>
      <c r="E924" s="8">
        <v>2663</v>
      </c>
      <c r="F924">
        <v>4</v>
      </c>
      <c r="G924">
        <v>0</v>
      </c>
      <c r="H924" s="8">
        <v>10652</v>
      </c>
      <c r="I924">
        <v>1677.59</v>
      </c>
      <c r="J924">
        <v>3941.64</v>
      </c>
      <c r="K924" s="5">
        <f>IF(SalesData[[#This Row],[Total Revenue]]=0,0,SalesData[[#This Row],[Profit]]/SalesData[[#This Row],[Total Revenue]])</f>
        <v>0.37003755163349605</v>
      </c>
      <c r="L924" s="5" t="str">
        <f>TEXT(SalesData[[#This Row],[Date]],"mmm")</f>
        <v>Jul</v>
      </c>
      <c r="M924">
        <f>YEAR(SalesData[[#This Row],[Date]])</f>
        <v>2023</v>
      </c>
      <c r="N924">
        <f>WEEKNUM(SalesData[[#This Row],[Date]])</f>
        <v>30</v>
      </c>
      <c r="O924" t="s">
        <v>2295</v>
      </c>
      <c r="P924" t="s">
        <v>2523</v>
      </c>
      <c r="Q924" t="s">
        <v>2525</v>
      </c>
    </row>
    <row r="925" spans="1:17" x14ac:dyDescent="0.35">
      <c r="A925" t="s">
        <v>1491</v>
      </c>
      <c r="B925" s="3">
        <v>45073</v>
      </c>
      <c r="C925" t="s">
        <v>2020</v>
      </c>
      <c r="D925" t="s">
        <v>2028</v>
      </c>
      <c r="E925" s="8">
        <v>1694</v>
      </c>
      <c r="F925">
        <v>7</v>
      </c>
      <c r="G925">
        <v>10</v>
      </c>
      <c r="H925" s="8">
        <v>10672.2</v>
      </c>
      <c r="I925">
        <v>1037.0899999999999</v>
      </c>
      <c r="J925">
        <v>3412.58</v>
      </c>
      <c r="K925" s="5">
        <f>IF(SalesData[[#This Row],[Total Revenue]]=0,0,SalesData[[#This Row],[Profit]]/SalesData[[#This Row],[Total Revenue]])</f>
        <v>0.3197634976855756</v>
      </c>
      <c r="L925" s="5" t="str">
        <f>TEXT(SalesData[[#This Row],[Date]],"mmm")</f>
        <v>May</v>
      </c>
      <c r="M925">
        <f>YEAR(SalesData[[#This Row],[Date]])</f>
        <v>2023</v>
      </c>
      <c r="N925">
        <f>WEEKNUM(SalesData[[#This Row],[Date]])</f>
        <v>21</v>
      </c>
      <c r="O925" t="s">
        <v>2181</v>
      </c>
      <c r="P925" t="s">
        <v>2523</v>
      </c>
      <c r="Q925" t="s">
        <v>2524</v>
      </c>
    </row>
    <row r="926" spans="1:17" x14ac:dyDescent="0.35">
      <c r="A926" t="s">
        <v>887</v>
      </c>
      <c r="B926" s="3">
        <v>45056</v>
      </c>
      <c r="C926" t="s">
        <v>2016</v>
      </c>
      <c r="D926" t="s">
        <v>2025</v>
      </c>
      <c r="E926" s="8">
        <v>2971</v>
      </c>
      <c r="F926">
        <v>4</v>
      </c>
      <c r="G926">
        <v>10</v>
      </c>
      <c r="H926" s="8">
        <v>10695.6</v>
      </c>
      <c r="I926">
        <v>1926.99</v>
      </c>
      <c r="J926">
        <v>2987.64</v>
      </c>
      <c r="K926" s="5">
        <f>IF(SalesData[[#This Row],[Total Revenue]]=0,0,SalesData[[#This Row],[Profit]]/SalesData[[#This Row],[Total Revenue]])</f>
        <v>0.27933355772467183</v>
      </c>
      <c r="L926" s="5" t="str">
        <f>TEXT(SalesData[[#This Row],[Date]],"mmm")</f>
        <v>May</v>
      </c>
      <c r="M926">
        <f>YEAR(SalesData[[#This Row],[Date]])</f>
        <v>2023</v>
      </c>
      <c r="N926">
        <f>WEEKNUM(SalesData[[#This Row],[Date]])</f>
        <v>19</v>
      </c>
      <c r="O926" t="s">
        <v>2054</v>
      </c>
      <c r="P926" t="s">
        <v>2523</v>
      </c>
      <c r="Q926" t="s">
        <v>2525</v>
      </c>
    </row>
    <row r="927" spans="1:17" x14ac:dyDescent="0.35">
      <c r="A927" t="s">
        <v>877</v>
      </c>
      <c r="B927" s="3">
        <v>45104</v>
      </c>
      <c r="C927" t="s">
        <v>2022</v>
      </c>
      <c r="D927" t="s">
        <v>2024</v>
      </c>
      <c r="E927" s="8">
        <v>4199</v>
      </c>
      <c r="F927">
        <v>3</v>
      </c>
      <c r="G927">
        <v>15</v>
      </c>
      <c r="H927" s="8">
        <v>10707.45</v>
      </c>
      <c r="I927">
        <v>2147.38</v>
      </c>
      <c r="J927">
        <v>4265.32</v>
      </c>
      <c r="K927" s="5">
        <f>IF(SalesData[[#This Row],[Total Revenue]]=0,0,SalesData[[#This Row],[Profit]]/SalesData[[#This Row],[Total Revenue]])</f>
        <v>0.3983506810678546</v>
      </c>
      <c r="L927" s="5" t="str">
        <f>TEXT(SalesData[[#This Row],[Date]],"mmm")</f>
        <v>Jun</v>
      </c>
      <c r="M927">
        <f>YEAR(SalesData[[#This Row],[Date]])</f>
        <v>2023</v>
      </c>
      <c r="N927">
        <f>WEEKNUM(SalesData[[#This Row],[Date]])</f>
        <v>26</v>
      </c>
      <c r="O927" t="s">
        <v>2080</v>
      </c>
      <c r="P927" t="s">
        <v>2523</v>
      </c>
      <c r="Q927" t="s">
        <v>2524</v>
      </c>
    </row>
    <row r="928" spans="1:17" x14ac:dyDescent="0.35">
      <c r="A928" t="s">
        <v>586</v>
      </c>
      <c r="B928" s="3">
        <v>45192</v>
      </c>
      <c r="C928" t="s">
        <v>2018</v>
      </c>
      <c r="D928" t="s">
        <v>2026</v>
      </c>
      <c r="E928" s="8">
        <v>2681</v>
      </c>
      <c r="F928">
        <v>4</v>
      </c>
      <c r="G928">
        <v>0</v>
      </c>
      <c r="H928" s="8">
        <v>10724</v>
      </c>
      <c r="I928">
        <v>1362.07</v>
      </c>
      <c r="J928">
        <v>5275.73</v>
      </c>
      <c r="K928" s="5">
        <f>IF(SalesData[[#This Row],[Total Revenue]]=0,0,SalesData[[#This Row],[Profit]]/SalesData[[#This Row],[Total Revenue]])</f>
        <v>0.49195542707944795</v>
      </c>
      <c r="L928" s="5" t="str">
        <f>TEXT(SalesData[[#This Row],[Date]],"mmm")</f>
        <v>Sep</v>
      </c>
      <c r="M928">
        <f>YEAR(SalesData[[#This Row],[Date]])</f>
        <v>2023</v>
      </c>
      <c r="N928">
        <f>WEEKNUM(SalesData[[#This Row],[Date]])</f>
        <v>38</v>
      </c>
      <c r="O928" t="s">
        <v>2365</v>
      </c>
      <c r="P928" t="s">
        <v>2522</v>
      </c>
      <c r="Q928" t="s">
        <v>2526</v>
      </c>
    </row>
    <row r="929" spans="1:17" x14ac:dyDescent="0.35">
      <c r="A929" t="s">
        <v>566</v>
      </c>
      <c r="B929" s="3">
        <v>45190</v>
      </c>
      <c r="C929" t="s">
        <v>2015</v>
      </c>
      <c r="D929" t="s">
        <v>2025</v>
      </c>
      <c r="E929" s="8">
        <v>1342</v>
      </c>
      <c r="F929">
        <v>8</v>
      </c>
      <c r="G929">
        <v>0</v>
      </c>
      <c r="H929" s="8">
        <v>10736</v>
      </c>
      <c r="I929">
        <v>889.45</v>
      </c>
      <c r="J929">
        <v>3620.4</v>
      </c>
      <c r="K929" s="5">
        <f>IF(SalesData[[#This Row],[Total Revenue]]=0,0,SalesData[[#This Row],[Profit]]/SalesData[[#This Row],[Total Revenue]])</f>
        <v>0.337220566318927</v>
      </c>
      <c r="L929" s="5" t="str">
        <f>TEXT(SalesData[[#This Row],[Date]],"mmm")</f>
        <v>Sep</v>
      </c>
      <c r="M929">
        <f>YEAR(SalesData[[#This Row],[Date]])</f>
        <v>2023</v>
      </c>
      <c r="N929">
        <f>WEEKNUM(SalesData[[#This Row],[Date]])</f>
        <v>38</v>
      </c>
      <c r="O929" t="s">
        <v>2264</v>
      </c>
      <c r="P929" t="s">
        <v>2523</v>
      </c>
      <c r="Q929" t="s">
        <v>2527</v>
      </c>
    </row>
    <row r="930" spans="1:17" x14ac:dyDescent="0.35">
      <c r="A930" t="s">
        <v>1379</v>
      </c>
      <c r="B930" s="3">
        <v>45134</v>
      </c>
      <c r="C930" t="s">
        <v>2014</v>
      </c>
      <c r="D930" t="s">
        <v>2024</v>
      </c>
      <c r="E930" s="8">
        <v>1493</v>
      </c>
      <c r="F930">
        <v>8</v>
      </c>
      <c r="G930">
        <v>10</v>
      </c>
      <c r="H930" s="8">
        <v>10749.6</v>
      </c>
      <c r="I930">
        <v>1075.47</v>
      </c>
      <c r="J930">
        <v>2145.8200000000002</v>
      </c>
      <c r="K930" s="5">
        <f>IF(SalesData[[#This Row],[Total Revenue]]=0,0,SalesData[[#This Row],[Profit]]/SalesData[[#This Row],[Total Revenue]])</f>
        <v>0.19961859045917987</v>
      </c>
      <c r="L930" s="5" t="str">
        <f>TEXT(SalesData[[#This Row],[Date]],"mmm")</f>
        <v>Jul</v>
      </c>
      <c r="M930">
        <f>YEAR(SalesData[[#This Row],[Date]])</f>
        <v>2023</v>
      </c>
      <c r="N930">
        <f>WEEKNUM(SalesData[[#This Row],[Date]])</f>
        <v>30</v>
      </c>
      <c r="O930" t="s">
        <v>2227</v>
      </c>
      <c r="P930" t="s">
        <v>2522</v>
      </c>
      <c r="Q930" t="s">
        <v>2525</v>
      </c>
    </row>
    <row r="931" spans="1:17" x14ac:dyDescent="0.35">
      <c r="A931" t="s">
        <v>1774</v>
      </c>
      <c r="B931" s="3">
        <v>45217</v>
      </c>
      <c r="C931" t="s">
        <v>2018</v>
      </c>
      <c r="D931" t="s">
        <v>2026</v>
      </c>
      <c r="E931" s="8">
        <v>2988</v>
      </c>
      <c r="F931">
        <v>4</v>
      </c>
      <c r="G931">
        <v>10</v>
      </c>
      <c r="H931" s="8">
        <v>10756.8</v>
      </c>
      <c r="I931">
        <v>1724.42</v>
      </c>
      <c r="J931">
        <v>3859.12</v>
      </c>
      <c r="K931" s="5">
        <f>IF(SalesData[[#This Row],[Total Revenue]]=0,0,SalesData[[#This Row],[Profit]]/SalesData[[#This Row],[Total Revenue]])</f>
        <v>0.35876096980514655</v>
      </c>
      <c r="L931" s="5" t="str">
        <f>TEXT(SalesData[[#This Row],[Date]],"mmm")</f>
        <v>Oct</v>
      </c>
      <c r="M931">
        <f>YEAR(SalesData[[#This Row],[Date]])</f>
        <v>2023</v>
      </c>
      <c r="N931">
        <f>WEEKNUM(SalesData[[#This Row],[Date]])</f>
        <v>42</v>
      </c>
      <c r="O931" t="s">
        <v>2472</v>
      </c>
      <c r="P931" t="s">
        <v>2522</v>
      </c>
      <c r="Q931" t="s">
        <v>2525</v>
      </c>
    </row>
    <row r="932" spans="1:17" x14ac:dyDescent="0.35">
      <c r="A932" t="s">
        <v>272</v>
      </c>
      <c r="B932" s="3">
        <v>45026</v>
      </c>
      <c r="C932" t="s">
        <v>2015</v>
      </c>
      <c r="D932" t="s">
        <v>2025</v>
      </c>
      <c r="E932" s="8">
        <v>1495</v>
      </c>
      <c r="F932">
        <v>8</v>
      </c>
      <c r="G932">
        <v>10</v>
      </c>
      <c r="H932" s="8">
        <v>10764</v>
      </c>
      <c r="I932">
        <v>853.24</v>
      </c>
      <c r="J932">
        <v>3938.05</v>
      </c>
      <c r="K932" s="5">
        <f>IF(SalesData[[#This Row],[Total Revenue]]=0,0,SalesData[[#This Row],[Profit]]/SalesData[[#This Row],[Total Revenue]])</f>
        <v>0.36585377183203271</v>
      </c>
      <c r="L932" s="5" t="str">
        <f>TEXT(SalesData[[#This Row],[Date]],"mmm")</f>
        <v>Apr</v>
      </c>
      <c r="M932">
        <f>YEAR(SalesData[[#This Row],[Date]])</f>
        <v>2023</v>
      </c>
      <c r="N932">
        <f>WEEKNUM(SalesData[[#This Row],[Date]])</f>
        <v>15</v>
      </c>
      <c r="O932" t="s">
        <v>2232</v>
      </c>
      <c r="P932" t="s">
        <v>2523</v>
      </c>
      <c r="Q932" t="s">
        <v>2524</v>
      </c>
    </row>
    <row r="933" spans="1:17" x14ac:dyDescent="0.35">
      <c r="A933" t="s">
        <v>131</v>
      </c>
      <c r="B933" s="3">
        <v>45173</v>
      </c>
      <c r="C933" t="s">
        <v>2013</v>
      </c>
      <c r="D933" t="s">
        <v>2023</v>
      </c>
      <c r="E933" s="8">
        <v>1710</v>
      </c>
      <c r="F933">
        <v>7</v>
      </c>
      <c r="G933">
        <v>10</v>
      </c>
      <c r="H933" s="8">
        <v>10773</v>
      </c>
      <c r="I933">
        <v>1209.49</v>
      </c>
      <c r="J933">
        <v>2306.6</v>
      </c>
      <c r="K933" s="5">
        <f>IF(SalesData[[#This Row],[Total Revenue]]=0,0,SalesData[[#This Row],[Profit]]/SalesData[[#This Row],[Total Revenue]])</f>
        <v>0.21410934744268076</v>
      </c>
      <c r="L933" s="5" t="str">
        <f>TEXT(SalesData[[#This Row],[Date]],"mmm")</f>
        <v>Sep</v>
      </c>
      <c r="M933">
        <f>YEAR(SalesData[[#This Row],[Date]])</f>
        <v>2023</v>
      </c>
      <c r="N933">
        <f>WEEKNUM(SalesData[[#This Row],[Date]])</f>
        <v>36</v>
      </c>
      <c r="O933" t="s">
        <v>2134</v>
      </c>
      <c r="P933" t="s">
        <v>2522</v>
      </c>
      <c r="Q933" t="s">
        <v>2526</v>
      </c>
    </row>
    <row r="934" spans="1:17" x14ac:dyDescent="0.35">
      <c r="A934" t="s">
        <v>278</v>
      </c>
      <c r="B934" s="3">
        <v>45091</v>
      </c>
      <c r="C934" t="s">
        <v>2022</v>
      </c>
      <c r="D934" t="s">
        <v>2024</v>
      </c>
      <c r="E934" s="8">
        <v>1999</v>
      </c>
      <c r="F934">
        <v>6</v>
      </c>
      <c r="G934">
        <v>10</v>
      </c>
      <c r="H934" s="8">
        <v>10794.6</v>
      </c>
      <c r="I934">
        <v>1267.3599999999999</v>
      </c>
      <c r="J934">
        <v>3190.42</v>
      </c>
      <c r="K934" s="5">
        <f>IF(SalesData[[#This Row],[Total Revenue]]=0,0,SalesData[[#This Row],[Profit]]/SalesData[[#This Row],[Total Revenue]])</f>
        <v>0.29555703777814835</v>
      </c>
      <c r="L934" s="5" t="str">
        <f>TEXT(SalesData[[#This Row],[Date]],"mmm")</f>
        <v>Jun</v>
      </c>
      <c r="M934">
        <f>YEAR(SalesData[[#This Row],[Date]])</f>
        <v>2023</v>
      </c>
      <c r="N934">
        <f>WEEKNUM(SalesData[[#This Row],[Date]])</f>
        <v>24</v>
      </c>
      <c r="O934" t="s">
        <v>2058</v>
      </c>
      <c r="P934" t="s">
        <v>2522</v>
      </c>
      <c r="Q934" t="s">
        <v>2527</v>
      </c>
    </row>
    <row r="935" spans="1:17" x14ac:dyDescent="0.35">
      <c r="A935" t="s">
        <v>499</v>
      </c>
      <c r="B935" s="3">
        <v>44974</v>
      </c>
      <c r="C935" t="s">
        <v>2016</v>
      </c>
      <c r="D935" t="s">
        <v>2025</v>
      </c>
      <c r="E935" s="8">
        <v>2541</v>
      </c>
      <c r="F935">
        <v>5</v>
      </c>
      <c r="G935">
        <v>15</v>
      </c>
      <c r="H935" s="8">
        <v>10799.25</v>
      </c>
      <c r="I935">
        <v>1887.5</v>
      </c>
      <c r="J935">
        <v>1361.75</v>
      </c>
      <c r="K935" s="5">
        <f>IF(SalesData[[#This Row],[Total Revenue]]=0,0,SalesData[[#This Row],[Profit]]/SalesData[[#This Row],[Total Revenue]])</f>
        <v>0.12609671967960737</v>
      </c>
      <c r="L935" s="5" t="str">
        <f>TEXT(SalesData[[#This Row],[Date]],"mmm")</f>
        <v>Feb</v>
      </c>
      <c r="M935">
        <f>YEAR(SalesData[[#This Row],[Date]])</f>
        <v>2023</v>
      </c>
      <c r="N935">
        <f>WEEKNUM(SalesData[[#This Row],[Date]])</f>
        <v>7</v>
      </c>
      <c r="O935" t="s">
        <v>2336</v>
      </c>
      <c r="P935" t="s">
        <v>2523</v>
      </c>
      <c r="Q935" t="s">
        <v>2525</v>
      </c>
    </row>
    <row r="936" spans="1:17" x14ac:dyDescent="0.35">
      <c r="A936" t="s">
        <v>1049</v>
      </c>
      <c r="B936" s="3">
        <v>45123</v>
      </c>
      <c r="C936" t="s">
        <v>2021</v>
      </c>
      <c r="D936" t="s">
        <v>2028</v>
      </c>
      <c r="E936" s="8">
        <v>3181</v>
      </c>
      <c r="F936">
        <v>4</v>
      </c>
      <c r="G936">
        <v>15</v>
      </c>
      <c r="H936" s="8">
        <v>10815.4</v>
      </c>
      <c r="I936">
        <v>2433.4</v>
      </c>
      <c r="J936">
        <v>1081.8</v>
      </c>
      <c r="K936" s="5">
        <f>IF(SalesData[[#This Row],[Total Revenue]]=0,0,SalesData[[#This Row],[Profit]]/SalesData[[#This Row],[Total Revenue]])</f>
        <v>0.10002403979510698</v>
      </c>
      <c r="L936" s="5" t="str">
        <f>TEXT(SalesData[[#This Row],[Date]],"mmm")</f>
        <v>Jul</v>
      </c>
      <c r="M936">
        <f>YEAR(SalesData[[#This Row],[Date]])</f>
        <v>2023</v>
      </c>
      <c r="N936">
        <f>WEEKNUM(SalesData[[#This Row],[Date]])</f>
        <v>29</v>
      </c>
      <c r="O936" t="s">
        <v>2408</v>
      </c>
      <c r="P936" t="s">
        <v>2523</v>
      </c>
      <c r="Q936" t="s">
        <v>2527</v>
      </c>
    </row>
    <row r="937" spans="1:17" x14ac:dyDescent="0.35">
      <c r="A937" t="s">
        <v>1065</v>
      </c>
      <c r="B937" s="3">
        <v>45015</v>
      </c>
      <c r="C937" t="s">
        <v>2013</v>
      </c>
      <c r="D937" t="s">
        <v>2023</v>
      </c>
      <c r="E937" s="8">
        <v>2279</v>
      </c>
      <c r="F937">
        <v>5</v>
      </c>
      <c r="G937">
        <v>5</v>
      </c>
      <c r="H937" s="8">
        <v>10825.25</v>
      </c>
      <c r="I937">
        <v>1611.03</v>
      </c>
      <c r="J937">
        <v>2770.09</v>
      </c>
      <c r="K937" s="5">
        <f>IF(SalesData[[#This Row],[Total Revenue]]=0,0,SalesData[[#This Row],[Profit]]/SalesData[[#This Row],[Total Revenue]])</f>
        <v>0.2558915498487333</v>
      </c>
      <c r="L937" s="5" t="str">
        <f>TEXT(SalesData[[#This Row],[Date]],"mmm")</f>
        <v>Mar</v>
      </c>
      <c r="M937">
        <f>YEAR(SalesData[[#This Row],[Date]])</f>
        <v>2023</v>
      </c>
      <c r="N937">
        <f>WEEKNUM(SalesData[[#This Row],[Date]])</f>
        <v>13</v>
      </c>
      <c r="O937" t="s">
        <v>2360</v>
      </c>
      <c r="P937" t="s">
        <v>2522</v>
      </c>
      <c r="Q937" t="s">
        <v>2526</v>
      </c>
    </row>
    <row r="938" spans="1:17" x14ac:dyDescent="0.35">
      <c r="A938" t="s">
        <v>1170</v>
      </c>
      <c r="B938" s="3">
        <v>45020</v>
      </c>
      <c r="C938" t="s">
        <v>2017</v>
      </c>
      <c r="D938" t="s">
        <v>2026</v>
      </c>
      <c r="E938" s="8">
        <v>1427</v>
      </c>
      <c r="F938">
        <v>8</v>
      </c>
      <c r="G938">
        <v>5</v>
      </c>
      <c r="H938" s="8">
        <v>10845.2</v>
      </c>
      <c r="I938">
        <v>872.23</v>
      </c>
      <c r="J938">
        <v>3867.4</v>
      </c>
      <c r="K938" s="5">
        <f>IF(SalesData[[#This Row],[Total Revenue]]=0,0,SalesData[[#This Row],[Profit]]/SalesData[[#This Row],[Total Revenue]])</f>
        <v>0.35660015490724006</v>
      </c>
      <c r="L938" s="5" t="str">
        <f>TEXT(SalesData[[#This Row],[Date]],"mmm")</f>
        <v>Apr</v>
      </c>
      <c r="M938">
        <f>YEAR(SalesData[[#This Row],[Date]])</f>
        <v>2023</v>
      </c>
      <c r="N938">
        <f>WEEKNUM(SalesData[[#This Row],[Date]])</f>
        <v>14</v>
      </c>
      <c r="O938" t="s">
        <v>2383</v>
      </c>
      <c r="P938" t="s">
        <v>2522</v>
      </c>
      <c r="Q938" t="s">
        <v>2526</v>
      </c>
    </row>
    <row r="939" spans="1:17" x14ac:dyDescent="0.35">
      <c r="A939" t="s">
        <v>1319</v>
      </c>
      <c r="B939" s="3">
        <v>45270</v>
      </c>
      <c r="C939" t="s">
        <v>2016</v>
      </c>
      <c r="D939" t="s">
        <v>2025</v>
      </c>
      <c r="E939" s="8">
        <v>1906</v>
      </c>
      <c r="F939">
        <v>6</v>
      </c>
      <c r="G939">
        <v>5</v>
      </c>
      <c r="H939" s="8">
        <v>10864.2</v>
      </c>
      <c r="I939">
        <v>1207.55</v>
      </c>
      <c r="J939">
        <v>3618.91</v>
      </c>
      <c r="K939" s="5">
        <f>IF(SalesData[[#This Row],[Total Revenue]]=0,0,SalesData[[#This Row],[Profit]]/SalesData[[#This Row],[Total Revenue]])</f>
        <v>0.33310414020360446</v>
      </c>
      <c r="L939" s="5" t="str">
        <f>TEXT(SalesData[[#This Row],[Date]],"mmm")</f>
        <v>Dec</v>
      </c>
      <c r="M939">
        <f>YEAR(SalesData[[#This Row],[Date]])</f>
        <v>2023</v>
      </c>
      <c r="N939">
        <f>WEEKNUM(SalesData[[#This Row],[Date]])</f>
        <v>50</v>
      </c>
      <c r="O939" t="s">
        <v>2119</v>
      </c>
      <c r="P939" t="s">
        <v>2522</v>
      </c>
      <c r="Q939" t="s">
        <v>2527</v>
      </c>
    </row>
    <row r="940" spans="1:17" x14ac:dyDescent="0.35">
      <c r="A940" t="s">
        <v>1866</v>
      </c>
      <c r="B940" s="3">
        <v>45228</v>
      </c>
      <c r="C940" t="s">
        <v>2022</v>
      </c>
      <c r="D940" t="s">
        <v>2024</v>
      </c>
      <c r="E940" s="8">
        <v>2718</v>
      </c>
      <c r="F940">
        <v>4</v>
      </c>
      <c r="G940">
        <v>0</v>
      </c>
      <c r="H940" s="8">
        <v>10872</v>
      </c>
      <c r="I940">
        <v>2102.1999999999998</v>
      </c>
      <c r="J940">
        <v>2463.21</v>
      </c>
      <c r="K940" s="5">
        <f>IF(SalesData[[#This Row],[Total Revenue]]=0,0,SalesData[[#This Row],[Profit]]/SalesData[[#This Row],[Total Revenue]])</f>
        <v>0.22656456953642384</v>
      </c>
      <c r="L940" s="5" t="str">
        <f>TEXT(SalesData[[#This Row],[Date]],"mmm")</f>
        <v>Oct</v>
      </c>
      <c r="M940">
        <f>YEAR(SalesData[[#This Row],[Date]])</f>
        <v>2023</v>
      </c>
      <c r="N940">
        <f>WEEKNUM(SalesData[[#This Row],[Date]])</f>
        <v>44</v>
      </c>
      <c r="O940" t="s">
        <v>2108</v>
      </c>
      <c r="P940" t="s">
        <v>2522</v>
      </c>
      <c r="Q940" t="s">
        <v>2524</v>
      </c>
    </row>
    <row r="941" spans="1:17" x14ac:dyDescent="0.35">
      <c r="A941" t="s">
        <v>1727</v>
      </c>
      <c r="B941" s="3">
        <v>44936</v>
      </c>
      <c r="C941" t="s">
        <v>2014</v>
      </c>
      <c r="D941" t="s">
        <v>2024</v>
      </c>
      <c r="E941" s="8">
        <v>1208</v>
      </c>
      <c r="F941">
        <v>10</v>
      </c>
      <c r="G941">
        <v>10</v>
      </c>
      <c r="H941" s="8">
        <v>10872</v>
      </c>
      <c r="I941">
        <v>810.59</v>
      </c>
      <c r="J941">
        <v>2766.14</v>
      </c>
      <c r="K941" s="5">
        <f>IF(SalesData[[#This Row],[Total Revenue]]=0,0,SalesData[[#This Row],[Profit]]/SalesData[[#This Row],[Total Revenue]])</f>
        <v>0.25442788815305373</v>
      </c>
      <c r="L941" s="5" t="str">
        <f>TEXT(SalesData[[#This Row],[Date]],"mmm")</f>
        <v>Jan</v>
      </c>
      <c r="M941">
        <f>YEAR(SalesData[[#This Row],[Date]])</f>
        <v>2023</v>
      </c>
      <c r="N941">
        <f>WEEKNUM(SalesData[[#This Row],[Date]])</f>
        <v>2</v>
      </c>
      <c r="O941" t="s">
        <v>2335</v>
      </c>
      <c r="P941" t="s">
        <v>2522</v>
      </c>
      <c r="Q941" t="s">
        <v>2525</v>
      </c>
    </row>
    <row r="942" spans="1:17" x14ac:dyDescent="0.35">
      <c r="A942" t="s">
        <v>1321</v>
      </c>
      <c r="B942" s="3">
        <v>45178</v>
      </c>
      <c r="C942" t="s">
        <v>2017</v>
      </c>
      <c r="D942" t="s">
        <v>2026</v>
      </c>
      <c r="E942" s="8">
        <v>2022</v>
      </c>
      <c r="F942">
        <v>6</v>
      </c>
      <c r="G942">
        <v>10</v>
      </c>
      <c r="H942" s="8">
        <v>10918.8</v>
      </c>
      <c r="I942">
        <v>1255.6400000000001</v>
      </c>
      <c r="J942">
        <v>3384.96</v>
      </c>
      <c r="K942" s="5">
        <f>IF(SalesData[[#This Row],[Total Revenue]]=0,0,SalesData[[#This Row],[Profit]]/SalesData[[#This Row],[Total Revenue]])</f>
        <v>0.31001208924057594</v>
      </c>
      <c r="L942" s="5" t="str">
        <f>TEXT(SalesData[[#This Row],[Date]],"mmm")</f>
        <v>Sep</v>
      </c>
      <c r="M942">
        <f>YEAR(SalesData[[#This Row],[Date]])</f>
        <v>2023</v>
      </c>
      <c r="N942">
        <f>WEEKNUM(SalesData[[#This Row],[Date]])</f>
        <v>36</v>
      </c>
      <c r="O942" t="s">
        <v>2432</v>
      </c>
      <c r="P942" t="s">
        <v>2522</v>
      </c>
      <c r="Q942" t="s">
        <v>2526</v>
      </c>
    </row>
    <row r="943" spans="1:17" x14ac:dyDescent="0.35">
      <c r="A943" t="s">
        <v>1023</v>
      </c>
      <c r="B943" s="3">
        <v>45093</v>
      </c>
      <c r="C943" t="s">
        <v>2015</v>
      </c>
      <c r="D943" t="s">
        <v>2025</v>
      </c>
      <c r="E943" s="8">
        <v>3036</v>
      </c>
      <c r="F943">
        <v>4</v>
      </c>
      <c r="G943">
        <v>10</v>
      </c>
      <c r="H943" s="8">
        <v>10929.6</v>
      </c>
      <c r="I943">
        <v>1668.77</v>
      </c>
      <c r="J943">
        <v>4254.51</v>
      </c>
      <c r="K943" s="5">
        <f>IF(SalesData[[#This Row],[Total Revenue]]=0,0,SalesData[[#This Row],[Profit]]/SalesData[[#This Row],[Total Revenue]])</f>
        <v>0.3892649319279754</v>
      </c>
      <c r="L943" s="5" t="str">
        <f>TEXT(SalesData[[#This Row],[Date]],"mmm")</f>
        <v>Jun</v>
      </c>
      <c r="M943">
        <f>YEAR(SalesData[[#This Row],[Date]])</f>
        <v>2023</v>
      </c>
      <c r="N943">
        <f>WEEKNUM(SalesData[[#This Row],[Date]])</f>
        <v>24</v>
      </c>
      <c r="O943" t="s">
        <v>2454</v>
      </c>
      <c r="P943" t="s">
        <v>2522</v>
      </c>
      <c r="Q943" t="s">
        <v>2527</v>
      </c>
    </row>
    <row r="944" spans="1:17" x14ac:dyDescent="0.35">
      <c r="A944" t="s">
        <v>298</v>
      </c>
      <c r="B944" s="3">
        <v>45197</v>
      </c>
      <c r="C944" t="s">
        <v>2013</v>
      </c>
      <c r="D944" t="s">
        <v>2023</v>
      </c>
      <c r="E944" s="8">
        <v>3835</v>
      </c>
      <c r="F944">
        <v>3</v>
      </c>
      <c r="G944">
        <v>5</v>
      </c>
      <c r="H944" s="8">
        <v>10929.75</v>
      </c>
      <c r="I944">
        <v>2924.97</v>
      </c>
      <c r="J944">
        <v>2154.83</v>
      </c>
      <c r="K944" s="5">
        <f>IF(SalesData[[#This Row],[Total Revenue]]=0,0,SalesData[[#This Row],[Profit]]/SalesData[[#This Row],[Total Revenue]])</f>
        <v>0.19715272535968342</v>
      </c>
      <c r="L944" s="5" t="str">
        <f>TEXT(SalesData[[#This Row],[Date]],"mmm")</f>
        <v>Sep</v>
      </c>
      <c r="M944">
        <f>YEAR(SalesData[[#This Row],[Date]])</f>
        <v>2023</v>
      </c>
      <c r="N944">
        <f>WEEKNUM(SalesData[[#This Row],[Date]])</f>
        <v>39</v>
      </c>
      <c r="O944" t="s">
        <v>2214</v>
      </c>
      <c r="P944" t="s">
        <v>2523</v>
      </c>
      <c r="Q944" t="s">
        <v>2525</v>
      </c>
    </row>
    <row r="945" spans="1:17" x14ac:dyDescent="0.35">
      <c r="A945" t="s">
        <v>444</v>
      </c>
      <c r="B945" s="3">
        <v>45027</v>
      </c>
      <c r="C945" t="s">
        <v>2015</v>
      </c>
      <c r="D945" t="s">
        <v>2025</v>
      </c>
      <c r="E945" s="8">
        <v>2025</v>
      </c>
      <c r="F945">
        <v>6</v>
      </c>
      <c r="G945">
        <v>10</v>
      </c>
      <c r="H945" s="8">
        <v>10935</v>
      </c>
      <c r="I945">
        <v>1326.03</v>
      </c>
      <c r="J945">
        <v>2978.82</v>
      </c>
      <c r="K945" s="5">
        <f>IF(SalesData[[#This Row],[Total Revenue]]=0,0,SalesData[[#This Row],[Profit]]/SalesData[[#This Row],[Total Revenue]])</f>
        <v>0.27241152263374485</v>
      </c>
      <c r="L945" s="5" t="str">
        <f>TEXT(SalesData[[#This Row],[Date]],"mmm")</f>
        <v>Apr</v>
      </c>
      <c r="M945">
        <f>YEAR(SalesData[[#This Row],[Date]])</f>
        <v>2023</v>
      </c>
      <c r="N945">
        <f>WEEKNUM(SalesData[[#This Row],[Date]])</f>
        <v>15</v>
      </c>
      <c r="O945" t="s">
        <v>2150</v>
      </c>
      <c r="P945" t="s">
        <v>2523</v>
      </c>
      <c r="Q945" t="s">
        <v>2526</v>
      </c>
    </row>
    <row r="946" spans="1:17" x14ac:dyDescent="0.35">
      <c r="A946" t="s">
        <v>1868</v>
      </c>
      <c r="B946" s="3">
        <v>45203</v>
      </c>
      <c r="C946" t="s">
        <v>2015</v>
      </c>
      <c r="D946" t="s">
        <v>2025</v>
      </c>
      <c r="E946" s="8">
        <v>3218</v>
      </c>
      <c r="F946">
        <v>4</v>
      </c>
      <c r="G946">
        <v>15</v>
      </c>
      <c r="H946" s="8">
        <v>10941.2</v>
      </c>
      <c r="I946">
        <v>2435.89</v>
      </c>
      <c r="J946">
        <v>1197.6400000000001</v>
      </c>
      <c r="K946" s="5">
        <f>IF(SalesData[[#This Row],[Total Revenue]]=0,0,SalesData[[#This Row],[Profit]]/SalesData[[#This Row],[Total Revenue]])</f>
        <v>0.10946148502906446</v>
      </c>
      <c r="L946" s="5" t="str">
        <f>TEXT(SalesData[[#This Row],[Date]],"mmm")</f>
        <v>Oct</v>
      </c>
      <c r="M946">
        <f>YEAR(SalesData[[#This Row],[Date]])</f>
        <v>2023</v>
      </c>
      <c r="N946">
        <f>WEEKNUM(SalesData[[#This Row],[Date]])</f>
        <v>40</v>
      </c>
      <c r="O946" t="s">
        <v>2402</v>
      </c>
      <c r="P946" t="s">
        <v>2522</v>
      </c>
      <c r="Q946" t="s">
        <v>2526</v>
      </c>
    </row>
    <row r="947" spans="1:17" x14ac:dyDescent="0.35">
      <c r="A947" t="s">
        <v>1590</v>
      </c>
      <c r="B947" s="3">
        <v>45269</v>
      </c>
      <c r="C947" t="s">
        <v>2022</v>
      </c>
      <c r="D947" t="s">
        <v>2024</v>
      </c>
      <c r="E947" s="8">
        <v>1921</v>
      </c>
      <c r="F947">
        <v>6</v>
      </c>
      <c r="G947">
        <v>5</v>
      </c>
      <c r="H947" s="8">
        <v>10949.7</v>
      </c>
      <c r="I947">
        <v>1476.62</v>
      </c>
      <c r="J947">
        <v>2089.9899999999998</v>
      </c>
      <c r="K947" s="5">
        <f>IF(SalesData[[#This Row],[Total Revenue]]=0,0,SalesData[[#This Row],[Profit]]/SalesData[[#This Row],[Total Revenue]])</f>
        <v>0.19087189603368127</v>
      </c>
      <c r="L947" s="5" t="str">
        <f>TEXT(SalesData[[#This Row],[Date]],"mmm")</f>
        <v>Dec</v>
      </c>
      <c r="M947">
        <f>YEAR(SalesData[[#This Row],[Date]])</f>
        <v>2023</v>
      </c>
      <c r="N947">
        <f>WEEKNUM(SalesData[[#This Row],[Date]])</f>
        <v>49</v>
      </c>
      <c r="O947" t="s">
        <v>2242</v>
      </c>
      <c r="P947" t="s">
        <v>2523</v>
      </c>
      <c r="Q947" t="s">
        <v>2527</v>
      </c>
    </row>
    <row r="948" spans="1:17" x14ac:dyDescent="0.35">
      <c r="A948" t="s">
        <v>642</v>
      </c>
      <c r="B948" s="3">
        <v>45101</v>
      </c>
      <c r="C948" t="s">
        <v>2020</v>
      </c>
      <c r="D948" t="s">
        <v>2028</v>
      </c>
      <c r="E948" s="8">
        <v>1446</v>
      </c>
      <c r="F948">
        <v>8</v>
      </c>
      <c r="G948">
        <v>5</v>
      </c>
      <c r="H948" s="8">
        <v>10989.6</v>
      </c>
      <c r="I948">
        <v>816.95</v>
      </c>
      <c r="J948">
        <v>4454</v>
      </c>
      <c r="K948" s="5">
        <f>IF(SalesData[[#This Row],[Total Revenue]]=0,0,SalesData[[#This Row],[Profit]]/SalesData[[#This Row],[Total Revenue]])</f>
        <v>0.40529227633398851</v>
      </c>
      <c r="L948" s="5" t="str">
        <f>TEXT(SalesData[[#This Row],[Date]],"mmm")</f>
        <v>Jun</v>
      </c>
      <c r="M948">
        <f>YEAR(SalesData[[#This Row],[Date]])</f>
        <v>2023</v>
      </c>
      <c r="N948">
        <f>WEEKNUM(SalesData[[#This Row],[Date]])</f>
        <v>25</v>
      </c>
      <c r="O948" t="s">
        <v>2352</v>
      </c>
      <c r="P948" t="s">
        <v>2522</v>
      </c>
      <c r="Q948" t="s">
        <v>2524</v>
      </c>
    </row>
    <row r="949" spans="1:17" x14ac:dyDescent="0.35">
      <c r="A949" t="s">
        <v>1858</v>
      </c>
      <c r="B949" s="3">
        <v>45271</v>
      </c>
      <c r="C949" t="s">
        <v>2018</v>
      </c>
      <c r="D949" t="s">
        <v>2026</v>
      </c>
      <c r="E949" s="8">
        <v>1448</v>
      </c>
      <c r="F949">
        <v>8</v>
      </c>
      <c r="G949">
        <v>5</v>
      </c>
      <c r="H949" s="8">
        <v>11004.8</v>
      </c>
      <c r="I949">
        <v>737.4</v>
      </c>
      <c r="J949">
        <v>5105.58</v>
      </c>
      <c r="K949" s="5">
        <f>IF(SalesData[[#This Row],[Total Revenue]]=0,0,SalesData[[#This Row],[Profit]]/SalesData[[#This Row],[Total Revenue]])</f>
        <v>0.46394118929921491</v>
      </c>
      <c r="L949" s="5" t="str">
        <f>TEXT(SalesData[[#This Row],[Date]],"mmm")</f>
        <v>Dec</v>
      </c>
      <c r="M949">
        <f>YEAR(SalesData[[#This Row],[Date]])</f>
        <v>2023</v>
      </c>
      <c r="N949">
        <f>WEEKNUM(SalesData[[#This Row],[Date]])</f>
        <v>50</v>
      </c>
      <c r="O949" t="s">
        <v>2458</v>
      </c>
      <c r="P949" t="s">
        <v>2522</v>
      </c>
      <c r="Q949" t="s">
        <v>2524</v>
      </c>
    </row>
    <row r="950" spans="1:17" x14ac:dyDescent="0.35">
      <c r="A950" t="s">
        <v>1444</v>
      </c>
      <c r="B950" s="3">
        <v>45232</v>
      </c>
      <c r="C950" t="s">
        <v>2019</v>
      </c>
      <c r="D950" t="s">
        <v>2027</v>
      </c>
      <c r="E950" s="8">
        <v>2902</v>
      </c>
      <c r="F950">
        <v>4</v>
      </c>
      <c r="G950">
        <v>5</v>
      </c>
      <c r="H950" s="8">
        <v>11027.6</v>
      </c>
      <c r="I950">
        <v>2236.96</v>
      </c>
      <c r="J950">
        <v>2079.7600000000002</v>
      </c>
      <c r="K950" s="5">
        <f>IF(SalesData[[#This Row],[Total Revenue]]=0,0,SalesData[[#This Row],[Profit]]/SalesData[[#This Row],[Total Revenue]])</f>
        <v>0.18859588668431937</v>
      </c>
      <c r="L950" s="5" t="str">
        <f>TEXT(SalesData[[#This Row],[Date]],"mmm")</f>
        <v>Nov</v>
      </c>
      <c r="M950">
        <f>YEAR(SalesData[[#This Row],[Date]])</f>
        <v>2023</v>
      </c>
      <c r="N950">
        <f>WEEKNUM(SalesData[[#This Row],[Date]])</f>
        <v>44</v>
      </c>
      <c r="O950" t="s">
        <v>2504</v>
      </c>
      <c r="P950" t="s">
        <v>2522</v>
      </c>
      <c r="Q950" t="s">
        <v>2527</v>
      </c>
    </row>
    <row r="951" spans="1:17" x14ac:dyDescent="0.35">
      <c r="A951" t="s">
        <v>1986</v>
      </c>
      <c r="B951" s="3">
        <v>44960</v>
      </c>
      <c r="C951" t="s">
        <v>2017</v>
      </c>
      <c r="D951" t="s">
        <v>2026</v>
      </c>
      <c r="E951" s="8">
        <v>1623</v>
      </c>
      <c r="F951">
        <v>8</v>
      </c>
      <c r="G951">
        <v>15</v>
      </c>
      <c r="H951" s="8">
        <v>11036.4</v>
      </c>
      <c r="I951">
        <v>1046.94</v>
      </c>
      <c r="J951">
        <v>2660.89</v>
      </c>
      <c r="K951" s="5">
        <f>IF(SalesData[[#This Row],[Total Revenue]]=0,0,SalesData[[#This Row],[Profit]]/SalesData[[#This Row],[Total Revenue]])</f>
        <v>0.24110126490522271</v>
      </c>
      <c r="L951" s="5" t="str">
        <f>TEXT(SalesData[[#This Row],[Date]],"mmm")</f>
        <v>Feb</v>
      </c>
      <c r="M951">
        <f>YEAR(SalesData[[#This Row],[Date]])</f>
        <v>2023</v>
      </c>
      <c r="N951">
        <f>WEEKNUM(SalesData[[#This Row],[Date]])</f>
        <v>5</v>
      </c>
      <c r="O951" t="s">
        <v>2364</v>
      </c>
      <c r="P951" t="s">
        <v>2522</v>
      </c>
      <c r="Q951" t="s">
        <v>2524</v>
      </c>
    </row>
    <row r="952" spans="1:17" x14ac:dyDescent="0.35">
      <c r="A952" t="s">
        <v>1607</v>
      </c>
      <c r="B952" s="3">
        <v>45041</v>
      </c>
      <c r="C952" t="s">
        <v>2014</v>
      </c>
      <c r="D952" t="s">
        <v>2024</v>
      </c>
      <c r="E952" s="8">
        <v>3067</v>
      </c>
      <c r="F952">
        <v>4</v>
      </c>
      <c r="G952">
        <v>10</v>
      </c>
      <c r="H952" s="8">
        <v>11041.2</v>
      </c>
      <c r="I952">
        <v>1809.39</v>
      </c>
      <c r="J952">
        <v>3803.63</v>
      </c>
      <c r="K952" s="5">
        <f>IF(SalesData[[#This Row],[Total Revenue]]=0,0,SalesData[[#This Row],[Profit]]/SalesData[[#This Row],[Total Revenue]])</f>
        <v>0.34449425787052129</v>
      </c>
      <c r="L952" s="5" t="str">
        <f>TEXT(SalesData[[#This Row],[Date]],"mmm")</f>
        <v>Apr</v>
      </c>
      <c r="M952">
        <f>YEAR(SalesData[[#This Row],[Date]])</f>
        <v>2023</v>
      </c>
      <c r="N952">
        <f>WEEKNUM(SalesData[[#This Row],[Date]])</f>
        <v>17</v>
      </c>
      <c r="O952" t="s">
        <v>2059</v>
      </c>
      <c r="P952" t="s">
        <v>2522</v>
      </c>
      <c r="Q952" t="s">
        <v>2524</v>
      </c>
    </row>
    <row r="953" spans="1:17" x14ac:dyDescent="0.35">
      <c r="A953" t="s">
        <v>1698</v>
      </c>
      <c r="B953" s="3">
        <v>45080</v>
      </c>
      <c r="C953" t="s">
        <v>2022</v>
      </c>
      <c r="D953" t="s">
        <v>2024</v>
      </c>
      <c r="E953" s="8">
        <v>4092</v>
      </c>
      <c r="F953">
        <v>3</v>
      </c>
      <c r="G953">
        <v>10</v>
      </c>
      <c r="H953" s="8">
        <v>11048.4</v>
      </c>
      <c r="I953">
        <v>2901.97</v>
      </c>
      <c r="J953">
        <v>2342.5</v>
      </c>
      <c r="K953" s="5">
        <f>IF(SalesData[[#This Row],[Total Revenue]]=0,0,SalesData[[#This Row],[Profit]]/SalesData[[#This Row],[Total Revenue]])</f>
        <v>0.21202165019369321</v>
      </c>
      <c r="L953" s="5" t="str">
        <f>TEXT(SalesData[[#This Row],[Date]],"mmm")</f>
        <v>Jun</v>
      </c>
      <c r="M953">
        <f>YEAR(SalesData[[#This Row],[Date]])</f>
        <v>2023</v>
      </c>
      <c r="N953">
        <f>WEEKNUM(SalesData[[#This Row],[Date]])</f>
        <v>22</v>
      </c>
      <c r="O953" t="s">
        <v>2085</v>
      </c>
      <c r="P953" t="s">
        <v>2523</v>
      </c>
      <c r="Q953" t="s">
        <v>2524</v>
      </c>
    </row>
    <row r="954" spans="1:17" x14ac:dyDescent="0.35">
      <c r="A954" t="s">
        <v>220</v>
      </c>
      <c r="B954" s="3">
        <v>44947</v>
      </c>
      <c r="C954" t="s">
        <v>2022</v>
      </c>
      <c r="D954" t="s">
        <v>2024</v>
      </c>
      <c r="E954" s="8">
        <v>3877</v>
      </c>
      <c r="F954">
        <v>3</v>
      </c>
      <c r="G954">
        <v>5</v>
      </c>
      <c r="H954" s="8">
        <v>11049.45</v>
      </c>
      <c r="I954">
        <v>2029.16</v>
      </c>
      <c r="J954">
        <v>4961.96</v>
      </c>
      <c r="K954" s="5">
        <f>IF(SalesData[[#This Row],[Total Revenue]]=0,0,SalesData[[#This Row],[Profit]]/SalesData[[#This Row],[Total Revenue]])</f>
        <v>0.449068505672228</v>
      </c>
      <c r="L954" s="5" t="str">
        <f>TEXT(SalesData[[#This Row],[Date]],"mmm")</f>
        <v>Jan</v>
      </c>
      <c r="M954">
        <f>YEAR(SalesData[[#This Row],[Date]])</f>
        <v>2023</v>
      </c>
      <c r="N954">
        <f>WEEKNUM(SalesData[[#This Row],[Date]])</f>
        <v>3</v>
      </c>
      <c r="O954" t="s">
        <v>2197</v>
      </c>
      <c r="P954" t="s">
        <v>2523</v>
      </c>
      <c r="Q954" t="s">
        <v>2524</v>
      </c>
    </row>
    <row r="955" spans="1:17" x14ac:dyDescent="0.35">
      <c r="A955" t="s">
        <v>1138</v>
      </c>
      <c r="B955" s="3">
        <v>45286</v>
      </c>
      <c r="C955" t="s">
        <v>2021</v>
      </c>
      <c r="D955" t="s">
        <v>2028</v>
      </c>
      <c r="E955" s="8">
        <v>4335</v>
      </c>
      <c r="F955">
        <v>3</v>
      </c>
      <c r="G955">
        <v>15</v>
      </c>
      <c r="H955" s="8">
        <v>11054.25</v>
      </c>
      <c r="I955">
        <v>2339.83</v>
      </c>
      <c r="J955">
        <v>4034.77</v>
      </c>
      <c r="K955" s="5">
        <f>IF(SalesData[[#This Row],[Total Revenue]]=0,0,SalesData[[#This Row],[Profit]]/SalesData[[#This Row],[Total Revenue]])</f>
        <v>0.36499717303299634</v>
      </c>
      <c r="L955" s="5" t="str">
        <f>TEXT(SalesData[[#This Row],[Date]],"mmm")</f>
        <v>Dec</v>
      </c>
      <c r="M955">
        <f>YEAR(SalesData[[#This Row],[Date]])</f>
        <v>2023</v>
      </c>
      <c r="N955">
        <f>WEEKNUM(SalesData[[#This Row],[Date]])</f>
        <v>52</v>
      </c>
      <c r="O955" t="s">
        <v>2037</v>
      </c>
      <c r="P955" t="s">
        <v>2522</v>
      </c>
      <c r="Q955" t="s">
        <v>2525</v>
      </c>
    </row>
    <row r="956" spans="1:17" x14ac:dyDescent="0.35">
      <c r="A956" t="s">
        <v>1647</v>
      </c>
      <c r="B956" s="3">
        <v>45031</v>
      </c>
      <c r="C956" t="s">
        <v>2018</v>
      </c>
      <c r="D956" t="s">
        <v>2026</v>
      </c>
      <c r="E956" s="8">
        <v>1293</v>
      </c>
      <c r="F956">
        <v>9</v>
      </c>
      <c r="G956">
        <v>5</v>
      </c>
      <c r="H956" s="8">
        <v>11055.15</v>
      </c>
      <c r="I956">
        <v>932.31</v>
      </c>
      <c r="J956">
        <v>2664.38</v>
      </c>
      <c r="K956" s="5">
        <f>IF(SalesData[[#This Row],[Total Revenue]]=0,0,SalesData[[#This Row],[Profit]]/SalesData[[#This Row],[Total Revenue]])</f>
        <v>0.24100803697824094</v>
      </c>
      <c r="L956" s="5" t="str">
        <f>TEXT(SalesData[[#This Row],[Date]],"mmm")</f>
        <v>Apr</v>
      </c>
      <c r="M956">
        <f>YEAR(SalesData[[#This Row],[Date]])</f>
        <v>2023</v>
      </c>
      <c r="N956">
        <f>WEEKNUM(SalesData[[#This Row],[Date]])</f>
        <v>15</v>
      </c>
      <c r="O956" t="s">
        <v>2425</v>
      </c>
      <c r="P956" t="s">
        <v>2523</v>
      </c>
      <c r="Q956" t="s">
        <v>2524</v>
      </c>
    </row>
    <row r="957" spans="1:17" x14ac:dyDescent="0.35">
      <c r="A957" t="s">
        <v>1996</v>
      </c>
      <c r="B957" s="3">
        <v>45238</v>
      </c>
      <c r="C957" t="s">
        <v>2017</v>
      </c>
      <c r="D957" t="s">
        <v>2026</v>
      </c>
      <c r="E957" s="8">
        <v>3695</v>
      </c>
      <c r="F957">
        <v>3</v>
      </c>
      <c r="G957">
        <v>0</v>
      </c>
      <c r="H957" s="8">
        <v>11085</v>
      </c>
      <c r="I957">
        <v>2125.85</v>
      </c>
      <c r="J957">
        <v>4707.4399999999996</v>
      </c>
      <c r="K957" s="5">
        <f>IF(SalesData[[#This Row],[Total Revenue]]=0,0,SalesData[[#This Row],[Profit]]/SalesData[[#This Row],[Total Revenue]])</f>
        <v>0.42466756878664857</v>
      </c>
      <c r="L957" s="5" t="str">
        <f>TEXT(SalesData[[#This Row],[Date]],"mmm")</f>
        <v>Nov</v>
      </c>
      <c r="M957">
        <f>YEAR(SalesData[[#This Row],[Date]])</f>
        <v>2023</v>
      </c>
      <c r="N957">
        <f>WEEKNUM(SalesData[[#This Row],[Date]])</f>
        <v>45</v>
      </c>
      <c r="O957" t="s">
        <v>2304</v>
      </c>
      <c r="P957" t="s">
        <v>2523</v>
      </c>
      <c r="Q957" t="s">
        <v>2526</v>
      </c>
    </row>
    <row r="958" spans="1:17" x14ac:dyDescent="0.35">
      <c r="A958" t="s">
        <v>1128</v>
      </c>
      <c r="B958" s="3">
        <v>45183</v>
      </c>
      <c r="C958" t="s">
        <v>2022</v>
      </c>
      <c r="D958" t="s">
        <v>2024</v>
      </c>
      <c r="E958" s="8">
        <v>1235</v>
      </c>
      <c r="F958">
        <v>9</v>
      </c>
      <c r="G958">
        <v>0</v>
      </c>
      <c r="H958" s="8">
        <v>11115</v>
      </c>
      <c r="I958">
        <v>865.29</v>
      </c>
      <c r="J958">
        <v>3327.37</v>
      </c>
      <c r="K958" s="5">
        <f>IF(SalesData[[#This Row],[Total Revenue]]=0,0,SalesData[[#This Row],[Profit]]/SalesData[[#This Row],[Total Revenue]])</f>
        <v>0.29935852451641926</v>
      </c>
      <c r="L958" s="5" t="str">
        <f>TEXT(SalesData[[#This Row],[Date]],"mmm")</f>
        <v>Sep</v>
      </c>
      <c r="M958">
        <f>YEAR(SalesData[[#This Row],[Date]])</f>
        <v>2023</v>
      </c>
      <c r="N958">
        <f>WEEKNUM(SalesData[[#This Row],[Date]])</f>
        <v>37</v>
      </c>
      <c r="O958" t="s">
        <v>2249</v>
      </c>
      <c r="P958" t="s">
        <v>2523</v>
      </c>
      <c r="Q958" t="s">
        <v>2527</v>
      </c>
    </row>
    <row r="959" spans="1:17" x14ac:dyDescent="0.35">
      <c r="A959" t="s">
        <v>1168</v>
      </c>
      <c r="B959" s="3">
        <v>45099</v>
      </c>
      <c r="C959" t="s">
        <v>2013</v>
      </c>
      <c r="D959" t="s">
        <v>2023</v>
      </c>
      <c r="E959" s="8">
        <v>1464</v>
      </c>
      <c r="F959">
        <v>8</v>
      </c>
      <c r="G959">
        <v>5</v>
      </c>
      <c r="H959" s="8">
        <v>11126.4</v>
      </c>
      <c r="I959">
        <v>1124.54</v>
      </c>
      <c r="J959">
        <v>2130.0500000000002</v>
      </c>
      <c r="K959" s="5">
        <f>IF(SalesData[[#This Row],[Total Revenue]]=0,0,SalesData[[#This Row],[Profit]]/SalesData[[#This Row],[Total Revenue]])</f>
        <v>0.19144107707794078</v>
      </c>
      <c r="L959" s="5" t="str">
        <f>TEXT(SalesData[[#This Row],[Date]],"mmm")</f>
        <v>Jun</v>
      </c>
      <c r="M959">
        <f>YEAR(SalesData[[#This Row],[Date]])</f>
        <v>2023</v>
      </c>
      <c r="N959">
        <f>WEEKNUM(SalesData[[#This Row],[Date]])</f>
        <v>25</v>
      </c>
      <c r="O959" t="s">
        <v>2378</v>
      </c>
      <c r="P959" t="s">
        <v>2523</v>
      </c>
      <c r="Q959" t="s">
        <v>2525</v>
      </c>
    </row>
    <row r="960" spans="1:17" x14ac:dyDescent="0.35">
      <c r="A960" t="s">
        <v>985</v>
      </c>
      <c r="B960" s="3">
        <v>45131</v>
      </c>
      <c r="C960" t="s">
        <v>2018</v>
      </c>
      <c r="D960" t="s">
        <v>2026</v>
      </c>
      <c r="E960" s="8">
        <v>1641</v>
      </c>
      <c r="F960">
        <v>8</v>
      </c>
      <c r="G960">
        <v>15</v>
      </c>
      <c r="H960" s="8">
        <v>11158.8</v>
      </c>
      <c r="I960">
        <v>1252.51</v>
      </c>
      <c r="J960">
        <v>1138.73</v>
      </c>
      <c r="K960" s="5">
        <f>IF(SalesData[[#This Row],[Total Revenue]]=0,0,SalesData[[#This Row],[Profit]]/SalesData[[#This Row],[Total Revenue]])</f>
        <v>0.10204771122342905</v>
      </c>
      <c r="L960" s="5" t="str">
        <f>TEXT(SalesData[[#This Row],[Date]],"mmm")</f>
        <v>Jul</v>
      </c>
      <c r="M960">
        <f>YEAR(SalesData[[#This Row],[Date]])</f>
        <v>2023</v>
      </c>
      <c r="N960">
        <f>WEEKNUM(SalesData[[#This Row],[Date]])</f>
        <v>30</v>
      </c>
      <c r="O960" t="s">
        <v>2110</v>
      </c>
      <c r="P960" t="s">
        <v>2522</v>
      </c>
      <c r="Q960" t="s">
        <v>2526</v>
      </c>
    </row>
    <row r="961" spans="1:17" x14ac:dyDescent="0.35">
      <c r="A961" t="s">
        <v>641</v>
      </c>
      <c r="B961" s="3">
        <v>45183</v>
      </c>
      <c r="C961" t="s">
        <v>2015</v>
      </c>
      <c r="D961" t="s">
        <v>2025</v>
      </c>
      <c r="E961" s="8">
        <v>3289</v>
      </c>
      <c r="F961">
        <v>4</v>
      </c>
      <c r="G961">
        <v>15</v>
      </c>
      <c r="H961" s="8">
        <v>11182.6</v>
      </c>
      <c r="I961">
        <v>2044.14</v>
      </c>
      <c r="J961">
        <v>3006.04</v>
      </c>
      <c r="K961" s="5">
        <f>IF(SalesData[[#This Row],[Total Revenue]]=0,0,SalesData[[#This Row],[Profit]]/SalesData[[#This Row],[Total Revenue]])</f>
        <v>0.26881405039972811</v>
      </c>
      <c r="L961" s="5" t="str">
        <f>TEXT(SalesData[[#This Row],[Date]],"mmm")</f>
        <v>Sep</v>
      </c>
      <c r="M961">
        <f>YEAR(SalesData[[#This Row],[Date]])</f>
        <v>2023</v>
      </c>
      <c r="N961">
        <f>WEEKNUM(SalesData[[#This Row],[Date]])</f>
        <v>37</v>
      </c>
      <c r="O961" t="s">
        <v>2388</v>
      </c>
      <c r="P961" t="s">
        <v>2523</v>
      </c>
      <c r="Q961" t="s">
        <v>2527</v>
      </c>
    </row>
    <row r="962" spans="1:17" x14ac:dyDescent="0.35">
      <c r="A962" t="s">
        <v>303</v>
      </c>
      <c r="B962" s="3">
        <v>44977</v>
      </c>
      <c r="C962" t="s">
        <v>2014</v>
      </c>
      <c r="D962" t="s">
        <v>2024</v>
      </c>
      <c r="E962" s="8">
        <v>3108</v>
      </c>
      <c r="F962">
        <v>4</v>
      </c>
      <c r="G962">
        <v>10</v>
      </c>
      <c r="H962" s="8">
        <v>11188.8</v>
      </c>
      <c r="I962">
        <v>1945.43</v>
      </c>
      <c r="J962">
        <v>3407.1</v>
      </c>
      <c r="K962" s="5">
        <f>IF(SalesData[[#This Row],[Total Revenue]]=0,0,SalesData[[#This Row],[Profit]]/SalesData[[#This Row],[Total Revenue]])</f>
        <v>0.30450986700986704</v>
      </c>
      <c r="L962" s="5" t="str">
        <f>TEXT(SalesData[[#This Row],[Date]],"mmm")</f>
        <v>Feb</v>
      </c>
      <c r="M962">
        <f>YEAR(SalesData[[#This Row],[Date]])</f>
        <v>2023</v>
      </c>
      <c r="N962">
        <f>WEEKNUM(SalesData[[#This Row],[Date]])</f>
        <v>8</v>
      </c>
      <c r="O962" t="s">
        <v>2248</v>
      </c>
      <c r="P962" t="s">
        <v>2522</v>
      </c>
      <c r="Q962" t="s">
        <v>2524</v>
      </c>
    </row>
    <row r="963" spans="1:17" x14ac:dyDescent="0.35">
      <c r="A963" t="s">
        <v>1707</v>
      </c>
      <c r="B963" s="3">
        <v>45159</v>
      </c>
      <c r="C963" t="s">
        <v>2021</v>
      </c>
      <c r="D963" t="s">
        <v>2028</v>
      </c>
      <c r="E963" s="8">
        <v>1475</v>
      </c>
      <c r="F963">
        <v>8</v>
      </c>
      <c r="G963">
        <v>5</v>
      </c>
      <c r="H963" s="8">
        <v>11210</v>
      </c>
      <c r="I963">
        <v>881.12</v>
      </c>
      <c r="J963">
        <v>4161</v>
      </c>
      <c r="K963" s="5">
        <f>IF(SalesData[[#This Row],[Total Revenue]]=0,0,SalesData[[#This Row],[Profit]]/SalesData[[#This Row],[Total Revenue]])</f>
        <v>0.37118644067796608</v>
      </c>
      <c r="L963" s="5" t="str">
        <f>TEXT(SalesData[[#This Row],[Date]],"mmm")</f>
        <v>Aug</v>
      </c>
      <c r="M963">
        <f>YEAR(SalesData[[#This Row],[Date]])</f>
        <v>2023</v>
      </c>
      <c r="N963">
        <f>WEEKNUM(SalesData[[#This Row],[Date]])</f>
        <v>34</v>
      </c>
      <c r="O963" t="s">
        <v>2448</v>
      </c>
      <c r="P963" t="s">
        <v>2522</v>
      </c>
      <c r="Q963" t="s">
        <v>2525</v>
      </c>
    </row>
    <row r="964" spans="1:17" x14ac:dyDescent="0.35">
      <c r="A964" t="s">
        <v>1162</v>
      </c>
      <c r="B964" s="3">
        <v>45184</v>
      </c>
      <c r="C964" t="s">
        <v>2013</v>
      </c>
      <c r="D964" t="s">
        <v>2023</v>
      </c>
      <c r="E964" s="8">
        <v>3942</v>
      </c>
      <c r="F964">
        <v>3</v>
      </c>
      <c r="G964">
        <v>5</v>
      </c>
      <c r="H964" s="8">
        <v>11234.7</v>
      </c>
      <c r="I964">
        <v>2587.94</v>
      </c>
      <c r="J964">
        <v>3470.89</v>
      </c>
      <c r="K964" s="5">
        <f>IF(SalesData[[#This Row],[Total Revenue]]=0,0,SalesData[[#This Row],[Profit]]/SalesData[[#This Row],[Total Revenue]])</f>
        <v>0.30894371901341378</v>
      </c>
      <c r="L964" s="5" t="str">
        <f>TEXT(SalesData[[#This Row],[Date]],"mmm")</f>
        <v>Sep</v>
      </c>
      <c r="M964">
        <f>YEAR(SalesData[[#This Row],[Date]])</f>
        <v>2023</v>
      </c>
      <c r="N964">
        <f>WEEKNUM(SalesData[[#This Row],[Date]])</f>
        <v>37</v>
      </c>
      <c r="O964" t="s">
        <v>2168</v>
      </c>
      <c r="P964" t="s">
        <v>2522</v>
      </c>
      <c r="Q964" t="s">
        <v>2527</v>
      </c>
    </row>
    <row r="965" spans="1:17" x14ac:dyDescent="0.35">
      <c r="A965" t="s">
        <v>1834</v>
      </c>
      <c r="B965" s="3">
        <v>45198</v>
      </c>
      <c r="C965" t="s">
        <v>2013</v>
      </c>
      <c r="D965" t="s">
        <v>2023</v>
      </c>
      <c r="E965" s="8">
        <v>1877</v>
      </c>
      <c r="F965">
        <v>6</v>
      </c>
      <c r="G965">
        <v>0</v>
      </c>
      <c r="H965" s="8">
        <v>11262</v>
      </c>
      <c r="I965">
        <v>1177.47</v>
      </c>
      <c r="J965">
        <v>4197.1899999999996</v>
      </c>
      <c r="K965" s="5">
        <f>IF(SalesData[[#This Row],[Total Revenue]]=0,0,SalesData[[#This Row],[Profit]]/SalesData[[#This Row],[Total Revenue]])</f>
        <v>0.37268602379683891</v>
      </c>
      <c r="L965" s="5" t="str">
        <f>TEXT(SalesData[[#This Row],[Date]],"mmm")</f>
        <v>Sep</v>
      </c>
      <c r="M965">
        <f>YEAR(SalesData[[#This Row],[Date]])</f>
        <v>2023</v>
      </c>
      <c r="N965">
        <f>WEEKNUM(SalesData[[#This Row],[Date]])</f>
        <v>39</v>
      </c>
      <c r="O965" t="s">
        <v>2074</v>
      </c>
      <c r="P965" t="s">
        <v>2523</v>
      </c>
      <c r="Q965" t="s">
        <v>2524</v>
      </c>
    </row>
    <row r="966" spans="1:17" x14ac:dyDescent="0.35">
      <c r="A966" t="s">
        <v>1711</v>
      </c>
      <c r="B966" s="3">
        <v>45245</v>
      </c>
      <c r="C966" t="s">
        <v>2015</v>
      </c>
      <c r="D966" t="s">
        <v>2025</v>
      </c>
      <c r="E966" s="8">
        <v>2373</v>
      </c>
      <c r="F966">
        <v>5</v>
      </c>
      <c r="G966">
        <v>5</v>
      </c>
      <c r="H966" s="8">
        <v>11271.75</v>
      </c>
      <c r="I966">
        <v>1769.76</v>
      </c>
      <c r="J966">
        <v>2422.94</v>
      </c>
      <c r="K966" s="5">
        <f>IF(SalesData[[#This Row],[Total Revenue]]=0,0,SalesData[[#This Row],[Profit]]/SalesData[[#This Row],[Total Revenue]])</f>
        <v>0.21495686117949742</v>
      </c>
      <c r="L966" s="5" t="str">
        <f>TEXT(SalesData[[#This Row],[Date]],"mmm")</f>
        <v>Nov</v>
      </c>
      <c r="M966">
        <f>YEAR(SalesData[[#This Row],[Date]])</f>
        <v>2023</v>
      </c>
      <c r="N966">
        <f>WEEKNUM(SalesData[[#This Row],[Date]])</f>
        <v>46</v>
      </c>
      <c r="O966" t="s">
        <v>2183</v>
      </c>
      <c r="P966" t="s">
        <v>2523</v>
      </c>
      <c r="Q966" t="s">
        <v>2527</v>
      </c>
    </row>
    <row r="967" spans="1:17" x14ac:dyDescent="0.35">
      <c r="A967" t="s">
        <v>1998</v>
      </c>
      <c r="B967" s="3">
        <v>45155</v>
      </c>
      <c r="C967" t="s">
        <v>2017</v>
      </c>
      <c r="D967" t="s">
        <v>2026</v>
      </c>
      <c r="E967" s="8">
        <v>3133</v>
      </c>
      <c r="F967">
        <v>4</v>
      </c>
      <c r="G967">
        <v>10</v>
      </c>
      <c r="H967" s="8">
        <v>11278.8</v>
      </c>
      <c r="I967">
        <v>1746.15</v>
      </c>
      <c r="J967">
        <v>4294.1899999999996</v>
      </c>
      <c r="K967" s="5">
        <f>IF(SalesData[[#This Row],[Total Revenue]]=0,0,SalesData[[#This Row],[Profit]]/SalesData[[#This Row],[Total Revenue]])</f>
        <v>0.38073110614604389</v>
      </c>
      <c r="L967" s="5" t="str">
        <f>TEXT(SalesData[[#This Row],[Date]],"mmm")</f>
        <v>Aug</v>
      </c>
      <c r="M967">
        <f>YEAR(SalesData[[#This Row],[Date]])</f>
        <v>2023</v>
      </c>
      <c r="N967">
        <f>WEEKNUM(SalesData[[#This Row],[Date]])</f>
        <v>33</v>
      </c>
      <c r="O967" t="s">
        <v>2295</v>
      </c>
      <c r="P967" t="s">
        <v>2522</v>
      </c>
      <c r="Q967" t="s">
        <v>2526</v>
      </c>
    </row>
    <row r="968" spans="1:17" x14ac:dyDescent="0.35">
      <c r="A968" t="s">
        <v>1717</v>
      </c>
      <c r="B968" s="3">
        <v>45171</v>
      </c>
      <c r="C968" t="s">
        <v>2021</v>
      </c>
      <c r="D968" t="s">
        <v>2028</v>
      </c>
      <c r="E968" s="8">
        <v>2219</v>
      </c>
      <c r="F968">
        <v>6</v>
      </c>
      <c r="G968">
        <v>15</v>
      </c>
      <c r="H968" s="8">
        <v>11316.9</v>
      </c>
      <c r="I968">
        <v>1627.64</v>
      </c>
      <c r="J968">
        <v>1551.03</v>
      </c>
      <c r="K968" s="5">
        <f>IF(SalesData[[#This Row],[Total Revenue]]=0,0,SalesData[[#This Row],[Profit]]/SalesData[[#This Row],[Total Revenue]])</f>
        <v>0.13705431699493678</v>
      </c>
      <c r="L968" s="5" t="str">
        <f>TEXT(SalesData[[#This Row],[Date]],"mmm")</f>
        <v>Sep</v>
      </c>
      <c r="M968">
        <f>YEAR(SalesData[[#This Row],[Date]])</f>
        <v>2023</v>
      </c>
      <c r="N968">
        <f>WEEKNUM(SalesData[[#This Row],[Date]])</f>
        <v>35</v>
      </c>
      <c r="O968" t="s">
        <v>2478</v>
      </c>
      <c r="P968" t="s">
        <v>2523</v>
      </c>
      <c r="Q968" t="s">
        <v>2526</v>
      </c>
    </row>
    <row r="969" spans="1:17" x14ac:dyDescent="0.35">
      <c r="A969" t="s">
        <v>276</v>
      </c>
      <c r="B969" s="3">
        <v>45090</v>
      </c>
      <c r="C969" t="s">
        <v>2022</v>
      </c>
      <c r="D969" t="s">
        <v>2024</v>
      </c>
      <c r="E969" s="8">
        <v>3337</v>
      </c>
      <c r="F969">
        <v>4</v>
      </c>
      <c r="G969">
        <v>15</v>
      </c>
      <c r="H969" s="8">
        <v>11345.8</v>
      </c>
      <c r="I969">
        <v>2282.6</v>
      </c>
      <c r="J969">
        <v>2215.42</v>
      </c>
      <c r="K969" s="5">
        <f>IF(SalesData[[#This Row],[Total Revenue]]=0,0,SalesData[[#This Row],[Profit]]/SalesData[[#This Row],[Total Revenue]])</f>
        <v>0.19526344550406319</v>
      </c>
      <c r="L969" s="5" t="str">
        <f>TEXT(SalesData[[#This Row],[Date]],"mmm")</f>
        <v>Jun</v>
      </c>
      <c r="M969">
        <f>YEAR(SalesData[[#This Row],[Date]])</f>
        <v>2023</v>
      </c>
      <c r="N969">
        <f>WEEKNUM(SalesData[[#This Row],[Date]])</f>
        <v>24</v>
      </c>
      <c r="O969" t="s">
        <v>2214</v>
      </c>
      <c r="P969" t="s">
        <v>2522</v>
      </c>
      <c r="Q969" t="s">
        <v>2527</v>
      </c>
    </row>
    <row r="970" spans="1:17" x14ac:dyDescent="0.35">
      <c r="A970" t="s">
        <v>1693</v>
      </c>
      <c r="B970" s="3">
        <v>45114</v>
      </c>
      <c r="C970" t="s">
        <v>2020</v>
      </c>
      <c r="D970" t="s">
        <v>2028</v>
      </c>
      <c r="E970" s="8">
        <v>1803</v>
      </c>
      <c r="F970">
        <v>7</v>
      </c>
      <c r="G970">
        <v>10</v>
      </c>
      <c r="H970" s="8">
        <v>11358.9</v>
      </c>
      <c r="I970">
        <v>1118.51</v>
      </c>
      <c r="J970">
        <v>3529.36</v>
      </c>
      <c r="K970" s="5">
        <f>IF(SalesData[[#This Row],[Total Revenue]]=0,0,SalesData[[#This Row],[Profit]]/SalesData[[#This Row],[Total Revenue]])</f>
        <v>0.31071318525561459</v>
      </c>
      <c r="L970" s="5" t="str">
        <f>TEXT(SalesData[[#This Row],[Date]],"mmm")</f>
        <v>Jul</v>
      </c>
      <c r="M970">
        <f>YEAR(SalesData[[#This Row],[Date]])</f>
        <v>2023</v>
      </c>
      <c r="N970">
        <f>WEEKNUM(SalesData[[#This Row],[Date]])</f>
        <v>27</v>
      </c>
      <c r="O970" t="s">
        <v>2376</v>
      </c>
      <c r="P970" t="s">
        <v>2523</v>
      </c>
      <c r="Q970" t="s">
        <v>2527</v>
      </c>
    </row>
    <row r="971" spans="1:17" x14ac:dyDescent="0.35">
      <c r="A971" t="s">
        <v>1919</v>
      </c>
      <c r="B971" s="3">
        <v>44969</v>
      </c>
      <c r="C971" t="s">
        <v>2019</v>
      </c>
      <c r="D971" t="s">
        <v>2027</v>
      </c>
      <c r="E971" s="8">
        <v>1712</v>
      </c>
      <c r="F971">
        <v>7</v>
      </c>
      <c r="G971">
        <v>5</v>
      </c>
      <c r="H971" s="8">
        <v>11384.8</v>
      </c>
      <c r="I971">
        <v>1207.83</v>
      </c>
      <c r="J971">
        <v>2930.01</v>
      </c>
      <c r="K971" s="5">
        <f>IF(SalesData[[#This Row],[Total Revenue]]=0,0,SalesData[[#This Row],[Profit]]/SalesData[[#This Row],[Total Revenue]])</f>
        <v>0.25736156981238145</v>
      </c>
      <c r="L971" s="5" t="str">
        <f>TEXT(SalesData[[#This Row],[Date]],"mmm")</f>
        <v>Feb</v>
      </c>
      <c r="M971">
        <f>YEAR(SalesData[[#This Row],[Date]])</f>
        <v>2023</v>
      </c>
      <c r="N971">
        <f>WEEKNUM(SalesData[[#This Row],[Date]])</f>
        <v>7</v>
      </c>
      <c r="O971" t="s">
        <v>2171</v>
      </c>
      <c r="P971" t="s">
        <v>2523</v>
      </c>
      <c r="Q971" t="s">
        <v>2526</v>
      </c>
    </row>
    <row r="972" spans="1:17" x14ac:dyDescent="0.35">
      <c r="A972" t="s">
        <v>1300</v>
      </c>
      <c r="B972" s="3">
        <v>45044</v>
      </c>
      <c r="C972" t="s">
        <v>2019</v>
      </c>
      <c r="D972" t="s">
        <v>2027</v>
      </c>
      <c r="E972" s="8">
        <v>1919</v>
      </c>
      <c r="F972">
        <v>7</v>
      </c>
      <c r="G972">
        <v>15</v>
      </c>
      <c r="H972" s="8">
        <v>11418.05</v>
      </c>
      <c r="I972">
        <v>1106.17</v>
      </c>
      <c r="J972">
        <v>3674.87</v>
      </c>
      <c r="K972" s="5">
        <f>IF(SalesData[[#This Row],[Total Revenue]]=0,0,SalesData[[#This Row],[Profit]]/SalesData[[#This Row],[Total Revenue]])</f>
        <v>0.3218474257863646</v>
      </c>
      <c r="L972" s="5" t="str">
        <f>TEXT(SalesData[[#This Row],[Date]],"mmm")</f>
        <v>Apr</v>
      </c>
      <c r="M972">
        <f>YEAR(SalesData[[#This Row],[Date]])</f>
        <v>2023</v>
      </c>
      <c r="N972">
        <f>WEEKNUM(SalesData[[#This Row],[Date]])</f>
        <v>17</v>
      </c>
      <c r="O972" t="s">
        <v>2068</v>
      </c>
      <c r="P972" t="s">
        <v>2522</v>
      </c>
      <c r="Q972" t="s">
        <v>2525</v>
      </c>
    </row>
    <row r="973" spans="1:17" x14ac:dyDescent="0.35">
      <c r="A973" t="s">
        <v>18</v>
      </c>
      <c r="B973" s="3">
        <v>45267</v>
      </c>
      <c r="C973" t="s">
        <v>2017</v>
      </c>
      <c r="D973" t="s">
        <v>2026</v>
      </c>
      <c r="E973" s="8">
        <v>3359</v>
      </c>
      <c r="F973">
        <v>4</v>
      </c>
      <c r="G973">
        <v>15</v>
      </c>
      <c r="H973" s="8">
        <v>11420.6</v>
      </c>
      <c r="I973">
        <v>2186.6999999999998</v>
      </c>
      <c r="J973">
        <v>2673.81</v>
      </c>
      <c r="K973" s="5">
        <f>IF(SalesData[[#This Row],[Total Revenue]]=0,0,SalesData[[#This Row],[Profit]]/SalesData[[#This Row],[Total Revenue]])</f>
        <v>0.23412167486822058</v>
      </c>
      <c r="L973" s="5" t="str">
        <f>TEXT(SalesData[[#This Row],[Date]],"mmm")</f>
        <v>Dec</v>
      </c>
      <c r="M973">
        <f>YEAR(SalesData[[#This Row],[Date]])</f>
        <v>2023</v>
      </c>
      <c r="N973">
        <f>WEEKNUM(SalesData[[#This Row],[Date]])</f>
        <v>49</v>
      </c>
      <c r="O973" t="s">
        <v>2034</v>
      </c>
      <c r="P973" t="s">
        <v>2523</v>
      </c>
      <c r="Q973" t="s">
        <v>2524</v>
      </c>
    </row>
    <row r="974" spans="1:17" x14ac:dyDescent="0.35">
      <c r="A974" t="s">
        <v>1030</v>
      </c>
      <c r="B974" s="3">
        <v>44969</v>
      </c>
      <c r="C974" t="s">
        <v>2015</v>
      </c>
      <c r="D974" t="s">
        <v>2025</v>
      </c>
      <c r="E974" s="8">
        <v>4017</v>
      </c>
      <c r="F974">
        <v>3</v>
      </c>
      <c r="G974">
        <v>5</v>
      </c>
      <c r="H974" s="8">
        <v>11448.45</v>
      </c>
      <c r="I974">
        <v>2059.73</v>
      </c>
      <c r="J974">
        <v>5269.27</v>
      </c>
      <c r="K974" s="5">
        <f>IF(SalesData[[#This Row],[Total Revenue]]=0,0,SalesData[[#This Row],[Profit]]/SalesData[[#This Row],[Total Revenue]])</f>
        <v>0.46026055928968551</v>
      </c>
      <c r="L974" s="5" t="str">
        <f>TEXT(SalesData[[#This Row],[Date]],"mmm")</f>
        <v>Feb</v>
      </c>
      <c r="M974">
        <f>YEAR(SalesData[[#This Row],[Date]])</f>
        <v>2023</v>
      </c>
      <c r="N974">
        <f>WEEKNUM(SalesData[[#This Row],[Date]])</f>
        <v>7</v>
      </c>
      <c r="O974" t="s">
        <v>2461</v>
      </c>
      <c r="P974" t="s">
        <v>2522</v>
      </c>
      <c r="Q974" t="s">
        <v>2526</v>
      </c>
    </row>
    <row r="975" spans="1:17" x14ac:dyDescent="0.35">
      <c r="A975" t="s">
        <v>323</v>
      </c>
      <c r="B975" s="3">
        <v>45282</v>
      </c>
      <c r="C975" t="s">
        <v>2017</v>
      </c>
      <c r="D975" t="s">
        <v>2026</v>
      </c>
      <c r="E975" s="8">
        <v>2009</v>
      </c>
      <c r="F975">
        <v>6</v>
      </c>
      <c r="G975">
        <v>5</v>
      </c>
      <c r="H975" s="8">
        <v>11451.3</v>
      </c>
      <c r="I975">
        <v>1405.03</v>
      </c>
      <c r="J975">
        <v>3021.09</v>
      </c>
      <c r="K975" s="5">
        <f>IF(SalesData[[#This Row],[Total Revenue]]=0,0,SalesData[[#This Row],[Profit]]/SalesData[[#This Row],[Total Revenue]])</f>
        <v>0.26382070157973331</v>
      </c>
      <c r="L975" s="5" t="str">
        <f>TEXT(SalesData[[#This Row],[Date]],"mmm")</f>
        <v>Dec</v>
      </c>
      <c r="M975">
        <f>YEAR(SalesData[[#This Row],[Date]])</f>
        <v>2023</v>
      </c>
      <c r="N975">
        <f>WEEKNUM(SalesData[[#This Row],[Date]])</f>
        <v>51</v>
      </c>
      <c r="O975" t="s">
        <v>2259</v>
      </c>
      <c r="P975" t="s">
        <v>2523</v>
      </c>
      <c r="Q975" t="s">
        <v>2527</v>
      </c>
    </row>
    <row r="976" spans="1:17" x14ac:dyDescent="0.35">
      <c r="A976" t="s">
        <v>1151</v>
      </c>
      <c r="B976" s="3">
        <v>45282</v>
      </c>
      <c r="C976" t="s">
        <v>2016</v>
      </c>
      <c r="D976" t="s">
        <v>2025</v>
      </c>
      <c r="E976" s="8">
        <v>1274</v>
      </c>
      <c r="F976">
        <v>10</v>
      </c>
      <c r="G976">
        <v>10</v>
      </c>
      <c r="H976" s="8">
        <v>11466</v>
      </c>
      <c r="I976">
        <v>903.79</v>
      </c>
      <c r="J976">
        <v>2428.12</v>
      </c>
      <c r="K976" s="5">
        <f>IF(SalesData[[#This Row],[Total Revenue]]=0,0,SalesData[[#This Row],[Profit]]/SalesData[[#This Row],[Total Revenue]])</f>
        <v>0.21176696319553462</v>
      </c>
      <c r="L976" s="5" t="str">
        <f>TEXT(SalesData[[#This Row],[Date]],"mmm")</f>
        <v>Dec</v>
      </c>
      <c r="M976">
        <f>YEAR(SalesData[[#This Row],[Date]])</f>
        <v>2023</v>
      </c>
      <c r="N976">
        <f>WEEKNUM(SalesData[[#This Row],[Date]])</f>
        <v>51</v>
      </c>
      <c r="O976" t="s">
        <v>2386</v>
      </c>
      <c r="P976" t="s">
        <v>2523</v>
      </c>
      <c r="Q976" t="s">
        <v>2525</v>
      </c>
    </row>
    <row r="977" spans="1:17" x14ac:dyDescent="0.35">
      <c r="A977" t="s">
        <v>1862</v>
      </c>
      <c r="B977" s="3">
        <v>45161</v>
      </c>
      <c r="C977" t="s">
        <v>2013</v>
      </c>
      <c r="D977" t="s">
        <v>2023</v>
      </c>
      <c r="E977" s="8">
        <v>3020</v>
      </c>
      <c r="F977">
        <v>4</v>
      </c>
      <c r="G977">
        <v>5</v>
      </c>
      <c r="H977" s="8">
        <v>11476</v>
      </c>
      <c r="I977">
        <v>1549.16</v>
      </c>
      <c r="J977">
        <v>5279.37</v>
      </c>
      <c r="K977" s="5">
        <f>IF(SalesData[[#This Row],[Total Revenue]]=0,0,SalesData[[#This Row],[Profit]]/SalesData[[#This Row],[Total Revenue]])</f>
        <v>0.46003572673405368</v>
      </c>
      <c r="L977" s="5" t="str">
        <f>TEXT(SalesData[[#This Row],[Date]],"mmm")</f>
        <v>Aug</v>
      </c>
      <c r="M977">
        <f>YEAR(SalesData[[#This Row],[Date]])</f>
        <v>2023</v>
      </c>
      <c r="N977">
        <f>WEEKNUM(SalesData[[#This Row],[Date]])</f>
        <v>34</v>
      </c>
      <c r="O977" t="s">
        <v>2267</v>
      </c>
      <c r="P977" t="s">
        <v>2523</v>
      </c>
      <c r="Q977" t="s">
        <v>2524</v>
      </c>
    </row>
    <row r="978" spans="1:17" x14ac:dyDescent="0.35">
      <c r="A978" t="s">
        <v>1474</v>
      </c>
      <c r="B978" s="3">
        <v>45080</v>
      </c>
      <c r="C978" t="s">
        <v>2015</v>
      </c>
      <c r="D978" t="s">
        <v>2025</v>
      </c>
      <c r="E978" s="8">
        <v>3380</v>
      </c>
      <c r="F978">
        <v>4</v>
      </c>
      <c r="G978">
        <v>15</v>
      </c>
      <c r="H978" s="8">
        <v>11492</v>
      </c>
      <c r="I978">
        <v>2112.44</v>
      </c>
      <c r="J978">
        <v>3042.22</v>
      </c>
      <c r="K978" s="5">
        <f>IF(SalesData[[#This Row],[Total Revenue]]=0,0,SalesData[[#This Row],[Profit]]/SalesData[[#This Row],[Total Revenue]])</f>
        <v>0.26472502610511661</v>
      </c>
      <c r="L978" s="5" t="str">
        <f>TEXT(SalesData[[#This Row],[Date]],"mmm")</f>
        <v>Jun</v>
      </c>
      <c r="M978">
        <f>YEAR(SalesData[[#This Row],[Date]])</f>
        <v>2023</v>
      </c>
      <c r="N978">
        <f>WEEKNUM(SalesData[[#This Row],[Date]])</f>
        <v>22</v>
      </c>
      <c r="O978" t="s">
        <v>2263</v>
      </c>
      <c r="P978" t="s">
        <v>2523</v>
      </c>
      <c r="Q978" t="s">
        <v>2524</v>
      </c>
    </row>
    <row r="979" spans="1:17" x14ac:dyDescent="0.35">
      <c r="A979" t="s">
        <v>1843</v>
      </c>
      <c r="B979" s="3">
        <v>45243</v>
      </c>
      <c r="C979" t="s">
        <v>2015</v>
      </c>
      <c r="D979" t="s">
        <v>2025</v>
      </c>
      <c r="E979" s="8">
        <v>2255</v>
      </c>
      <c r="F979">
        <v>6</v>
      </c>
      <c r="G979">
        <v>15</v>
      </c>
      <c r="H979" s="8">
        <v>11500.5</v>
      </c>
      <c r="I979">
        <v>1652.56</v>
      </c>
      <c r="J979">
        <v>1585.12</v>
      </c>
      <c r="K979" s="5">
        <f>IF(SalesData[[#This Row],[Total Revenue]]=0,0,SalesData[[#This Row],[Profit]]/SalesData[[#This Row],[Total Revenue]])</f>
        <v>0.1378305291074301</v>
      </c>
      <c r="L979" s="5" t="str">
        <f>TEXT(SalesData[[#This Row],[Date]],"mmm")</f>
        <v>Nov</v>
      </c>
      <c r="M979">
        <f>YEAR(SalesData[[#This Row],[Date]])</f>
        <v>2023</v>
      </c>
      <c r="N979">
        <f>WEEKNUM(SalesData[[#This Row],[Date]])</f>
        <v>46</v>
      </c>
      <c r="O979" t="s">
        <v>2381</v>
      </c>
      <c r="P979" t="s">
        <v>2523</v>
      </c>
      <c r="Q979" t="s">
        <v>2525</v>
      </c>
    </row>
    <row r="980" spans="1:17" x14ac:dyDescent="0.35">
      <c r="A980" t="s">
        <v>1640</v>
      </c>
      <c r="B980" s="3">
        <v>45220</v>
      </c>
      <c r="C980" t="s">
        <v>2015</v>
      </c>
      <c r="D980" t="s">
        <v>2025</v>
      </c>
      <c r="E980" s="8">
        <v>2259</v>
      </c>
      <c r="F980">
        <v>6</v>
      </c>
      <c r="G980">
        <v>15</v>
      </c>
      <c r="H980" s="8">
        <v>11520.9</v>
      </c>
      <c r="I980">
        <v>1352.89</v>
      </c>
      <c r="J980">
        <v>3403.54</v>
      </c>
      <c r="K980" s="5">
        <f>IF(SalesData[[#This Row],[Total Revenue]]=0,0,SalesData[[#This Row],[Profit]]/SalesData[[#This Row],[Total Revenue]])</f>
        <v>0.29542310062581917</v>
      </c>
      <c r="L980" s="5" t="str">
        <f>TEXT(SalesData[[#This Row],[Date]],"mmm")</f>
        <v>Oct</v>
      </c>
      <c r="M980">
        <f>YEAR(SalesData[[#This Row],[Date]])</f>
        <v>2023</v>
      </c>
      <c r="N980">
        <f>WEEKNUM(SalesData[[#This Row],[Date]])</f>
        <v>42</v>
      </c>
      <c r="O980" t="s">
        <v>2257</v>
      </c>
      <c r="P980" t="s">
        <v>2523</v>
      </c>
      <c r="Q980" t="s">
        <v>2525</v>
      </c>
    </row>
    <row r="981" spans="1:17" x14ac:dyDescent="0.35">
      <c r="A981" t="s">
        <v>1723</v>
      </c>
      <c r="B981" s="3">
        <v>45172</v>
      </c>
      <c r="C981" t="s">
        <v>2014</v>
      </c>
      <c r="D981" t="s">
        <v>2024</v>
      </c>
      <c r="E981" s="8">
        <v>1351</v>
      </c>
      <c r="F981">
        <v>9</v>
      </c>
      <c r="G981">
        <v>5</v>
      </c>
      <c r="H981" s="8">
        <v>11551.05</v>
      </c>
      <c r="I981">
        <v>939.94</v>
      </c>
      <c r="J981">
        <v>3091.57</v>
      </c>
      <c r="K981" s="5">
        <f>IF(SalesData[[#This Row],[Total Revenue]]=0,0,SalesData[[#This Row],[Profit]]/SalesData[[#This Row],[Total Revenue]])</f>
        <v>0.26764406698958104</v>
      </c>
      <c r="L981" s="5" t="str">
        <f>TEXT(SalesData[[#This Row],[Date]],"mmm")</f>
        <v>Sep</v>
      </c>
      <c r="M981">
        <f>YEAR(SalesData[[#This Row],[Date]])</f>
        <v>2023</v>
      </c>
      <c r="N981">
        <f>WEEKNUM(SalesData[[#This Row],[Date]])</f>
        <v>36</v>
      </c>
      <c r="O981" t="s">
        <v>2089</v>
      </c>
      <c r="P981" t="s">
        <v>2523</v>
      </c>
      <c r="Q981" t="s">
        <v>2526</v>
      </c>
    </row>
    <row r="982" spans="1:17" x14ac:dyDescent="0.35">
      <c r="A982" t="s">
        <v>688</v>
      </c>
      <c r="B982" s="3">
        <v>45195</v>
      </c>
      <c r="C982" t="s">
        <v>2017</v>
      </c>
      <c r="D982" t="s">
        <v>2026</v>
      </c>
      <c r="E982" s="8">
        <v>3211</v>
      </c>
      <c r="F982">
        <v>4</v>
      </c>
      <c r="G982">
        <v>10</v>
      </c>
      <c r="H982" s="8">
        <v>11559.6</v>
      </c>
      <c r="I982">
        <v>1772.41</v>
      </c>
      <c r="J982">
        <v>4469.9399999999996</v>
      </c>
      <c r="K982" s="5">
        <f>IF(SalesData[[#This Row],[Total Revenue]]=0,0,SalesData[[#This Row],[Profit]]/SalesData[[#This Row],[Total Revenue]])</f>
        <v>0.38668639053254433</v>
      </c>
      <c r="L982" s="5" t="str">
        <f>TEXT(SalesData[[#This Row],[Date]],"mmm")</f>
        <v>Sep</v>
      </c>
      <c r="M982">
        <f>YEAR(SalesData[[#This Row],[Date]])</f>
        <v>2023</v>
      </c>
      <c r="N982">
        <f>WEEKNUM(SalesData[[#This Row],[Date]])</f>
        <v>39</v>
      </c>
      <c r="O982" t="s">
        <v>2091</v>
      </c>
      <c r="P982" t="s">
        <v>2522</v>
      </c>
      <c r="Q982" t="s">
        <v>2527</v>
      </c>
    </row>
    <row r="983" spans="1:17" x14ac:dyDescent="0.35">
      <c r="A983" t="s">
        <v>837</v>
      </c>
      <c r="B983" s="3">
        <v>45165</v>
      </c>
      <c r="C983" t="s">
        <v>2018</v>
      </c>
      <c r="D983" t="s">
        <v>2026</v>
      </c>
      <c r="E983" s="8">
        <v>2899</v>
      </c>
      <c r="F983">
        <v>4</v>
      </c>
      <c r="G983">
        <v>0</v>
      </c>
      <c r="H983" s="8">
        <v>11596</v>
      </c>
      <c r="I983">
        <v>1582.06</v>
      </c>
      <c r="J983">
        <v>5267.76</v>
      </c>
      <c r="K983" s="5">
        <f>IF(SalesData[[#This Row],[Total Revenue]]=0,0,SalesData[[#This Row],[Profit]]/SalesData[[#This Row],[Total Revenue]])</f>
        <v>0.45427388754743014</v>
      </c>
      <c r="L983" s="5" t="str">
        <f>TEXT(SalesData[[#This Row],[Date]],"mmm")</f>
        <v>Aug</v>
      </c>
      <c r="M983">
        <f>YEAR(SalesData[[#This Row],[Date]])</f>
        <v>2023</v>
      </c>
      <c r="N983">
        <f>WEEKNUM(SalesData[[#This Row],[Date]])</f>
        <v>35</v>
      </c>
      <c r="O983" t="s">
        <v>2229</v>
      </c>
      <c r="P983" t="s">
        <v>2522</v>
      </c>
      <c r="Q983" t="s">
        <v>2526</v>
      </c>
    </row>
    <row r="984" spans="1:17" x14ac:dyDescent="0.35">
      <c r="A984" t="s">
        <v>690</v>
      </c>
      <c r="B984" s="3">
        <v>45264</v>
      </c>
      <c r="C984" t="s">
        <v>2017</v>
      </c>
      <c r="D984" t="s">
        <v>2026</v>
      </c>
      <c r="E984" s="8">
        <v>4556</v>
      </c>
      <c r="F984">
        <v>3</v>
      </c>
      <c r="G984">
        <v>15</v>
      </c>
      <c r="H984" s="8">
        <v>11617.8</v>
      </c>
      <c r="I984">
        <v>3607.31</v>
      </c>
      <c r="J984">
        <v>795.86</v>
      </c>
      <c r="K984" s="5">
        <f>IF(SalesData[[#This Row],[Total Revenue]]=0,0,SalesData[[#This Row],[Profit]]/SalesData[[#This Row],[Total Revenue]])</f>
        <v>6.8503503245020581E-2</v>
      </c>
      <c r="L984" s="5" t="str">
        <f>TEXT(SalesData[[#This Row],[Date]],"mmm")</f>
        <v>Dec</v>
      </c>
      <c r="M984">
        <f>YEAR(SalesData[[#This Row],[Date]])</f>
        <v>2023</v>
      </c>
      <c r="N984">
        <f>WEEKNUM(SalesData[[#This Row],[Date]])</f>
        <v>49</v>
      </c>
      <c r="O984" t="s">
        <v>2383</v>
      </c>
      <c r="P984" t="s">
        <v>2523</v>
      </c>
      <c r="Q984" t="s">
        <v>2524</v>
      </c>
    </row>
    <row r="985" spans="1:17" x14ac:dyDescent="0.35">
      <c r="A985" t="s">
        <v>910</v>
      </c>
      <c r="B985" s="3">
        <v>45117</v>
      </c>
      <c r="C985" t="s">
        <v>2019</v>
      </c>
      <c r="D985" t="s">
        <v>2027</v>
      </c>
      <c r="E985" s="8">
        <v>2155</v>
      </c>
      <c r="F985">
        <v>6</v>
      </c>
      <c r="G985">
        <v>10</v>
      </c>
      <c r="H985" s="8">
        <v>11637</v>
      </c>
      <c r="I985">
        <v>1375.49</v>
      </c>
      <c r="J985">
        <v>3384.06</v>
      </c>
      <c r="K985" s="5">
        <f>IF(SalesData[[#This Row],[Total Revenue]]=0,0,SalesData[[#This Row],[Profit]]/SalesData[[#This Row],[Total Revenue]])</f>
        <v>0.29080175302913119</v>
      </c>
      <c r="L985" s="5" t="str">
        <f>TEXT(SalesData[[#This Row],[Date]],"mmm")</f>
        <v>Jul</v>
      </c>
      <c r="M985">
        <f>YEAR(SalesData[[#This Row],[Date]])</f>
        <v>2023</v>
      </c>
      <c r="N985">
        <f>WEEKNUM(SalesData[[#This Row],[Date]])</f>
        <v>28</v>
      </c>
      <c r="O985" t="s">
        <v>2381</v>
      </c>
      <c r="P985" t="s">
        <v>2523</v>
      </c>
      <c r="Q985" t="s">
        <v>2525</v>
      </c>
    </row>
    <row r="986" spans="1:17" x14ac:dyDescent="0.35">
      <c r="A986" t="s">
        <v>357</v>
      </c>
      <c r="B986" s="3">
        <v>45167</v>
      </c>
      <c r="C986" t="s">
        <v>2019</v>
      </c>
      <c r="D986" t="s">
        <v>2027</v>
      </c>
      <c r="E986" s="8">
        <v>4568</v>
      </c>
      <c r="F986">
        <v>3</v>
      </c>
      <c r="G986">
        <v>15</v>
      </c>
      <c r="H986" s="8">
        <v>11648.4</v>
      </c>
      <c r="I986">
        <v>3169.89</v>
      </c>
      <c r="J986">
        <v>2138.7199999999998</v>
      </c>
      <c r="K986" s="5">
        <f>IF(SalesData[[#This Row],[Total Revenue]]=0,0,SalesData[[#This Row],[Profit]]/SalesData[[#This Row],[Total Revenue]])</f>
        <v>0.18360633220013048</v>
      </c>
      <c r="L986" s="5" t="str">
        <f>TEXT(SalesData[[#This Row],[Date]],"mmm")</f>
        <v>Aug</v>
      </c>
      <c r="M986">
        <f>YEAR(SalesData[[#This Row],[Date]])</f>
        <v>2023</v>
      </c>
      <c r="N986">
        <f>WEEKNUM(SalesData[[#This Row],[Date]])</f>
        <v>35</v>
      </c>
      <c r="O986" t="s">
        <v>2276</v>
      </c>
      <c r="P986" t="s">
        <v>2522</v>
      </c>
      <c r="Q986" t="s">
        <v>2526</v>
      </c>
    </row>
    <row r="987" spans="1:17" x14ac:dyDescent="0.35">
      <c r="A987" t="s">
        <v>1543</v>
      </c>
      <c r="B987" s="3">
        <v>45174</v>
      </c>
      <c r="C987" t="s">
        <v>2022</v>
      </c>
      <c r="D987" t="s">
        <v>2024</v>
      </c>
      <c r="E987" s="8">
        <v>3437</v>
      </c>
      <c r="F987">
        <v>4</v>
      </c>
      <c r="G987">
        <v>15</v>
      </c>
      <c r="H987" s="8">
        <v>11685.8</v>
      </c>
      <c r="I987">
        <v>2405.1799999999998</v>
      </c>
      <c r="J987">
        <v>2065.06</v>
      </c>
      <c r="K987" s="5">
        <f>IF(SalesData[[#This Row],[Total Revenue]]=0,0,SalesData[[#This Row],[Profit]]/SalesData[[#This Row],[Total Revenue]])</f>
        <v>0.17671532971640797</v>
      </c>
      <c r="L987" s="5" t="str">
        <f>TEXT(SalesData[[#This Row],[Date]],"mmm")</f>
        <v>Sep</v>
      </c>
      <c r="M987">
        <f>YEAR(SalesData[[#This Row],[Date]])</f>
        <v>2023</v>
      </c>
      <c r="N987">
        <f>WEEKNUM(SalesData[[#This Row],[Date]])</f>
        <v>36</v>
      </c>
      <c r="O987" t="s">
        <v>2207</v>
      </c>
      <c r="P987" t="s">
        <v>2523</v>
      </c>
      <c r="Q987" t="s">
        <v>2524</v>
      </c>
    </row>
    <row r="988" spans="1:17" x14ac:dyDescent="0.35">
      <c r="A988" t="s">
        <v>1663</v>
      </c>
      <c r="B988" s="3">
        <v>45092</v>
      </c>
      <c r="C988" t="s">
        <v>2015</v>
      </c>
      <c r="D988" t="s">
        <v>2025</v>
      </c>
      <c r="E988" s="8">
        <v>1671</v>
      </c>
      <c r="F988">
        <v>7</v>
      </c>
      <c r="G988">
        <v>0</v>
      </c>
      <c r="H988" s="8">
        <v>11697</v>
      </c>
      <c r="I988">
        <v>928.93</v>
      </c>
      <c r="J988">
        <v>5194.5</v>
      </c>
      <c r="K988" s="5">
        <f>IF(SalesData[[#This Row],[Total Revenue]]=0,0,SalesData[[#This Row],[Profit]]/SalesData[[#This Row],[Total Revenue]])</f>
        <v>0.44408822775070533</v>
      </c>
      <c r="L988" s="5" t="str">
        <f>TEXT(SalesData[[#This Row],[Date]],"mmm")</f>
        <v>Jun</v>
      </c>
      <c r="M988">
        <f>YEAR(SalesData[[#This Row],[Date]])</f>
        <v>2023</v>
      </c>
      <c r="N988">
        <f>WEEKNUM(SalesData[[#This Row],[Date]])</f>
        <v>24</v>
      </c>
      <c r="O988" t="s">
        <v>2321</v>
      </c>
      <c r="P988" t="s">
        <v>2522</v>
      </c>
      <c r="Q988" t="s">
        <v>2524</v>
      </c>
    </row>
    <row r="989" spans="1:17" x14ac:dyDescent="0.35">
      <c r="A989" t="s">
        <v>1796</v>
      </c>
      <c r="B989" s="3">
        <v>45040</v>
      </c>
      <c r="C989" t="s">
        <v>2018</v>
      </c>
      <c r="D989" t="s">
        <v>2026</v>
      </c>
      <c r="E989" s="8">
        <v>3079</v>
      </c>
      <c r="F989">
        <v>4</v>
      </c>
      <c r="G989">
        <v>5</v>
      </c>
      <c r="H989" s="8">
        <v>11700.2</v>
      </c>
      <c r="I989">
        <v>1711.88</v>
      </c>
      <c r="J989">
        <v>4852.66</v>
      </c>
      <c r="K989" s="5">
        <f>IF(SalesData[[#This Row],[Total Revenue]]=0,0,SalesData[[#This Row],[Profit]]/SalesData[[#This Row],[Total Revenue]])</f>
        <v>0.41475017521068014</v>
      </c>
      <c r="L989" s="5" t="str">
        <f>TEXT(SalesData[[#This Row],[Date]],"mmm")</f>
        <v>Apr</v>
      </c>
      <c r="M989">
        <f>YEAR(SalesData[[#This Row],[Date]])</f>
        <v>2023</v>
      </c>
      <c r="N989">
        <f>WEEKNUM(SalesData[[#This Row],[Date]])</f>
        <v>17</v>
      </c>
      <c r="O989" t="s">
        <v>2245</v>
      </c>
      <c r="P989" t="s">
        <v>2523</v>
      </c>
      <c r="Q989" t="s">
        <v>2527</v>
      </c>
    </row>
    <row r="990" spans="1:17" x14ac:dyDescent="0.35">
      <c r="A990" t="s">
        <v>409</v>
      </c>
      <c r="B990" s="3">
        <v>45264</v>
      </c>
      <c r="C990" t="s">
        <v>2013</v>
      </c>
      <c r="D990" t="s">
        <v>2023</v>
      </c>
      <c r="E990" s="8">
        <v>1673</v>
      </c>
      <c r="F990">
        <v>7</v>
      </c>
      <c r="G990">
        <v>0</v>
      </c>
      <c r="H990" s="8">
        <v>11711</v>
      </c>
      <c r="I990">
        <v>1080.58</v>
      </c>
      <c r="J990">
        <v>4146.97</v>
      </c>
      <c r="K990" s="5">
        <f>IF(SalesData[[#This Row],[Total Revenue]]=0,0,SalesData[[#This Row],[Profit]]/SalesData[[#This Row],[Total Revenue]])</f>
        <v>0.35410895739048759</v>
      </c>
      <c r="L990" s="5" t="str">
        <f>TEXT(SalesData[[#This Row],[Date]],"mmm")</f>
        <v>Dec</v>
      </c>
      <c r="M990">
        <f>YEAR(SalesData[[#This Row],[Date]])</f>
        <v>2023</v>
      </c>
      <c r="N990">
        <f>WEEKNUM(SalesData[[#This Row],[Date]])</f>
        <v>49</v>
      </c>
      <c r="O990" t="s">
        <v>2256</v>
      </c>
      <c r="P990" t="s">
        <v>2522</v>
      </c>
      <c r="Q990" t="s">
        <v>2524</v>
      </c>
    </row>
    <row r="991" spans="1:17" x14ac:dyDescent="0.35">
      <c r="A991" t="s">
        <v>1619</v>
      </c>
      <c r="B991" s="3">
        <v>45014</v>
      </c>
      <c r="C991" t="s">
        <v>2020</v>
      </c>
      <c r="D991" t="s">
        <v>2028</v>
      </c>
      <c r="E991" s="8">
        <v>1628</v>
      </c>
      <c r="F991">
        <v>8</v>
      </c>
      <c r="G991">
        <v>10</v>
      </c>
      <c r="H991" s="8">
        <v>11721.6</v>
      </c>
      <c r="I991">
        <v>1161.69</v>
      </c>
      <c r="J991">
        <v>2428.09</v>
      </c>
      <c r="K991" s="5">
        <f>IF(SalesData[[#This Row],[Total Revenue]]=0,0,SalesData[[#This Row],[Profit]]/SalesData[[#This Row],[Total Revenue]])</f>
        <v>0.20714663527163527</v>
      </c>
      <c r="L991" s="5" t="str">
        <f>TEXT(SalesData[[#This Row],[Date]],"mmm")</f>
        <v>Mar</v>
      </c>
      <c r="M991">
        <f>YEAR(SalesData[[#This Row],[Date]])</f>
        <v>2023</v>
      </c>
      <c r="N991">
        <f>WEEKNUM(SalesData[[#This Row],[Date]])</f>
        <v>13</v>
      </c>
      <c r="O991" t="s">
        <v>2195</v>
      </c>
      <c r="P991" t="s">
        <v>2522</v>
      </c>
      <c r="Q991" t="s">
        <v>2526</v>
      </c>
    </row>
    <row r="992" spans="1:17" x14ac:dyDescent="0.35">
      <c r="A992" t="s">
        <v>618</v>
      </c>
      <c r="B992" s="3">
        <v>45000</v>
      </c>
      <c r="C992" t="s">
        <v>2017</v>
      </c>
      <c r="D992" t="s">
        <v>2026</v>
      </c>
      <c r="E992" s="8">
        <v>4118</v>
      </c>
      <c r="F992">
        <v>3</v>
      </c>
      <c r="G992">
        <v>5</v>
      </c>
      <c r="H992" s="8">
        <v>11736.3</v>
      </c>
      <c r="I992">
        <v>2658.38</v>
      </c>
      <c r="J992">
        <v>3761.16</v>
      </c>
      <c r="K992" s="5">
        <f>IF(SalesData[[#This Row],[Total Revenue]]=0,0,SalesData[[#This Row],[Profit]]/SalesData[[#This Row],[Total Revenue]])</f>
        <v>0.32047238056286903</v>
      </c>
      <c r="L992" s="5" t="str">
        <f>TEXT(SalesData[[#This Row],[Date]],"mmm")</f>
        <v>Mar</v>
      </c>
      <c r="M992">
        <f>YEAR(SalesData[[#This Row],[Date]])</f>
        <v>2023</v>
      </c>
      <c r="N992">
        <f>WEEKNUM(SalesData[[#This Row],[Date]])</f>
        <v>11</v>
      </c>
      <c r="O992" t="s">
        <v>2086</v>
      </c>
      <c r="P992" t="s">
        <v>2522</v>
      </c>
      <c r="Q992" t="s">
        <v>2527</v>
      </c>
    </row>
    <row r="993" spans="1:17" x14ac:dyDescent="0.35">
      <c r="A993" t="s">
        <v>184</v>
      </c>
      <c r="B993" s="3">
        <v>45040</v>
      </c>
      <c r="C993" t="s">
        <v>2019</v>
      </c>
      <c r="D993" t="s">
        <v>2027</v>
      </c>
      <c r="E993" s="8">
        <v>1766</v>
      </c>
      <c r="F993">
        <v>7</v>
      </c>
      <c r="G993">
        <v>5</v>
      </c>
      <c r="H993" s="8">
        <v>11743.9</v>
      </c>
      <c r="I993">
        <v>904.13</v>
      </c>
      <c r="J993">
        <v>5415.01</v>
      </c>
      <c r="K993" s="5">
        <f>IF(SalesData[[#This Row],[Total Revenue]]=0,0,SalesData[[#This Row],[Profit]]/SalesData[[#This Row],[Total Revenue]])</f>
        <v>0.46109128994627002</v>
      </c>
      <c r="L993" s="5" t="str">
        <f>TEXT(SalesData[[#This Row],[Date]],"mmm")</f>
        <v>Apr</v>
      </c>
      <c r="M993">
        <f>YEAR(SalesData[[#This Row],[Date]])</f>
        <v>2023</v>
      </c>
      <c r="N993">
        <f>WEEKNUM(SalesData[[#This Row],[Date]])</f>
        <v>17</v>
      </c>
      <c r="O993" t="s">
        <v>2112</v>
      </c>
      <c r="P993" t="s">
        <v>2523</v>
      </c>
      <c r="Q993" t="s">
        <v>2526</v>
      </c>
    </row>
    <row r="994" spans="1:17" x14ac:dyDescent="0.35">
      <c r="A994" t="s">
        <v>140</v>
      </c>
      <c r="B994" s="3">
        <v>44944</v>
      </c>
      <c r="C994" t="s">
        <v>2013</v>
      </c>
      <c r="D994" t="s">
        <v>2023</v>
      </c>
      <c r="E994" s="8">
        <v>1176</v>
      </c>
      <c r="F994">
        <v>10</v>
      </c>
      <c r="G994">
        <v>0</v>
      </c>
      <c r="H994" s="8">
        <v>11760</v>
      </c>
      <c r="I994">
        <v>725.13</v>
      </c>
      <c r="J994">
        <v>4508.6499999999996</v>
      </c>
      <c r="K994" s="5">
        <f>IF(SalesData[[#This Row],[Total Revenue]]=0,0,SalesData[[#This Row],[Profit]]/SalesData[[#This Row],[Total Revenue]])</f>
        <v>0.38338860544217684</v>
      </c>
      <c r="L994" s="5" t="str">
        <f>TEXT(SalesData[[#This Row],[Date]],"mmm")</f>
        <v>Jan</v>
      </c>
      <c r="M994">
        <f>YEAR(SalesData[[#This Row],[Date]])</f>
        <v>2023</v>
      </c>
      <c r="N994">
        <f>WEEKNUM(SalesData[[#This Row],[Date]])</f>
        <v>3</v>
      </c>
      <c r="O994" t="s">
        <v>2142</v>
      </c>
      <c r="P994" t="s">
        <v>2523</v>
      </c>
      <c r="Q994" t="s">
        <v>2525</v>
      </c>
    </row>
    <row r="995" spans="1:17" x14ac:dyDescent="0.35">
      <c r="A995" t="s">
        <v>631</v>
      </c>
      <c r="B995" s="3">
        <v>44982</v>
      </c>
      <c r="C995" t="s">
        <v>2018</v>
      </c>
      <c r="D995" t="s">
        <v>2026</v>
      </c>
      <c r="E995" s="8">
        <v>3268</v>
      </c>
      <c r="F995">
        <v>4</v>
      </c>
      <c r="G995">
        <v>10</v>
      </c>
      <c r="H995" s="8">
        <v>11764.8</v>
      </c>
      <c r="I995">
        <v>2612.73</v>
      </c>
      <c r="J995">
        <v>1313.9</v>
      </c>
      <c r="K995" s="5">
        <f>IF(SalesData[[#This Row],[Total Revenue]]=0,0,SalesData[[#This Row],[Profit]]/SalesData[[#This Row],[Total Revenue]])</f>
        <v>0.11168060655514757</v>
      </c>
      <c r="L995" s="5" t="str">
        <f>TEXT(SalesData[[#This Row],[Date]],"mmm")</f>
        <v>Feb</v>
      </c>
      <c r="M995">
        <f>YEAR(SalesData[[#This Row],[Date]])</f>
        <v>2023</v>
      </c>
      <c r="N995">
        <f>WEEKNUM(SalesData[[#This Row],[Date]])</f>
        <v>8</v>
      </c>
      <c r="O995" t="s">
        <v>2384</v>
      </c>
      <c r="P995" t="s">
        <v>2522</v>
      </c>
      <c r="Q995" t="s">
        <v>2524</v>
      </c>
    </row>
    <row r="996" spans="1:17" x14ac:dyDescent="0.35">
      <c r="A996" t="s">
        <v>1409</v>
      </c>
      <c r="B996" s="3">
        <v>45099</v>
      </c>
      <c r="C996" t="s">
        <v>2016</v>
      </c>
      <c r="D996" t="s">
        <v>2025</v>
      </c>
      <c r="E996" s="8">
        <v>3925</v>
      </c>
      <c r="F996">
        <v>3</v>
      </c>
      <c r="G996">
        <v>0</v>
      </c>
      <c r="H996" s="8">
        <v>11775</v>
      </c>
      <c r="I996">
        <v>2258.63</v>
      </c>
      <c r="J996">
        <v>4999.1099999999997</v>
      </c>
      <c r="K996" s="5">
        <f>IF(SalesData[[#This Row],[Total Revenue]]=0,0,SalesData[[#This Row],[Profit]]/SalesData[[#This Row],[Total Revenue]])</f>
        <v>0.4245528662420382</v>
      </c>
      <c r="L996" s="5" t="str">
        <f>TEXT(SalesData[[#This Row],[Date]],"mmm")</f>
        <v>Jun</v>
      </c>
      <c r="M996">
        <f>YEAR(SalesData[[#This Row],[Date]])</f>
        <v>2023</v>
      </c>
      <c r="N996">
        <f>WEEKNUM(SalesData[[#This Row],[Date]])</f>
        <v>25</v>
      </c>
      <c r="O996" t="s">
        <v>2056</v>
      </c>
      <c r="P996" t="s">
        <v>2522</v>
      </c>
      <c r="Q996" t="s">
        <v>2525</v>
      </c>
    </row>
    <row r="997" spans="1:17" x14ac:dyDescent="0.35">
      <c r="A997" t="s">
        <v>524</v>
      </c>
      <c r="B997" s="3">
        <v>44929</v>
      </c>
      <c r="C997" t="s">
        <v>2015</v>
      </c>
      <c r="D997" t="s">
        <v>2025</v>
      </c>
      <c r="E997" s="8">
        <v>1309</v>
      </c>
      <c r="F997">
        <v>10</v>
      </c>
      <c r="G997">
        <v>10</v>
      </c>
      <c r="H997" s="8">
        <v>11781</v>
      </c>
      <c r="I997">
        <v>1041.1400000000001</v>
      </c>
      <c r="J997">
        <v>1369.57</v>
      </c>
      <c r="K997" s="5">
        <f>IF(SalesData[[#This Row],[Total Revenue]]=0,0,SalesData[[#This Row],[Profit]]/SalesData[[#This Row],[Total Revenue]])</f>
        <v>0.11625244037008742</v>
      </c>
      <c r="L997" s="5" t="str">
        <f>TEXT(SalesData[[#This Row],[Date]],"mmm")</f>
        <v>Jan</v>
      </c>
      <c r="M997">
        <f>YEAR(SalesData[[#This Row],[Date]])</f>
        <v>2023</v>
      </c>
      <c r="N997">
        <f>WEEKNUM(SalesData[[#This Row],[Date]])</f>
        <v>1</v>
      </c>
      <c r="O997" t="s">
        <v>2159</v>
      </c>
      <c r="P997" t="s">
        <v>2522</v>
      </c>
      <c r="Q997" t="s">
        <v>2526</v>
      </c>
    </row>
    <row r="998" spans="1:17" x14ac:dyDescent="0.35">
      <c r="A998" t="s">
        <v>356</v>
      </c>
      <c r="B998" s="3">
        <v>44953</v>
      </c>
      <c r="C998" t="s">
        <v>2013</v>
      </c>
      <c r="D998" t="s">
        <v>2023</v>
      </c>
      <c r="E998" s="8">
        <v>2067</v>
      </c>
      <c r="F998">
        <v>6</v>
      </c>
      <c r="G998">
        <v>5</v>
      </c>
      <c r="H998" s="8">
        <v>11781.9</v>
      </c>
      <c r="I998">
        <v>1066.78</v>
      </c>
      <c r="J998">
        <v>5381.21</v>
      </c>
      <c r="K998" s="5">
        <f>IF(SalesData[[#This Row],[Total Revenue]]=0,0,SalesData[[#This Row],[Profit]]/SalesData[[#This Row],[Total Revenue]])</f>
        <v>0.45673533131328564</v>
      </c>
      <c r="L998" s="5" t="str">
        <f>TEXT(SalesData[[#This Row],[Date]],"mmm")</f>
        <v>Jan</v>
      </c>
      <c r="M998">
        <f>YEAR(SalesData[[#This Row],[Date]])</f>
        <v>2023</v>
      </c>
      <c r="N998">
        <f>WEEKNUM(SalesData[[#This Row],[Date]])</f>
        <v>4</v>
      </c>
      <c r="O998" t="s">
        <v>2037</v>
      </c>
      <c r="P998" t="s">
        <v>2523</v>
      </c>
      <c r="Q998" t="s">
        <v>2527</v>
      </c>
    </row>
    <row r="999" spans="1:17" x14ac:dyDescent="0.35">
      <c r="A999" t="s">
        <v>102</v>
      </c>
      <c r="B999" s="3">
        <v>45100</v>
      </c>
      <c r="C999" t="s">
        <v>2018</v>
      </c>
      <c r="D999" t="s">
        <v>2026</v>
      </c>
      <c r="E999" s="8">
        <v>1688</v>
      </c>
      <c r="F999">
        <v>7</v>
      </c>
      <c r="G999">
        <v>0</v>
      </c>
      <c r="H999" s="8">
        <v>11816</v>
      </c>
      <c r="I999">
        <v>1062.58</v>
      </c>
      <c r="J999">
        <v>4377.97</v>
      </c>
      <c r="K999" s="5">
        <f>IF(SalesData[[#This Row],[Total Revenue]]=0,0,SalesData[[#This Row],[Profit]]/SalesData[[#This Row],[Total Revenue]])</f>
        <v>0.37051201760324987</v>
      </c>
      <c r="L999" s="5" t="str">
        <f>TEXT(SalesData[[#This Row],[Date]],"mmm")</f>
        <v>Jun</v>
      </c>
      <c r="M999">
        <f>YEAR(SalesData[[#This Row],[Date]])</f>
        <v>2023</v>
      </c>
      <c r="N999">
        <f>WEEKNUM(SalesData[[#This Row],[Date]])</f>
        <v>25</v>
      </c>
      <c r="O999" t="s">
        <v>2109</v>
      </c>
      <c r="P999" t="s">
        <v>2523</v>
      </c>
      <c r="Q999" t="s">
        <v>2525</v>
      </c>
    </row>
    <row r="1000" spans="1:17" x14ac:dyDescent="0.35">
      <c r="A1000" t="s">
        <v>1469</v>
      </c>
      <c r="B1000" s="3">
        <v>45137</v>
      </c>
      <c r="C1000" t="s">
        <v>2020</v>
      </c>
      <c r="D1000" t="s">
        <v>2028</v>
      </c>
      <c r="E1000" s="8">
        <v>2489</v>
      </c>
      <c r="F1000">
        <v>5</v>
      </c>
      <c r="G1000">
        <v>5</v>
      </c>
      <c r="H1000" s="8">
        <v>11822.75</v>
      </c>
      <c r="I1000">
        <v>1735.62</v>
      </c>
      <c r="J1000">
        <v>3144.64</v>
      </c>
      <c r="K1000" s="5">
        <f>IF(SalesData[[#This Row],[Total Revenue]]=0,0,SalesData[[#This Row],[Profit]]/SalesData[[#This Row],[Total Revenue]])</f>
        <v>0.26598211076103273</v>
      </c>
      <c r="L1000" s="5" t="str">
        <f>TEXT(SalesData[[#This Row],[Date]],"mmm")</f>
        <v>Jul</v>
      </c>
      <c r="M1000">
        <f>YEAR(SalesData[[#This Row],[Date]])</f>
        <v>2023</v>
      </c>
      <c r="N1000">
        <f>WEEKNUM(SalesData[[#This Row],[Date]])</f>
        <v>31</v>
      </c>
      <c r="O1000" t="s">
        <v>2496</v>
      </c>
      <c r="P1000" t="s">
        <v>2523</v>
      </c>
      <c r="Q1000" t="s">
        <v>2527</v>
      </c>
    </row>
    <row r="1001" spans="1:17" x14ac:dyDescent="0.35">
      <c r="A1001" t="s">
        <v>807</v>
      </c>
      <c r="B1001" s="3">
        <v>45265</v>
      </c>
      <c r="C1001" t="s">
        <v>2021</v>
      </c>
      <c r="D1001" t="s">
        <v>2028</v>
      </c>
      <c r="E1001" s="8">
        <v>1383</v>
      </c>
      <c r="F1001">
        <v>9</v>
      </c>
      <c r="G1001">
        <v>5</v>
      </c>
      <c r="H1001" s="8">
        <v>11824.65</v>
      </c>
      <c r="I1001">
        <v>1001.58</v>
      </c>
      <c r="J1001">
        <v>2810.4</v>
      </c>
      <c r="K1001" s="5">
        <f>IF(SalesData[[#This Row],[Total Revenue]]=0,0,SalesData[[#This Row],[Profit]]/SalesData[[#This Row],[Total Revenue]])</f>
        <v>0.23767299666374905</v>
      </c>
      <c r="L1001" s="5" t="str">
        <f>TEXT(SalesData[[#This Row],[Date]],"mmm")</f>
        <v>Dec</v>
      </c>
      <c r="M1001">
        <f>YEAR(SalesData[[#This Row],[Date]])</f>
        <v>2023</v>
      </c>
      <c r="N1001">
        <f>WEEKNUM(SalesData[[#This Row],[Date]])</f>
        <v>49</v>
      </c>
      <c r="O1001" t="s">
        <v>2163</v>
      </c>
      <c r="P1001" t="s">
        <v>2523</v>
      </c>
      <c r="Q1001" t="s">
        <v>2526</v>
      </c>
    </row>
    <row r="1002" spans="1:17" x14ac:dyDescent="0.35">
      <c r="A1002" t="s">
        <v>1635</v>
      </c>
      <c r="B1002" s="3">
        <v>45135</v>
      </c>
      <c r="C1002" t="s">
        <v>2013</v>
      </c>
      <c r="D1002" t="s">
        <v>2023</v>
      </c>
      <c r="E1002" s="8">
        <v>1878</v>
      </c>
      <c r="F1002">
        <v>7</v>
      </c>
      <c r="G1002">
        <v>10</v>
      </c>
      <c r="H1002" s="8">
        <v>11831.4</v>
      </c>
      <c r="I1002">
        <v>1298.73</v>
      </c>
      <c r="J1002">
        <v>2740.29</v>
      </c>
      <c r="K1002" s="5">
        <f>IF(SalesData[[#This Row],[Total Revenue]]=0,0,SalesData[[#This Row],[Profit]]/SalesData[[#This Row],[Total Revenue]])</f>
        <v>0.23161164359247427</v>
      </c>
      <c r="L1002" s="5" t="str">
        <f>TEXT(SalesData[[#This Row],[Date]],"mmm")</f>
        <v>Jul</v>
      </c>
      <c r="M1002">
        <f>YEAR(SalesData[[#This Row],[Date]])</f>
        <v>2023</v>
      </c>
      <c r="N1002">
        <f>WEEKNUM(SalesData[[#This Row],[Date]])</f>
        <v>30</v>
      </c>
      <c r="O1002" t="s">
        <v>2304</v>
      </c>
      <c r="P1002" t="s">
        <v>2523</v>
      </c>
      <c r="Q1002" t="s">
        <v>2525</v>
      </c>
    </row>
    <row r="1003" spans="1:17" x14ac:dyDescent="0.35">
      <c r="A1003" t="s">
        <v>865</v>
      </c>
      <c r="B1003" s="3">
        <v>45260</v>
      </c>
      <c r="C1003" t="s">
        <v>2014</v>
      </c>
      <c r="D1003" t="s">
        <v>2024</v>
      </c>
      <c r="E1003" s="8">
        <v>2192</v>
      </c>
      <c r="F1003">
        <v>6</v>
      </c>
      <c r="G1003">
        <v>10</v>
      </c>
      <c r="H1003" s="8">
        <v>11836.8</v>
      </c>
      <c r="I1003">
        <v>1650.42</v>
      </c>
      <c r="J1003">
        <v>1934.28</v>
      </c>
      <c r="K1003" s="5">
        <f>IF(SalesData[[#This Row],[Total Revenue]]=0,0,SalesData[[#This Row],[Profit]]/SalesData[[#This Row],[Total Revenue]])</f>
        <v>0.16341240875912411</v>
      </c>
      <c r="L1003" s="5" t="str">
        <f>TEXT(SalesData[[#This Row],[Date]],"mmm")</f>
        <v>Nov</v>
      </c>
      <c r="M1003">
        <f>YEAR(SalesData[[#This Row],[Date]])</f>
        <v>2023</v>
      </c>
      <c r="N1003">
        <f>WEEKNUM(SalesData[[#This Row],[Date]])</f>
        <v>48</v>
      </c>
      <c r="O1003" t="s">
        <v>2434</v>
      </c>
      <c r="P1003" t="s">
        <v>2523</v>
      </c>
      <c r="Q1003" t="s">
        <v>2526</v>
      </c>
    </row>
    <row r="1004" spans="1:17" x14ac:dyDescent="0.35">
      <c r="A1004" t="s">
        <v>1276</v>
      </c>
      <c r="B1004" s="3">
        <v>44933</v>
      </c>
      <c r="C1004" t="s">
        <v>2020</v>
      </c>
      <c r="D1004" t="s">
        <v>2028</v>
      </c>
      <c r="E1004" s="8">
        <v>3953</v>
      </c>
      <c r="F1004">
        <v>3</v>
      </c>
      <c r="G1004">
        <v>0</v>
      </c>
      <c r="H1004" s="8">
        <v>11859</v>
      </c>
      <c r="I1004">
        <v>2616.8200000000002</v>
      </c>
      <c r="J1004">
        <v>4008.53</v>
      </c>
      <c r="K1004" s="5">
        <f>IF(SalesData[[#This Row],[Total Revenue]]=0,0,SalesData[[#This Row],[Profit]]/SalesData[[#This Row],[Total Revenue]])</f>
        <v>0.33801585293869635</v>
      </c>
      <c r="L1004" s="5" t="str">
        <f>TEXT(SalesData[[#This Row],[Date]],"mmm")</f>
        <v>Jan</v>
      </c>
      <c r="M1004">
        <f>YEAR(SalesData[[#This Row],[Date]])</f>
        <v>2023</v>
      </c>
      <c r="N1004">
        <f>WEEKNUM(SalesData[[#This Row],[Date]])</f>
        <v>1</v>
      </c>
      <c r="O1004" t="s">
        <v>2335</v>
      </c>
      <c r="P1004" t="s">
        <v>2523</v>
      </c>
      <c r="Q1004" t="s">
        <v>2526</v>
      </c>
    </row>
    <row r="1005" spans="1:17" x14ac:dyDescent="0.35">
      <c r="A1005" t="s">
        <v>1890</v>
      </c>
      <c r="B1005" s="3">
        <v>45169</v>
      </c>
      <c r="C1005" t="s">
        <v>2022</v>
      </c>
      <c r="D1005" t="s">
        <v>2024</v>
      </c>
      <c r="E1005" s="8">
        <v>2374</v>
      </c>
      <c r="F1005">
        <v>5</v>
      </c>
      <c r="G1005">
        <v>0</v>
      </c>
      <c r="H1005" s="8">
        <v>11870</v>
      </c>
      <c r="I1005">
        <v>1820.34</v>
      </c>
      <c r="J1005">
        <v>2768.3</v>
      </c>
      <c r="K1005" s="5">
        <f>IF(SalesData[[#This Row],[Total Revenue]]=0,0,SalesData[[#This Row],[Profit]]/SalesData[[#This Row],[Total Revenue]])</f>
        <v>0.23321819713563607</v>
      </c>
      <c r="L1005" s="5" t="str">
        <f>TEXT(SalesData[[#This Row],[Date]],"mmm")</f>
        <v>Aug</v>
      </c>
      <c r="M1005">
        <f>YEAR(SalesData[[#This Row],[Date]])</f>
        <v>2023</v>
      </c>
      <c r="N1005">
        <f>WEEKNUM(SalesData[[#This Row],[Date]])</f>
        <v>35</v>
      </c>
      <c r="O1005" t="s">
        <v>2503</v>
      </c>
      <c r="P1005" t="s">
        <v>2523</v>
      </c>
      <c r="Q1005" t="s">
        <v>2525</v>
      </c>
    </row>
    <row r="1006" spans="1:17" x14ac:dyDescent="0.35">
      <c r="A1006" t="s">
        <v>859</v>
      </c>
      <c r="B1006" s="3">
        <v>45123</v>
      </c>
      <c r="C1006" t="s">
        <v>2019</v>
      </c>
      <c r="D1006" t="s">
        <v>2027</v>
      </c>
      <c r="E1006" s="8">
        <v>3963</v>
      </c>
      <c r="F1006">
        <v>3</v>
      </c>
      <c r="G1006">
        <v>0</v>
      </c>
      <c r="H1006" s="8">
        <v>11889</v>
      </c>
      <c r="I1006">
        <v>3039.25</v>
      </c>
      <c r="J1006">
        <v>2771.24</v>
      </c>
      <c r="K1006" s="5">
        <f>IF(SalesData[[#This Row],[Total Revenue]]=0,0,SalesData[[#This Row],[Profit]]/SalesData[[#This Row],[Total Revenue]])</f>
        <v>0.23309277483388005</v>
      </c>
      <c r="L1006" s="5" t="str">
        <f>TEXT(SalesData[[#This Row],[Date]],"mmm")</f>
        <v>Jul</v>
      </c>
      <c r="M1006">
        <f>YEAR(SalesData[[#This Row],[Date]])</f>
        <v>2023</v>
      </c>
      <c r="N1006">
        <f>WEEKNUM(SalesData[[#This Row],[Date]])</f>
        <v>29</v>
      </c>
      <c r="O1006" t="s">
        <v>2034</v>
      </c>
      <c r="P1006" t="s">
        <v>2523</v>
      </c>
      <c r="Q1006" t="s">
        <v>2526</v>
      </c>
    </row>
    <row r="1007" spans="1:17" x14ac:dyDescent="0.35">
      <c r="A1007" t="s">
        <v>811</v>
      </c>
      <c r="B1007" s="3">
        <v>45054</v>
      </c>
      <c r="C1007" t="s">
        <v>2013</v>
      </c>
      <c r="D1007" t="s">
        <v>2023</v>
      </c>
      <c r="E1007" s="8">
        <v>1983</v>
      </c>
      <c r="F1007">
        <v>6</v>
      </c>
      <c r="G1007">
        <v>0</v>
      </c>
      <c r="H1007" s="8">
        <v>11898</v>
      </c>
      <c r="I1007">
        <v>1124.1199999999999</v>
      </c>
      <c r="J1007">
        <v>5153.26</v>
      </c>
      <c r="K1007" s="5">
        <f>IF(SalesData[[#This Row],[Total Revenue]]=0,0,SalesData[[#This Row],[Profit]]/SalesData[[#This Row],[Total Revenue]])</f>
        <v>0.43311985207597919</v>
      </c>
      <c r="L1007" s="5" t="str">
        <f>TEXT(SalesData[[#This Row],[Date]],"mmm")</f>
        <v>May</v>
      </c>
      <c r="M1007">
        <f>YEAR(SalesData[[#This Row],[Date]])</f>
        <v>2023</v>
      </c>
      <c r="N1007">
        <f>WEEKNUM(SalesData[[#This Row],[Date]])</f>
        <v>19</v>
      </c>
      <c r="O1007" t="s">
        <v>2195</v>
      </c>
      <c r="P1007" t="s">
        <v>2523</v>
      </c>
      <c r="Q1007" t="s">
        <v>2527</v>
      </c>
    </row>
    <row r="1008" spans="1:17" x14ac:dyDescent="0.35">
      <c r="A1008" t="s">
        <v>1508</v>
      </c>
      <c r="B1008" s="3">
        <v>44955</v>
      </c>
      <c r="C1008" t="s">
        <v>2018</v>
      </c>
      <c r="D1008" t="s">
        <v>2026</v>
      </c>
      <c r="E1008" s="8">
        <v>1325</v>
      </c>
      <c r="F1008">
        <v>10</v>
      </c>
      <c r="G1008">
        <v>10</v>
      </c>
      <c r="H1008" s="8">
        <v>11925</v>
      </c>
      <c r="I1008">
        <v>902.44</v>
      </c>
      <c r="J1008">
        <v>2900.57</v>
      </c>
      <c r="K1008" s="5">
        <f>IF(SalesData[[#This Row],[Total Revenue]]=0,0,SalesData[[#This Row],[Profit]]/SalesData[[#This Row],[Total Revenue]])</f>
        <v>0.2432343815513627</v>
      </c>
      <c r="L1008" s="5" t="str">
        <f>TEXT(SalesData[[#This Row],[Date]],"mmm")</f>
        <v>Jan</v>
      </c>
      <c r="M1008">
        <f>YEAR(SalesData[[#This Row],[Date]])</f>
        <v>2023</v>
      </c>
      <c r="N1008">
        <f>WEEKNUM(SalesData[[#This Row],[Date]])</f>
        <v>5</v>
      </c>
      <c r="O1008" t="s">
        <v>2092</v>
      </c>
      <c r="P1008" t="s">
        <v>2522</v>
      </c>
      <c r="Q1008" t="s">
        <v>2527</v>
      </c>
    </row>
    <row r="1009" spans="1:17" x14ac:dyDescent="0.35">
      <c r="A1009" t="s">
        <v>1580</v>
      </c>
      <c r="B1009" s="3">
        <v>45069</v>
      </c>
      <c r="C1009" t="s">
        <v>2018</v>
      </c>
      <c r="D1009" t="s">
        <v>2026</v>
      </c>
      <c r="E1009" s="8">
        <v>3978</v>
      </c>
      <c r="F1009">
        <v>3</v>
      </c>
      <c r="G1009">
        <v>0</v>
      </c>
      <c r="H1009" s="8">
        <v>11934</v>
      </c>
      <c r="I1009">
        <v>2042.18</v>
      </c>
      <c r="J1009">
        <v>5807.46</v>
      </c>
      <c r="K1009" s="5">
        <f>IF(SalesData[[#This Row],[Total Revenue]]=0,0,SalesData[[#This Row],[Profit]]/SalesData[[#This Row],[Total Revenue]])</f>
        <v>0.48663147310206134</v>
      </c>
      <c r="L1009" s="5" t="str">
        <f>TEXT(SalesData[[#This Row],[Date]],"mmm")</f>
        <v>May</v>
      </c>
      <c r="M1009">
        <f>YEAR(SalesData[[#This Row],[Date]])</f>
        <v>2023</v>
      </c>
      <c r="N1009">
        <f>WEEKNUM(SalesData[[#This Row],[Date]])</f>
        <v>21</v>
      </c>
      <c r="O1009" t="s">
        <v>2487</v>
      </c>
      <c r="P1009" t="s">
        <v>2522</v>
      </c>
      <c r="Q1009" t="s">
        <v>2525</v>
      </c>
    </row>
    <row r="1010" spans="1:17" x14ac:dyDescent="0.35">
      <c r="A1010" t="s">
        <v>1063</v>
      </c>
      <c r="B1010" s="3">
        <v>44987</v>
      </c>
      <c r="C1010" t="s">
        <v>2016</v>
      </c>
      <c r="D1010" t="s">
        <v>2025</v>
      </c>
      <c r="E1010" s="8">
        <v>1897</v>
      </c>
      <c r="F1010">
        <v>7</v>
      </c>
      <c r="G1010">
        <v>10</v>
      </c>
      <c r="H1010" s="8">
        <v>11951.1</v>
      </c>
      <c r="I1010">
        <v>1414.94</v>
      </c>
      <c r="J1010">
        <v>2046.53</v>
      </c>
      <c r="K1010" s="5">
        <f>IF(SalesData[[#This Row],[Total Revenue]]=0,0,SalesData[[#This Row],[Profit]]/SalesData[[#This Row],[Total Revenue]])</f>
        <v>0.17124197772589969</v>
      </c>
      <c r="L1010" s="5" t="str">
        <f>TEXT(SalesData[[#This Row],[Date]],"mmm")</f>
        <v>Mar</v>
      </c>
      <c r="M1010">
        <f>YEAR(SalesData[[#This Row],[Date]])</f>
        <v>2023</v>
      </c>
      <c r="N1010">
        <f>WEEKNUM(SalesData[[#This Row],[Date]])</f>
        <v>9</v>
      </c>
      <c r="O1010" t="s">
        <v>2160</v>
      </c>
      <c r="P1010" t="s">
        <v>2523</v>
      </c>
      <c r="Q1010" t="s">
        <v>2525</v>
      </c>
    </row>
    <row r="1011" spans="1:17" x14ac:dyDescent="0.35">
      <c r="A1011" t="s">
        <v>1152</v>
      </c>
      <c r="B1011" s="3">
        <v>45266</v>
      </c>
      <c r="C1011" t="s">
        <v>2018</v>
      </c>
      <c r="D1011" t="s">
        <v>2026</v>
      </c>
      <c r="E1011" s="8">
        <v>1328</v>
      </c>
      <c r="F1011">
        <v>10</v>
      </c>
      <c r="G1011">
        <v>10</v>
      </c>
      <c r="H1011" s="8">
        <v>11952</v>
      </c>
      <c r="I1011">
        <v>749.6</v>
      </c>
      <c r="J1011">
        <v>4456.05</v>
      </c>
      <c r="K1011" s="5">
        <f>IF(SalesData[[#This Row],[Total Revenue]]=0,0,SalesData[[#This Row],[Profit]]/SalesData[[#This Row],[Total Revenue]])</f>
        <v>0.37282881526104417</v>
      </c>
      <c r="L1011" s="5" t="str">
        <f>TEXT(SalesData[[#This Row],[Date]],"mmm")</f>
        <v>Dec</v>
      </c>
      <c r="M1011">
        <f>YEAR(SalesData[[#This Row],[Date]])</f>
        <v>2023</v>
      </c>
      <c r="N1011">
        <f>WEEKNUM(SalesData[[#This Row],[Date]])</f>
        <v>49</v>
      </c>
      <c r="O1011" t="s">
        <v>2217</v>
      </c>
      <c r="P1011" t="s">
        <v>2522</v>
      </c>
      <c r="Q1011" t="s">
        <v>2525</v>
      </c>
    </row>
    <row r="1012" spans="1:17" x14ac:dyDescent="0.35">
      <c r="A1012" t="s">
        <v>122</v>
      </c>
      <c r="B1012" s="3">
        <v>44986</v>
      </c>
      <c r="C1012" t="s">
        <v>2020</v>
      </c>
      <c r="D1012" t="s">
        <v>2028</v>
      </c>
      <c r="E1012" s="8">
        <v>2814</v>
      </c>
      <c r="F1012">
        <v>5</v>
      </c>
      <c r="G1012">
        <v>15</v>
      </c>
      <c r="H1012" s="8">
        <v>11959.5</v>
      </c>
      <c r="I1012">
        <v>1413.93</v>
      </c>
      <c r="J1012">
        <v>4889.87</v>
      </c>
      <c r="K1012" s="5">
        <f>IF(SalesData[[#This Row],[Total Revenue]]=0,0,SalesData[[#This Row],[Profit]]/SalesData[[#This Row],[Total Revenue]])</f>
        <v>0.40886909987875747</v>
      </c>
      <c r="L1012" s="5" t="str">
        <f>TEXT(SalesData[[#This Row],[Date]],"mmm")</f>
        <v>Mar</v>
      </c>
      <c r="M1012">
        <f>YEAR(SalesData[[#This Row],[Date]])</f>
        <v>2023</v>
      </c>
      <c r="N1012">
        <f>WEEKNUM(SalesData[[#This Row],[Date]])</f>
        <v>9</v>
      </c>
      <c r="O1012" t="s">
        <v>2127</v>
      </c>
      <c r="P1012" t="s">
        <v>2522</v>
      </c>
      <c r="Q1012" t="s">
        <v>2524</v>
      </c>
    </row>
    <row r="1013" spans="1:17" x14ac:dyDescent="0.35">
      <c r="A1013" t="s">
        <v>1529</v>
      </c>
      <c r="B1013" s="3">
        <v>45254</v>
      </c>
      <c r="C1013" t="s">
        <v>2019</v>
      </c>
      <c r="D1013" t="s">
        <v>2027</v>
      </c>
      <c r="E1013" s="8">
        <v>4001</v>
      </c>
      <c r="F1013">
        <v>3</v>
      </c>
      <c r="G1013">
        <v>0</v>
      </c>
      <c r="H1013" s="8">
        <v>12003</v>
      </c>
      <c r="I1013">
        <v>2913.51</v>
      </c>
      <c r="J1013">
        <v>3262.47</v>
      </c>
      <c r="K1013" s="5">
        <f>IF(SalesData[[#This Row],[Total Revenue]]=0,0,SalesData[[#This Row],[Profit]]/SalesData[[#This Row],[Total Revenue]])</f>
        <v>0.27180454886278427</v>
      </c>
      <c r="L1013" s="5" t="str">
        <f>TEXT(SalesData[[#This Row],[Date]],"mmm")</f>
        <v>Nov</v>
      </c>
      <c r="M1013">
        <f>YEAR(SalesData[[#This Row],[Date]])</f>
        <v>2023</v>
      </c>
      <c r="N1013">
        <f>WEEKNUM(SalesData[[#This Row],[Date]])</f>
        <v>47</v>
      </c>
      <c r="O1013" t="s">
        <v>2258</v>
      </c>
      <c r="P1013" t="s">
        <v>2522</v>
      </c>
      <c r="Q1013" t="s">
        <v>2525</v>
      </c>
    </row>
    <row r="1014" spans="1:17" x14ac:dyDescent="0.35">
      <c r="A1014" t="s">
        <v>749</v>
      </c>
      <c r="B1014" s="3">
        <v>45158</v>
      </c>
      <c r="C1014" t="s">
        <v>2015</v>
      </c>
      <c r="D1014" t="s">
        <v>2025</v>
      </c>
      <c r="E1014" s="8">
        <v>4009</v>
      </c>
      <c r="F1014">
        <v>3</v>
      </c>
      <c r="G1014">
        <v>0</v>
      </c>
      <c r="H1014" s="8">
        <v>12027</v>
      </c>
      <c r="I1014">
        <v>2596.44</v>
      </c>
      <c r="J1014">
        <v>4237.67</v>
      </c>
      <c r="K1014" s="5">
        <f>IF(SalesData[[#This Row],[Total Revenue]]=0,0,SalesData[[#This Row],[Profit]]/SalesData[[#This Row],[Total Revenue]])</f>
        <v>0.35234638729525236</v>
      </c>
      <c r="L1014" s="5" t="str">
        <f>TEXT(SalesData[[#This Row],[Date]],"mmm")</f>
        <v>Aug</v>
      </c>
      <c r="M1014">
        <f>YEAR(SalesData[[#This Row],[Date]])</f>
        <v>2023</v>
      </c>
      <c r="N1014">
        <f>WEEKNUM(SalesData[[#This Row],[Date]])</f>
        <v>34</v>
      </c>
      <c r="O1014" t="s">
        <v>2058</v>
      </c>
      <c r="P1014" t="s">
        <v>2523</v>
      </c>
      <c r="Q1014" t="s">
        <v>2524</v>
      </c>
    </row>
    <row r="1015" spans="1:17" x14ac:dyDescent="0.35">
      <c r="A1015" t="s">
        <v>2006</v>
      </c>
      <c r="B1015" s="3">
        <v>45097</v>
      </c>
      <c r="C1015" t="s">
        <v>2020</v>
      </c>
      <c r="D1015" t="s">
        <v>2028</v>
      </c>
      <c r="E1015" s="8">
        <v>2409</v>
      </c>
      <c r="F1015">
        <v>5</v>
      </c>
      <c r="G1015">
        <v>0</v>
      </c>
      <c r="H1015" s="8">
        <v>12045</v>
      </c>
      <c r="I1015">
        <v>1503.32</v>
      </c>
      <c r="J1015">
        <v>4528.3999999999996</v>
      </c>
      <c r="K1015" s="5">
        <f>IF(SalesData[[#This Row],[Total Revenue]]=0,0,SalesData[[#This Row],[Profit]]/SalesData[[#This Row],[Total Revenue]])</f>
        <v>0.37595682855956825</v>
      </c>
      <c r="L1015" s="5" t="str">
        <f>TEXT(SalesData[[#This Row],[Date]],"mmm")</f>
        <v>Jun</v>
      </c>
      <c r="M1015">
        <f>YEAR(SalesData[[#This Row],[Date]])</f>
        <v>2023</v>
      </c>
      <c r="N1015">
        <f>WEEKNUM(SalesData[[#This Row],[Date]])</f>
        <v>25</v>
      </c>
      <c r="O1015" t="s">
        <v>2352</v>
      </c>
      <c r="P1015" t="s">
        <v>2523</v>
      </c>
      <c r="Q1015" t="s">
        <v>2525</v>
      </c>
    </row>
    <row r="1016" spans="1:17" x14ac:dyDescent="0.35">
      <c r="A1016" t="s">
        <v>248</v>
      </c>
      <c r="B1016" s="3">
        <v>45153</v>
      </c>
      <c r="C1016" t="s">
        <v>2018</v>
      </c>
      <c r="D1016" t="s">
        <v>2026</v>
      </c>
      <c r="E1016" s="8">
        <v>2010</v>
      </c>
      <c r="F1016">
        <v>6</v>
      </c>
      <c r="G1016">
        <v>0</v>
      </c>
      <c r="H1016" s="8">
        <v>12060</v>
      </c>
      <c r="I1016">
        <v>1269.3599999999999</v>
      </c>
      <c r="J1016">
        <v>4443.8500000000004</v>
      </c>
      <c r="K1016" s="5">
        <f>IF(SalesData[[#This Row],[Total Revenue]]=0,0,SalesData[[#This Row],[Profit]]/SalesData[[#This Row],[Total Revenue]])</f>
        <v>0.3684784411276949</v>
      </c>
      <c r="L1016" s="5" t="str">
        <f>TEXT(SalesData[[#This Row],[Date]],"mmm")</f>
        <v>Aug</v>
      </c>
      <c r="M1016">
        <f>YEAR(SalesData[[#This Row],[Date]])</f>
        <v>2023</v>
      </c>
      <c r="N1016">
        <f>WEEKNUM(SalesData[[#This Row],[Date]])</f>
        <v>33</v>
      </c>
      <c r="O1016" t="s">
        <v>2217</v>
      </c>
      <c r="P1016" t="s">
        <v>2522</v>
      </c>
      <c r="Q1016" t="s">
        <v>2526</v>
      </c>
    </row>
    <row r="1017" spans="1:17" x14ac:dyDescent="0.35">
      <c r="A1017" t="s">
        <v>1014</v>
      </c>
      <c r="B1017" s="3">
        <v>45050</v>
      </c>
      <c r="C1017" t="s">
        <v>2021</v>
      </c>
      <c r="D1017" t="s">
        <v>2028</v>
      </c>
      <c r="E1017" s="8">
        <v>3352</v>
      </c>
      <c r="F1017">
        <v>4</v>
      </c>
      <c r="G1017">
        <v>10</v>
      </c>
      <c r="H1017" s="8">
        <v>12067.2</v>
      </c>
      <c r="I1017">
        <v>1737.72</v>
      </c>
      <c r="J1017">
        <v>5116.3100000000004</v>
      </c>
      <c r="K1017" s="5">
        <f>IF(SalesData[[#This Row],[Total Revenue]]=0,0,SalesData[[#This Row],[Profit]]/SalesData[[#This Row],[Total Revenue]])</f>
        <v>0.42398485149827631</v>
      </c>
      <c r="L1017" s="5" t="str">
        <f>TEXT(SalesData[[#This Row],[Date]],"mmm")</f>
        <v>May</v>
      </c>
      <c r="M1017">
        <f>YEAR(SalesData[[#This Row],[Date]])</f>
        <v>2023</v>
      </c>
      <c r="N1017">
        <f>WEEKNUM(SalesData[[#This Row],[Date]])</f>
        <v>18</v>
      </c>
      <c r="O1017" t="s">
        <v>2457</v>
      </c>
      <c r="P1017" t="s">
        <v>2523</v>
      </c>
      <c r="Q1017" t="s">
        <v>2525</v>
      </c>
    </row>
    <row r="1018" spans="1:17" x14ac:dyDescent="0.35">
      <c r="A1018" t="s">
        <v>274</v>
      </c>
      <c r="B1018" s="3">
        <v>45205</v>
      </c>
      <c r="C1018" t="s">
        <v>2017</v>
      </c>
      <c r="D1018" t="s">
        <v>2026</v>
      </c>
      <c r="E1018" s="8">
        <v>4475</v>
      </c>
      <c r="F1018">
        <v>3</v>
      </c>
      <c r="G1018">
        <v>10</v>
      </c>
      <c r="H1018" s="8">
        <v>12082.5</v>
      </c>
      <c r="I1018">
        <v>3138.12</v>
      </c>
      <c r="J1018">
        <v>2668.14</v>
      </c>
      <c r="K1018" s="5">
        <f>IF(SalesData[[#This Row],[Total Revenue]]=0,0,SalesData[[#This Row],[Profit]]/SalesData[[#This Row],[Total Revenue]])</f>
        <v>0.2208268156424581</v>
      </c>
      <c r="L1018" s="5" t="str">
        <f>TEXT(SalesData[[#This Row],[Date]],"mmm")</f>
        <v>Oct</v>
      </c>
      <c r="M1018">
        <f>YEAR(SalesData[[#This Row],[Date]])</f>
        <v>2023</v>
      </c>
      <c r="N1018">
        <f>WEEKNUM(SalesData[[#This Row],[Date]])</f>
        <v>40</v>
      </c>
      <c r="O1018" t="s">
        <v>2233</v>
      </c>
      <c r="P1018" t="s">
        <v>2523</v>
      </c>
      <c r="Q1018" t="s">
        <v>2525</v>
      </c>
    </row>
    <row r="1019" spans="1:17" x14ac:dyDescent="0.35">
      <c r="A1019" t="s">
        <v>154</v>
      </c>
      <c r="B1019" s="3">
        <v>45262</v>
      </c>
      <c r="C1019" t="s">
        <v>2015</v>
      </c>
      <c r="D1019" t="s">
        <v>2025</v>
      </c>
      <c r="E1019" s="8">
        <v>3023</v>
      </c>
      <c r="F1019">
        <v>4</v>
      </c>
      <c r="G1019">
        <v>0</v>
      </c>
      <c r="H1019" s="8">
        <v>12092</v>
      </c>
      <c r="I1019">
        <v>2035.61</v>
      </c>
      <c r="J1019">
        <v>3949.56</v>
      </c>
      <c r="K1019" s="5">
        <f>IF(SalesData[[#This Row],[Total Revenue]]=0,0,SalesData[[#This Row],[Profit]]/SalesData[[#This Row],[Total Revenue]])</f>
        <v>0.32662586834270591</v>
      </c>
      <c r="L1019" s="5" t="str">
        <f>TEXT(SalesData[[#This Row],[Date]],"mmm")</f>
        <v>Dec</v>
      </c>
      <c r="M1019">
        <f>YEAR(SalesData[[#This Row],[Date]])</f>
        <v>2023</v>
      </c>
      <c r="N1019">
        <f>WEEKNUM(SalesData[[#This Row],[Date]])</f>
        <v>48</v>
      </c>
      <c r="O1019" t="s">
        <v>2154</v>
      </c>
      <c r="P1019" t="s">
        <v>2523</v>
      </c>
      <c r="Q1019" t="s">
        <v>2526</v>
      </c>
    </row>
    <row r="1020" spans="1:17" x14ac:dyDescent="0.35">
      <c r="A1020" t="s">
        <v>875</v>
      </c>
      <c r="B1020" s="3">
        <v>45104</v>
      </c>
      <c r="C1020" t="s">
        <v>2013</v>
      </c>
      <c r="D1020" t="s">
        <v>2023</v>
      </c>
      <c r="E1020" s="8">
        <v>3194</v>
      </c>
      <c r="F1020">
        <v>4</v>
      </c>
      <c r="G1020">
        <v>5</v>
      </c>
      <c r="H1020" s="8">
        <v>12137.2</v>
      </c>
      <c r="I1020">
        <v>1937.58</v>
      </c>
      <c r="J1020">
        <v>4386.87</v>
      </c>
      <c r="K1020" s="5">
        <f>IF(SalesData[[#This Row],[Total Revenue]]=0,0,SalesData[[#This Row],[Profit]]/SalesData[[#This Row],[Total Revenue]])</f>
        <v>0.36144003559305271</v>
      </c>
      <c r="L1020" s="5" t="str">
        <f>TEXT(SalesData[[#This Row],[Date]],"mmm")</f>
        <v>Jun</v>
      </c>
      <c r="M1020">
        <f>YEAR(SalesData[[#This Row],[Date]])</f>
        <v>2023</v>
      </c>
      <c r="N1020">
        <f>WEEKNUM(SalesData[[#This Row],[Date]])</f>
        <v>26</v>
      </c>
      <c r="O1020" t="s">
        <v>2332</v>
      </c>
      <c r="P1020" t="s">
        <v>2522</v>
      </c>
      <c r="Q1020" t="s">
        <v>2525</v>
      </c>
    </row>
    <row r="1021" spans="1:17" x14ac:dyDescent="0.35">
      <c r="A1021" t="s">
        <v>1145</v>
      </c>
      <c r="B1021" s="3">
        <v>45256</v>
      </c>
      <c r="C1021" t="s">
        <v>2019</v>
      </c>
      <c r="D1021" t="s">
        <v>2027</v>
      </c>
      <c r="E1021" s="8">
        <v>4259</v>
      </c>
      <c r="F1021">
        <v>3</v>
      </c>
      <c r="G1021">
        <v>5</v>
      </c>
      <c r="H1021" s="8">
        <v>12138.15</v>
      </c>
      <c r="I1021">
        <v>3117.89</v>
      </c>
      <c r="J1021">
        <v>2784.48</v>
      </c>
      <c r="K1021" s="5">
        <f>IF(SalesData[[#This Row],[Total Revenue]]=0,0,SalesData[[#This Row],[Profit]]/SalesData[[#This Row],[Total Revenue]])</f>
        <v>0.22939904351157303</v>
      </c>
      <c r="L1021" s="5" t="str">
        <f>TEXT(SalesData[[#This Row],[Date]],"mmm")</f>
        <v>Nov</v>
      </c>
      <c r="M1021">
        <f>YEAR(SalesData[[#This Row],[Date]])</f>
        <v>2023</v>
      </c>
      <c r="N1021">
        <f>WEEKNUM(SalesData[[#This Row],[Date]])</f>
        <v>48</v>
      </c>
      <c r="O1021" t="s">
        <v>2402</v>
      </c>
      <c r="P1021" t="s">
        <v>2523</v>
      </c>
      <c r="Q1021" t="s">
        <v>2525</v>
      </c>
    </row>
    <row r="1022" spans="1:17" x14ac:dyDescent="0.35">
      <c r="A1022" t="s">
        <v>1637</v>
      </c>
      <c r="B1022" s="3">
        <v>45253</v>
      </c>
      <c r="C1022" t="s">
        <v>2013</v>
      </c>
      <c r="D1022" t="s">
        <v>2023</v>
      </c>
      <c r="E1022" s="8">
        <v>1740</v>
      </c>
      <c r="F1022">
        <v>7</v>
      </c>
      <c r="G1022">
        <v>0</v>
      </c>
      <c r="H1022" s="8">
        <v>12180</v>
      </c>
      <c r="I1022">
        <v>960.86</v>
      </c>
      <c r="J1022">
        <v>5453.98</v>
      </c>
      <c r="K1022" s="5">
        <f>IF(SalesData[[#This Row],[Total Revenue]]=0,0,SalesData[[#This Row],[Profit]]/SalesData[[#This Row],[Total Revenue]])</f>
        <v>0.44778160919540227</v>
      </c>
      <c r="L1022" s="5" t="str">
        <f>TEXT(SalesData[[#This Row],[Date]],"mmm")</f>
        <v>Nov</v>
      </c>
      <c r="M1022">
        <f>YEAR(SalesData[[#This Row],[Date]])</f>
        <v>2023</v>
      </c>
      <c r="N1022">
        <f>WEEKNUM(SalesData[[#This Row],[Date]])</f>
        <v>47</v>
      </c>
      <c r="O1022" t="s">
        <v>2481</v>
      </c>
      <c r="P1022" t="s">
        <v>2523</v>
      </c>
      <c r="Q1022" t="s">
        <v>2526</v>
      </c>
    </row>
    <row r="1023" spans="1:17" x14ac:dyDescent="0.35">
      <c r="A1023" t="s">
        <v>1718</v>
      </c>
      <c r="B1023" s="3">
        <v>45282</v>
      </c>
      <c r="C1023" t="s">
        <v>2022</v>
      </c>
      <c r="D1023" t="s">
        <v>2024</v>
      </c>
      <c r="E1023" s="8">
        <v>3048</v>
      </c>
      <c r="F1023">
        <v>4</v>
      </c>
      <c r="G1023">
        <v>0</v>
      </c>
      <c r="H1023" s="8">
        <v>12192</v>
      </c>
      <c r="I1023">
        <v>2310.33</v>
      </c>
      <c r="J1023">
        <v>2950.69</v>
      </c>
      <c r="K1023" s="5">
        <f>IF(SalesData[[#This Row],[Total Revenue]]=0,0,SalesData[[#This Row],[Profit]]/SalesData[[#This Row],[Total Revenue]])</f>
        <v>0.24201853674540683</v>
      </c>
      <c r="L1023" s="5" t="str">
        <f>TEXT(SalesData[[#This Row],[Date]],"mmm")</f>
        <v>Dec</v>
      </c>
      <c r="M1023">
        <f>YEAR(SalesData[[#This Row],[Date]])</f>
        <v>2023</v>
      </c>
      <c r="N1023">
        <f>WEEKNUM(SalesData[[#This Row],[Date]])</f>
        <v>51</v>
      </c>
      <c r="O1023" t="s">
        <v>2247</v>
      </c>
      <c r="P1023" t="s">
        <v>2522</v>
      </c>
      <c r="Q1023" t="s">
        <v>2527</v>
      </c>
    </row>
    <row r="1024" spans="1:17" x14ac:dyDescent="0.35">
      <c r="A1024" t="s">
        <v>698</v>
      </c>
      <c r="B1024" s="3">
        <v>45127</v>
      </c>
      <c r="C1024" t="s">
        <v>2017</v>
      </c>
      <c r="D1024" t="s">
        <v>2026</v>
      </c>
      <c r="E1024" s="8">
        <v>4519</v>
      </c>
      <c r="F1024">
        <v>3</v>
      </c>
      <c r="G1024">
        <v>10</v>
      </c>
      <c r="H1024" s="8">
        <v>12201.3</v>
      </c>
      <c r="I1024">
        <v>3496.63</v>
      </c>
      <c r="J1024">
        <v>1711.4</v>
      </c>
      <c r="K1024" s="5">
        <f>IF(SalesData[[#This Row],[Total Revenue]]=0,0,SalesData[[#This Row],[Profit]]/SalesData[[#This Row],[Total Revenue]])</f>
        <v>0.14026374238810621</v>
      </c>
      <c r="L1024" s="5" t="str">
        <f>TEXT(SalesData[[#This Row],[Date]],"mmm")</f>
        <v>Jul</v>
      </c>
      <c r="M1024">
        <f>YEAR(SalesData[[#This Row],[Date]])</f>
        <v>2023</v>
      </c>
      <c r="N1024">
        <f>WEEKNUM(SalesData[[#This Row],[Date]])</f>
        <v>29</v>
      </c>
      <c r="O1024" t="s">
        <v>2363</v>
      </c>
      <c r="P1024" t="s">
        <v>2523</v>
      </c>
      <c r="Q1024" t="s">
        <v>2527</v>
      </c>
    </row>
    <row r="1025" spans="1:17" x14ac:dyDescent="0.35">
      <c r="A1025" t="s">
        <v>1528</v>
      </c>
      <c r="B1025" s="3">
        <v>45216</v>
      </c>
      <c r="C1025" t="s">
        <v>2017</v>
      </c>
      <c r="D1025" t="s">
        <v>2026</v>
      </c>
      <c r="E1025" s="8">
        <v>2261</v>
      </c>
      <c r="F1025">
        <v>6</v>
      </c>
      <c r="G1025">
        <v>10</v>
      </c>
      <c r="H1025" s="8">
        <v>12209.4</v>
      </c>
      <c r="I1025">
        <v>1786.19</v>
      </c>
      <c r="J1025">
        <v>1492.25</v>
      </c>
      <c r="K1025" s="5">
        <f>IF(SalesData[[#This Row],[Total Revenue]]=0,0,SalesData[[#This Row],[Profit]]/SalesData[[#This Row],[Total Revenue]])</f>
        <v>0.12222140318115551</v>
      </c>
      <c r="L1025" s="5" t="str">
        <f>TEXT(SalesData[[#This Row],[Date]],"mmm")</f>
        <v>Oct</v>
      </c>
      <c r="M1025">
        <f>YEAR(SalesData[[#This Row],[Date]])</f>
        <v>2023</v>
      </c>
      <c r="N1025">
        <f>WEEKNUM(SalesData[[#This Row],[Date]])</f>
        <v>42</v>
      </c>
      <c r="O1025" t="s">
        <v>2390</v>
      </c>
      <c r="P1025" t="s">
        <v>2522</v>
      </c>
      <c r="Q1025" t="s">
        <v>2524</v>
      </c>
    </row>
    <row r="1026" spans="1:17" x14ac:dyDescent="0.35">
      <c r="A1026" t="s">
        <v>1479</v>
      </c>
      <c r="B1026" s="3">
        <v>45105</v>
      </c>
      <c r="C1026" t="s">
        <v>2019</v>
      </c>
      <c r="D1026" t="s">
        <v>2027</v>
      </c>
      <c r="E1026" s="8">
        <v>2035</v>
      </c>
      <c r="F1026">
        <v>6</v>
      </c>
      <c r="G1026">
        <v>0</v>
      </c>
      <c r="H1026" s="8">
        <v>12210</v>
      </c>
      <c r="I1026">
        <v>1134.06</v>
      </c>
      <c r="J1026">
        <v>5405.62</v>
      </c>
      <c r="K1026" s="5">
        <f>IF(SalesData[[#This Row],[Total Revenue]]=0,0,SalesData[[#This Row],[Profit]]/SalesData[[#This Row],[Total Revenue]])</f>
        <v>0.44272072072072072</v>
      </c>
      <c r="L1026" s="5" t="str">
        <f>TEXT(SalesData[[#This Row],[Date]],"mmm")</f>
        <v>Jun</v>
      </c>
      <c r="M1026">
        <f>YEAR(SalesData[[#This Row],[Date]])</f>
        <v>2023</v>
      </c>
      <c r="N1026">
        <f>WEEKNUM(SalesData[[#This Row],[Date]])</f>
        <v>26</v>
      </c>
      <c r="O1026" t="s">
        <v>2049</v>
      </c>
      <c r="P1026" t="s">
        <v>2523</v>
      </c>
      <c r="Q1026" t="s">
        <v>2527</v>
      </c>
    </row>
    <row r="1027" spans="1:17" x14ac:dyDescent="0.35">
      <c r="A1027" t="s">
        <v>193</v>
      </c>
      <c r="B1027" s="3">
        <v>45223</v>
      </c>
      <c r="C1027" t="s">
        <v>2013</v>
      </c>
      <c r="D1027" t="s">
        <v>2023</v>
      </c>
      <c r="E1027" s="8">
        <v>3396</v>
      </c>
      <c r="F1027">
        <v>4</v>
      </c>
      <c r="G1027">
        <v>10</v>
      </c>
      <c r="H1027" s="8">
        <v>12225.6</v>
      </c>
      <c r="I1027">
        <v>2013.3</v>
      </c>
      <c r="J1027">
        <v>4172.3999999999996</v>
      </c>
      <c r="K1027" s="5">
        <f>IF(SalesData[[#This Row],[Total Revenue]]=0,0,SalesData[[#This Row],[Profit]]/SalesData[[#This Row],[Total Revenue]])</f>
        <v>0.341283863368669</v>
      </c>
      <c r="L1027" s="5" t="str">
        <f>TEXT(SalesData[[#This Row],[Date]],"mmm")</f>
        <v>Oct</v>
      </c>
      <c r="M1027">
        <f>YEAR(SalesData[[#This Row],[Date]])</f>
        <v>2023</v>
      </c>
      <c r="N1027">
        <f>WEEKNUM(SalesData[[#This Row],[Date]])</f>
        <v>43</v>
      </c>
      <c r="O1027" t="s">
        <v>2178</v>
      </c>
      <c r="P1027" t="s">
        <v>2522</v>
      </c>
      <c r="Q1027" t="s">
        <v>2526</v>
      </c>
    </row>
    <row r="1028" spans="1:17" x14ac:dyDescent="0.35">
      <c r="A1028" t="s">
        <v>565</v>
      </c>
      <c r="B1028" s="3">
        <v>45089</v>
      </c>
      <c r="C1028" t="s">
        <v>2022</v>
      </c>
      <c r="D1028" t="s">
        <v>2024</v>
      </c>
      <c r="E1028" s="8">
        <v>2879</v>
      </c>
      <c r="F1028">
        <v>5</v>
      </c>
      <c r="G1028">
        <v>15</v>
      </c>
      <c r="H1028" s="8">
        <v>12235.75</v>
      </c>
      <c r="I1028">
        <v>1835.72</v>
      </c>
      <c r="J1028">
        <v>3057.15</v>
      </c>
      <c r="K1028" s="5">
        <f>IF(SalesData[[#This Row],[Total Revenue]]=0,0,SalesData[[#This Row],[Profit]]/SalesData[[#This Row],[Total Revenue]])</f>
        <v>0.24985391169319413</v>
      </c>
      <c r="L1028" s="5" t="str">
        <f>TEXT(SalesData[[#This Row],[Date]],"mmm")</f>
        <v>Jun</v>
      </c>
      <c r="M1028">
        <f>YEAR(SalesData[[#This Row],[Date]])</f>
        <v>2023</v>
      </c>
      <c r="N1028">
        <f>WEEKNUM(SalesData[[#This Row],[Date]])</f>
        <v>24</v>
      </c>
      <c r="O1028" t="s">
        <v>2097</v>
      </c>
      <c r="P1028" t="s">
        <v>2523</v>
      </c>
      <c r="Q1028" t="s">
        <v>2525</v>
      </c>
    </row>
    <row r="1029" spans="1:17" x14ac:dyDescent="0.35">
      <c r="A1029" t="s">
        <v>52</v>
      </c>
      <c r="B1029" s="3">
        <v>45040</v>
      </c>
      <c r="C1029" t="s">
        <v>2015</v>
      </c>
      <c r="D1029" t="s">
        <v>2025</v>
      </c>
      <c r="E1029" s="8">
        <v>4554</v>
      </c>
      <c r="F1029">
        <v>3</v>
      </c>
      <c r="G1029">
        <v>10</v>
      </c>
      <c r="H1029" s="8">
        <v>12295.8</v>
      </c>
      <c r="I1029">
        <v>2759.87</v>
      </c>
      <c r="J1029">
        <v>4016.18</v>
      </c>
      <c r="K1029" s="5">
        <f>IF(SalesData[[#This Row],[Total Revenue]]=0,0,SalesData[[#This Row],[Profit]]/SalesData[[#This Row],[Total Revenue]])</f>
        <v>0.32663023146114933</v>
      </c>
      <c r="L1029" s="5" t="str">
        <f>TEXT(SalesData[[#This Row],[Date]],"mmm")</f>
        <v>Apr</v>
      </c>
      <c r="M1029">
        <f>YEAR(SalesData[[#This Row],[Date]])</f>
        <v>2023</v>
      </c>
      <c r="N1029">
        <f>WEEKNUM(SalesData[[#This Row],[Date]])</f>
        <v>17</v>
      </c>
      <c r="O1029" t="s">
        <v>2064</v>
      </c>
      <c r="P1029" t="s">
        <v>2523</v>
      </c>
      <c r="Q1029" t="s">
        <v>2524</v>
      </c>
    </row>
    <row r="1030" spans="1:17" x14ac:dyDescent="0.35">
      <c r="A1030" t="s">
        <v>1545</v>
      </c>
      <c r="B1030" s="3">
        <v>45111</v>
      </c>
      <c r="C1030" t="s">
        <v>2019</v>
      </c>
      <c r="D1030" t="s">
        <v>2027</v>
      </c>
      <c r="E1030" s="8">
        <v>1850</v>
      </c>
      <c r="F1030">
        <v>7</v>
      </c>
      <c r="G1030">
        <v>5</v>
      </c>
      <c r="H1030" s="8">
        <v>12302.5</v>
      </c>
      <c r="I1030">
        <v>1140.44</v>
      </c>
      <c r="J1030">
        <v>4319.3999999999996</v>
      </c>
      <c r="K1030" s="5">
        <f>IF(SalesData[[#This Row],[Total Revenue]]=0,0,SalesData[[#This Row],[Profit]]/SalesData[[#This Row],[Total Revenue]])</f>
        <v>0.35109937004673841</v>
      </c>
      <c r="L1030" s="5" t="str">
        <f>TEXT(SalesData[[#This Row],[Date]],"mmm")</f>
        <v>Jul</v>
      </c>
      <c r="M1030">
        <f>YEAR(SalesData[[#This Row],[Date]])</f>
        <v>2023</v>
      </c>
      <c r="N1030">
        <f>WEEKNUM(SalesData[[#This Row],[Date]])</f>
        <v>27</v>
      </c>
      <c r="O1030" t="s">
        <v>2087</v>
      </c>
      <c r="P1030" t="s">
        <v>2523</v>
      </c>
      <c r="Q1030" t="s">
        <v>2525</v>
      </c>
    </row>
    <row r="1031" spans="1:17" x14ac:dyDescent="0.35">
      <c r="A1031" t="s">
        <v>80</v>
      </c>
      <c r="B1031" s="3">
        <v>45191</v>
      </c>
      <c r="C1031" t="s">
        <v>2015</v>
      </c>
      <c r="D1031" t="s">
        <v>2025</v>
      </c>
      <c r="E1031" s="8">
        <v>1710</v>
      </c>
      <c r="F1031">
        <v>8</v>
      </c>
      <c r="G1031">
        <v>10</v>
      </c>
      <c r="H1031" s="8">
        <v>12312</v>
      </c>
      <c r="I1031">
        <v>1285.23</v>
      </c>
      <c r="J1031">
        <v>2030.18</v>
      </c>
      <c r="K1031" s="5">
        <f>IF(SalesData[[#This Row],[Total Revenue]]=0,0,SalesData[[#This Row],[Profit]]/SalesData[[#This Row],[Total Revenue]])</f>
        <v>0.16489441195581547</v>
      </c>
      <c r="L1031" s="5" t="str">
        <f>TEXT(SalesData[[#This Row],[Date]],"mmm")</f>
        <v>Sep</v>
      </c>
      <c r="M1031">
        <f>YEAR(SalesData[[#This Row],[Date]])</f>
        <v>2023</v>
      </c>
      <c r="N1031">
        <f>WEEKNUM(SalesData[[#This Row],[Date]])</f>
        <v>38</v>
      </c>
      <c r="O1031" t="s">
        <v>2088</v>
      </c>
      <c r="P1031" t="s">
        <v>2522</v>
      </c>
      <c r="Q1031" t="s">
        <v>2524</v>
      </c>
    </row>
    <row r="1032" spans="1:17" x14ac:dyDescent="0.35">
      <c r="A1032" t="s">
        <v>821</v>
      </c>
      <c r="B1032" s="3">
        <v>44947</v>
      </c>
      <c r="C1032" t="s">
        <v>2016</v>
      </c>
      <c r="D1032" t="s">
        <v>2025</v>
      </c>
      <c r="E1032" s="8">
        <v>4830</v>
      </c>
      <c r="F1032">
        <v>3</v>
      </c>
      <c r="G1032">
        <v>15</v>
      </c>
      <c r="H1032" s="8">
        <v>12316.5</v>
      </c>
      <c r="I1032">
        <v>3805.86</v>
      </c>
      <c r="J1032">
        <v>898.91</v>
      </c>
      <c r="K1032" s="5">
        <f>IF(SalesData[[#This Row],[Total Revenue]]=0,0,SalesData[[#This Row],[Profit]]/SalesData[[#This Row],[Total Revenue]])</f>
        <v>7.2984208176024024E-2</v>
      </c>
      <c r="L1032" s="5" t="str">
        <f>TEXT(SalesData[[#This Row],[Date]],"mmm")</f>
        <v>Jan</v>
      </c>
      <c r="M1032">
        <f>YEAR(SalesData[[#This Row],[Date]])</f>
        <v>2023</v>
      </c>
      <c r="N1032">
        <f>WEEKNUM(SalesData[[#This Row],[Date]])</f>
        <v>3</v>
      </c>
      <c r="O1032" t="s">
        <v>2391</v>
      </c>
      <c r="P1032" t="s">
        <v>2523</v>
      </c>
      <c r="Q1032" t="s">
        <v>2524</v>
      </c>
    </row>
    <row r="1033" spans="1:17" x14ac:dyDescent="0.35">
      <c r="A1033" t="s">
        <v>265</v>
      </c>
      <c r="B1033" s="3">
        <v>45107</v>
      </c>
      <c r="C1033" t="s">
        <v>2018</v>
      </c>
      <c r="D1033" t="s">
        <v>2026</v>
      </c>
      <c r="E1033" s="8">
        <v>1297</v>
      </c>
      <c r="F1033">
        <v>10</v>
      </c>
      <c r="G1033">
        <v>5</v>
      </c>
      <c r="H1033" s="8">
        <v>12321.5</v>
      </c>
      <c r="I1033">
        <v>1012.58</v>
      </c>
      <c r="J1033">
        <v>2195.7399999999998</v>
      </c>
      <c r="K1033" s="5">
        <f>IF(SalesData[[#This Row],[Total Revenue]]=0,0,SalesData[[#This Row],[Profit]]/SalesData[[#This Row],[Total Revenue]])</f>
        <v>0.17820395244085541</v>
      </c>
      <c r="L1033" s="5" t="str">
        <f>TEXT(SalesData[[#This Row],[Date]],"mmm")</f>
        <v>Jun</v>
      </c>
      <c r="M1033">
        <f>YEAR(SalesData[[#This Row],[Date]])</f>
        <v>2023</v>
      </c>
      <c r="N1033">
        <f>WEEKNUM(SalesData[[#This Row],[Date]])</f>
        <v>26</v>
      </c>
      <c r="O1033" t="s">
        <v>2227</v>
      </c>
      <c r="P1033" t="s">
        <v>2522</v>
      </c>
      <c r="Q1033" t="s">
        <v>2524</v>
      </c>
    </row>
    <row r="1034" spans="1:17" x14ac:dyDescent="0.35">
      <c r="A1034" t="s">
        <v>1780</v>
      </c>
      <c r="B1034" s="3">
        <v>45004</v>
      </c>
      <c r="C1034" t="s">
        <v>2014</v>
      </c>
      <c r="D1034" t="s">
        <v>2024</v>
      </c>
      <c r="E1034" s="8">
        <v>2467</v>
      </c>
      <c r="F1034">
        <v>5</v>
      </c>
      <c r="G1034">
        <v>0</v>
      </c>
      <c r="H1034" s="8">
        <v>12335</v>
      </c>
      <c r="I1034">
        <v>1624.74</v>
      </c>
      <c r="J1034">
        <v>4211.32</v>
      </c>
      <c r="K1034" s="5">
        <f>IF(SalesData[[#This Row],[Total Revenue]]=0,0,SalesData[[#This Row],[Profit]]/SalesData[[#This Row],[Total Revenue]])</f>
        <v>0.34141224158897443</v>
      </c>
      <c r="L1034" s="5" t="str">
        <f>TEXT(SalesData[[#This Row],[Date]],"mmm")</f>
        <v>Mar</v>
      </c>
      <c r="M1034">
        <f>YEAR(SalesData[[#This Row],[Date]])</f>
        <v>2023</v>
      </c>
      <c r="N1034">
        <f>WEEKNUM(SalesData[[#This Row],[Date]])</f>
        <v>12</v>
      </c>
      <c r="O1034" t="s">
        <v>2181</v>
      </c>
      <c r="P1034" t="s">
        <v>2523</v>
      </c>
      <c r="Q1034" t="s">
        <v>2526</v>
      </c>
    </row>
    <row r="1035" spans="1:17" x14ac:dyDescent="0.35">
      <c r="A1035" t="s">
        <v>1814</v>
      </c>
      <c r="B1035" s="3">
        <v>45248</v>
      </c>
      <c r="C1035" t="s">
        <v>2015</v>
      </c>
      <c r="D1035" t="s">
        <v>2025</v>
      </c>
      <c r="E1035" s="8">
        <v>4112</v>
      </c>
      <c r="F1035">
        <v>3</v>
      </c>
      <c r="G1035">
        <v>0</v>
      </c>
      <c r="H1035" s="8">
        <v>12336</v>
      </c>
      <c r="I1035">
        <v>2069.15</v>
      </c>
      <c r="J1035">
        <v>6128.56</v>
      </c>
      <c r="K1035" s="5">
        <f>IF(SalesData[[#This Row],[Total Revenue]]=0,0,SalesData[[#This Row],[Profit]]/SalesData[[#This Row],[Total Revenue]])</f>
        <v>0.49680285343709474</v>
      </c>
      <c r="L1035" s="5" t="str">
        <f>TEXT(SalesData[[#This Row],[Date]],"mmm")</f>
        <v>Nov</v>
      </c>
      <c r="M1035">
        <f>YEAR(SalesData[[#This Row],[Date]])</f>
        <v>2023</v>
      </c>
      <c r="N1035">
        <f>WEEKNUM(SalesData[[#This Row],[Date]])</f>
        <v>46</v>
      </c>
      <c r="O1035" t="s">
        <v>2146</v>
      </c>
      <c r="P1035" t="s">
        <v>2523</v>
      </c>
      <c r="Q1035" t="s">
        <v>2525</v>
      </c>
    </row>
    <row r="1036" spans="1:17" x14ac:dyDescent="0.35">
      <c r="A1036" t="s">
        <v>293</v>
      </c>
      <c r="B1036" s="3">
        <v>45019</v>
      </c>
      <c r="C1036" t="s">
        <v>2017</v>
      </c>
      <c r="D1036" t="s">
        <v>2026</v>
      </c>
      <c r="E1036" s="8">
        <v>2469</v>
      </c>
      <c r="F1036">
        <v>5</v>
      </c>
      <c r="G1036">
        <v>0</v>
      </c>
      <c r="H1036" s="8">
        <v>12345</v>
      </c>
      <c r="I1036">
        <v>1921.01</v>
      </c>
      <c r="J1036">
        <v>2739.94</v>
      </c>
      <c r="K1036" s="5">
        <f>IF(SalesData[[#This Row],[Total Revenue]]=0,0,SalesData[[#This Row],[Profit]]/SalesData[[#This Row],[Total Revenue]])</f>
        <v>0.22194734710409073</v>
      </c>
      <c r="L1036" s="5" t="str">
        <f>TEXT(SalesData[[#This Row],[Date]],"mmm")</f>
        <v>Apr</v>
      </c>
      <c r="M1036">
        <f>YEAR(SalesData[[#This Row],[Date]])</f>
        <v>2023</v>
      </c>
      <c r="N1036">
        <f>WEEKNUM(SalesData[[#This Row],[Date]])</f>
        <v>14</v>
      </c>
      <c r="O1036" t="s">
        <v>2074</v>
      </c>
      <c r="P1036" t="s">
        <v>2523</v>
      </c>
      <c r="Q1036" t="s">
        <v>2527</v>
      </c>
    </row>
    <row r="1037" spans="1:17" x14ac:dyDescent="0.35">
      <c r="A1037" t="s">
        <v>810</v>
      </c>
      <c r="B1037" s="3">
        <v>45197</v>
      </c>
      <c r="C1037" t="s">
        <v>2018</v>
      </c>
      <c r="D1037" t="s">
        <v>2026</v>
      </c>
      <c r="E1037" s="8">
        <v>2905</v>
      </c>
      <c r="F1037">
        <v>5</v>
      </c>
      <c r="G1037">
        <v>15</v>
      </c>
      <c r="H1037" s="8">
        <v>12346.25</v>
      </c>
      <c r="I1037">
        <v>2058.44</v>
      </c>
      <c r="J1037">
        <v>2054.0500000000002</v>
      </c>
      <c r="K1037" s="5">
        <f>IF(SalesData[[#This Row],[Total Revenue]]=0,0,SalesData[[#This Row],[Profit]]/SalesData[[#This Row],[Total Revenue]])</f>
        <v>0.16637035537106409</v>
      </c>
      <c r="L1037" s="5" t="str">
        <f>TEXT(SalesData[[#This Row],[Date]],"mmm")</f>
        <v>Sep</v>
      </c>
      <c r="M1037">
        <f>YEAR(SalesData[[#This Row],[Date]])</f>
        <v>2023</v>
      </c>
      <c r="N1037">
        <f>WEEKNUM(SalesData[[#This Row],[Date]])</f>
        <v>39</v>
      </c>
      <c r="O1037" t="s">
        <v>2067</v>
      </c>
      <c r="P1037" t="s">
        <v>2522</v>
      </c>
      <c r="Q1037" t="s">
        <v>2524</v>
      </c>
    </row>
    <row r="1038" spans="1:17" x14ac:dyDescent="0.35">
      <c r="A1038" t="s">
        <v>780</v>
      </c>
      <c r="B1038" s="3">
        <v>45139</v>
      </c>
      <c r="C1038" t="s">
        <v>2020</v>
      </c>
      <c r="D1038" t="s">
        <v>2028</v>
      </c>
      <c r="E1038" s="8">
        <v>2470</v>
      </c>
      <c r="F1038">
        <v>5</v>
      </c>
      <c r="G1038">
        <v>0</v>
      </c>
      <c r="H1038" s="8">
        <v>12350</v>
      </c>
      <c r="I1038">
        <v>1758.09</v>
      </c>
      <c r="J1038">
        <v>3559.57</v>
      </c>
      <c r="K1038" s="5">
        <f>IF(SalesData[[#This Row],[Total Revenue]]=0,0,SalesData[[#This Row],[Profit]]/SalesData[[#This Row],[Total Revenue]])</f>
        <v>0.28822429149797574</v>
      </c>
      <c r="L1038" s="5" t="str">
        <f>TEXT(SalesData[[#This Row],[Date]],"mmm")</f>
        <v>Aug</v>
      </c>
      <c r="M1038">
        <f>YEAR(SalesData[[#This Row],[Date]])</f>
        <v>2023</v>
      </c>
      <c r="N1038">
        <f>WEEKNUM(SalesData[[#This Row],[Date]])</f>
        <v>31</v>
      </c>
      <c r="O1038" t="s">
        <v>2420</v>
      </c>
      <c r="P1038" t="s">
        <v>2523</v>
      </c>
      <c r="Q1038" t="s">
        <v>2527</v>
      </c>
    </row>
    <row r="1039" spans="1:17" x14ac:dyDescent="0.35">
      <c r="A1039" t="s">
        <v>113</v>
      </c>
      <c r="B1039" s="3">
        <v>44930</v>
      </c>
      <c r="C1039" t="s">
        <v>2017</v>
      </c>
      <c r="D1039" t="s">
        <v>2026</v>
      </c>
      <c r="E1039" s="8">
        <v>1970</v>
      </c>
      <c r="F1039">
        <v>7</v>
      </c>
      <c r="G1039">
        <v>10</v>
      </c>
      <c r="H1039" s="8">
        <v>12411</v>
      </c>
      <c r="I1039">
        <v>1415.04</v>
      </c>
      <c r="J1039">
        <v>2505.7399999999998</v>
      </c>
      <c r="K1039" s="5">
        <f>IF(SalesData[[#This Row],[Total Revenue]]=0,0,SalesData[[#This Row],[Profit]]/SalesData[[#This Row],[Total Revenue]])</f>
        <v>0.20189670453629843</v>
      </c>
      <c r="L1039" s="5" t="str">
        <f>TEXT(SalesData[[#This Row],[Date]],"mmm")</f>
        <v>Jan</v>
      </c>
      <c r="M1039">
        <f>YEAR(SalesData[[#This Row],[Date]])</f>
        <v>2023</v>
      </c>
      <c r="N1039">
        <f>WEEKNUM(SalesData[[#This Row],[Date]])</f>
        <v>1</v>
      </c>
      <c r="O1039" t="s">
        <v>2118</v>
      </c>
      <c r="P1039" t="s">
        <v>2522</v>
      </c>
      <c r="Q1039" t="s">
        <v>2525</v>
      </c>
    </row>
    <row r="1040" spans="1:17" x14ac:dyDescent="0.35">
      <c r="A1040" t="s">
        <v>1587</v>
      </c>
      <c r="B1040" s="3">
        <v>45046</v>
      </c>
      <c r="C1040" t="s">
        <v>2013</v>
      </c>
      <c r="D1040" t="s">
        <v>2023</v>
      </c>
      <c r="E1040" s="8">
        <v>3455</v>
      </c>
      <c r="F1040">
        <v>4</v>
      </c>
      <c r="G1040">
        <v>10</v>
      </c>
      <c r="H1040" s="8">
        <v>12438</v>
      </c>
      <c r="I1040">
        <v>2527.85</v>
      </c>
      <c r="J1040">
        <v>2326.58</v>
      </c>
      <c r="K1040" s="5">
        <f>IF(SalesData[[#This Row],[Total Revenue]]=0,0,SalesData[[#This Row],[Profit]]/SalesData[[#This Row],[Total Revenue]])</f>
        <v>0.18705418877633059</v>
      </c>
      <c r="L1040" s="5" t="str">
        <f>TEXT(SalesData[[#This Row],[Date]],"mmm")</f>
        <v>Apr</v>
      </c>
      <c r="M1040">
        <f>YEAR(SalesData[[#This Row],[Date]])</f>
        <v>2023</v>
      </c>
      <c r="N1040">
        <f>WEEKNUM(SalesData[[#This Row],[Date]])</f>
        <v>18</v>
      </c>
      <c r="O1040" t="s">
        <v>2133</v>
      </c>
      <c r="P1040" t="s">
        <v>2523</v>
      </c>
      <c r="Q1040" t="s">
        <v>2524</v>
      </c>
    </row>
    <row r="1041" spans="1:17" x14ac:dyDescent="0.35">
      <c r="A1041" t="s">
        <v>996</v>
      </c>
      <c r="B1041" s="3">
        <v>44937</v>
      </c>
      <c r="C1041" t="s">
        <v>2020</v>
      </c>
      <c r="D1041" t="s">
        <v>2028</v>
      </c>
      <c r="E1041" s="8">
        <v>1626</v>
      </c>
      <c r="F1041">
        <v>9</v>
      </c>
      <c r="G1041">
        <v>15</v>
      </c>
      <c r="H1041" s="8">
        <v>12438.9</v>
      </c>
      <c r="I1041">
        <v>953.11</v>
      </c>
      <c r="J1041">
        <v>3860.92</v>
      </c>
      <c r="K1041" s="5">
        <f>IF(SalesData[[#This Row],[Total Revenue]]=0,0,SalesData[[#This Row],[Profit]]/SalesData[[#This Row],[Total Revenue]])</f>
        <v>0.31039079018241167</v>
      </c>
      <c r="L1041" s="5" t="str">
        <f>TEXT(SalesData[[#This Row],[Date]],"mmm")</f>
        <v>Jan</v>
      </c>
      <c r="M1041">
        <f>YEAR(SalesData[[#This Row],[Date]])</f>
        <v>2023</v>
      </c>
      <c r="N1041">
        <f>WEEKNUM(SalesData[[#This Row],[Date]])</f>
        <v>2</v>
      </c>
      <c r="O1041" t="s">
        <v>2322</v>
      </c>
      <c r="P1041" t="s">
        <v>2523</v>
      </c>
      <c r="Q1041" t="s">
        <v>2524</v>
      </c>
    </row>
    <row r="1042" spans="1:17" x14ac:dyDescent="0.35">
      <c r="A1042" t="s">
        <v>1136</v>
      </c>
      <c r="B1042" s="3">
        <v>45154</v>
      </c>
      <c r="C1042" t="s">
        <v>2013</v>
      </c>
      <c r="D1042" t="s">
        <v>2023</v>
      </c>
      <c r="E1042" s="8">
        <v>1555</v>
      </c>
      <c r="F1042">
        <v>8</v>
      </c>
      <c r="G1042">
        <v>0</v>
      </c>
      <c r="H1042" s="8">
        <v>12440</v>
      </c>
      <c r="I1042">
        <v>1133.76</v>
      </c>
      <c r="J1042">
        <v>3369.91</v>
      </c>
      <c r="K1042" s="5">
        <f>IF(SalesData[[#This Row],[Total Revenue]]=0,0,SalesData[[#This Row],[Profit]]/SalesData[[#This Row],[Total Revenue]])</f>
        <v>0.27089308681672025</v>
      </c>
      <c r="L1042" s="5" t="str">
        <f>TEXT(SalesData[[#This Row],[Date]],"mmm")</f>
        <v>Aug</v>
      </c>
      <c r="M1042">
        <f>YEAR(SalesData[[#This Row],[Date]])</f>
        <v>2023</v>
      </c>
      <c r="N1042">
        <f>WEEKNUM(SalesData[[#This Row],[Date]])</f>
        <v>33</v>
      </c>
      <c r="O1042" t="s">
        <v>2196</v>
      </c>
      <c r="P1042" t="s">
        <v>2523</v>
      </c>
      <c r="Q1042" t="s">
        <v>2526</v>
      </c>
    </row>
    <row r="1043" spans="1:17" x14ac:dyDescent="0.35">
      <c r="A1043" t="s">
        <v>708</v>
      </c>
      <c r="B1043" s="3">
        <v>45181</v>
      </c>
      <c r="C1043" t="s">
        <v>2021</v>
      </c>
      <c r="D1043" t="s">
        <v>2028</v>
      </c>
      <c r="E1043" s="8">
        <v>2620</v>
      </c>
      <c r="F1043">
        <v>5</v>
      </c>
      <c r="G1043">
        <v>5</v>
      </c>
      <c r="H1043" s="8">
        <v>12445</v>
      </c>
      <c r="I1043">
        <v>1644.46</v>
      </c>
      <c r="J1043">
        <v>4222.6899999999996</v>
      </c>
      <c r="K1043" s="5">
        <f>IF(SalesData[[#This Row],[Total Revenue]]=0,0,SalesData[[#This Row],[Profit]]/SalesData[[#This Row],[Total Revenue]])</f>
        <v>0.33930815588589791</v>
      </c>
      <c r="L1043" s="5" t="str">
        <f>TEXT(SalesData[[#This Row],[Date]],"mmm")</f>
        <v>Sep</v>
      </c>
      <c r="M1043">
        <f>YEAR(SalesData[[#This Row],[Date]])</f>
        <v>2023</v>
      </c>
      <c r="N1043">
        <f>WEEKNUM(SalesData[[#This Row],[Date]])</f>
        <v>37</v>
      </c>
      <c r="O1043" t="s">
        <v>2198</v>
      </c>
      <c r="P1043" t="s">
        <v>2523</v>
      </c>
      <c r="Q1043" t="s">
        <v>2524</v>
      </c>
    </row>
    <row r="1044" spans="1:17" x14ac:dyDescent="0.35">
      <c r="A1044" t="s">
        <v>1901</v>
      </c>
      <c r="B1044" s="3">
        <v>45038</v>
      </c>
      <c r="C1044" t="s">
        <v>2021</v>
      </c>
      <c r="D1044" t="s">
        <v>2028</v>
      </c>
      <c r="E1044" s="8">
        <v>2309</v>
      </c>
      <c r="F1044">
        <v>6</v>
      </c>
      <c r="G1044">
        <v>10</v>
      </c>
      <c r="H1044" s="8">
        <v>12468.6</v>
      </c>
      <c r="I1044">
        <v>1828.58</v>
      </c>
      <c r="J1044">
        <v>1497.1</v>
      </c>
      <c r="K1044" s="5">
        <f>IF(SalesData[[#This Row],[Total Revenue]]=0,0,SalesData[[#This Row],[Profit]]/SalesData[[#This Row],[Total Revenue]])</f>
        <v>0.12006961487255986</v>
      </c>
      <c r="L1044" s="5" t="str">
        <f>TEXT(SalesData[[#This Row],[Date]],"mmm")</f>
        <v>Apr</v>
      </c>
      <c r="M1044">
        <f>YEAR(SalesData[[#This Row],[Date]])</f>
        <v>2023</v>
      </c>
      <c r="N1044">
        <f>WEEKNUM(SalesData[[#This Row],[Date]])</f>
        <v>16</v>
      </c>
      <c r="O1044" t="s">
        <v>2237</v>
      </c>
      <c r="P1044" t="s">
        <v>2522</v>
      </c>
      <c r="Q1044" t="s">
        <v>2525</v>
      </c>
    </row>
    <row r="1045" spans="1:17" x14ac:dyDescent="0.35">
      <c r="A1045" t="s">
        <v>1926</v>
      </c>
      <c r="B1045" s="3">
        <v>45248</v>
      </c>
      <c r="C1045" t="s">
        <v>2015</v>
      </c>
      <c r="D1045" t="s">
        <v>2025</v>
      </c>
      <c r="E1045" s="8">
        <v>1877</v>
      </c>
      <c r="F1045">
        <v>7</v>
      </c>
      <c r="G1045">
        <v>5</v>
      </c>
      <c r="H1045" s="8">
        <v>12482.05</v>
      </c>
      <c r="I1045">
        <v>1435.91</v>
      </c>
      <c r="J1045">
        <v>2430.6999999999998</v>
      </c>
      <c r="K1045" s="5">
        <f>IF(SalesData[[#This Row],[Total Revenue]]=0,0,SalesData[[#This Row],[Profit]]/SalesData[[#This Row],[Total Revenue]])</f>
        <v>0.19473564037958507</v>
      </c>
      <c r="L1045" s="5" t="str">
        <f>TEXT(SalesData[[#This Row],[Date]],"mmm")</f>
        <v>Nov</v>
      </c>
      <c r="M1045">
        <f>YEAR(SalesData[[#This Row],[Date]])</f>
        <v>2023</v>
      </c>
      <c r="N1045">
        <f>WEEKNUM(SalesData[[#This Row],[Date]])</f>
        <v>46</v>
      </c>
      <c r="O1045" t="s">
        <v>2323</v>
      </c>
      <c r="P1045" t="s">
        <v>2522</v>
      </c>
      <c r="Q1045" t="s">
        <v>2527</v>
      </c>
    </row>
    <row r="1046" spans="1:17" x14ac:dyDescent="0.35">
      <c r="A1046" t="s">
        <v>260</v>
      </c>
      <c r="B1046" s="3">
        <v>44973</v>
      </c>
      <c r="C1046" t="s">
        <v>2013</v>
      </c>
      <c r="D1046" t="s">
        <v>2023</v>
      </c>
      <c r="E1046" s="8">
        <v>2100</v>
      </c>
      <c r="F1046">
        <v>7</v>
      </c>
      <c r="G1046">
        <v>15</v>
      </c>
      <c r="H1046" s="8">
        <v>12495</v>
      </c>
      <c r="I1046">
        <v>1172.6500000000001</v>
      </c>
      <c r="J1046">
        <v>4286.43</v>
      </c>
      <c r="K1046" s="5">
        <f>IF(SalesData[[#This Row],[Total Revenue]]=0,0,SalesData[[#This Row],[Profit]]/SalesData[[#This Row],[Total Revenue]])</f>
        <v>0.34305162064825934</v>
      </c>
      <c r="L1046" s="5" t="str">
        <f>TEXT(SalesData[[#This Row],[Date]],"mmm")</f>
        <v>Feb</v>
      </c>
      <c r="M1046">
        <f>YEAR(SalesData[[#This Row],[Date]])</f>
        <v>2023</v>
      </c>
      <c r="N1046">
        <f>WEEKNUM(SalesData[[#This Row],[Date]])</f>
        <v>7</v>
      </c>
      <c r="O1046" t="s">
        <v>2224</v>
      </c>
      <c r="P1046" t="s">
        <v>2522</v>
      </c>
      <c r="Q1046" t="s">
        <v>2524</v>
      </c>
    </row>
    <row r="1047" spans="1:17" x14ac:dyDescent="0.35">
      <c r="A1047" t="s">
        <v>139</v>
      </c>
      <c r="B1047" s="3">
        <v>45144</v>
      </c>
      <c r="C1047" t="s">
        <v>2018</v>
      </c>
      <c r="D1047" t="s">
        <v>2026</v>
      </c>
      <c r="E1047" s="8">
        <v>3675</v>
      </c>
      <c r="F1047">
        <v>4</v>
      </c>
      <c r="G1047">
        <v>15</v>
      </c>
      <c r="H1047" s="8">
        <v>12495</v>
      </c>
      <c r="I1047">
        <v>2320.9899999999998</v>
      </c>
      <c r="J1047">
        <v>3211.02</v>
      </c>
      <c r="K1047" s="5">
        <f>IF(SalesData[[#This Row],[Total Revenue]]=0,0,SalesData[[#This Row],[Profit]]/SalesData[[#This Row],[Total Revenue]])</f>
        <v>0.25698439375750298</v>
      </c>
      <c r="L1047" s="5" t="str">
        <f>TEXT(SalesData[[#This Row],[Date]],"mmm")</f>
        <v>Aug</v>
      </c>
      <c r="M1047">
        <f>YEAR(SalesData[[#This Row],[Date]])</f>
        <v>2023</v>
      </c>
      <c r="N1047">
        <f>WEEKNUM(SalesData[[#This Row],[Date]])</f>
        <v>32</v>
      </c>
      <c r="O1047" t="s">
        <v>2141</v>
      </c>
      <c r="P1047" t="s">
        <v>2523</v>
      </c>
      <c r="Q1047" t="s">
        <v>2526</v>
      </c>
    </row>
    <row r="1048" spans="1:17" x14ac:dyDescent="0.35">
      <c r="A1048" t="s">
        <v>302</v>
      </c>
      <c r="B1048" s="3">
        <v>45024</v>
      </c>
      <c r="C1048" t="s">
        <v>2020</v>
      </c>
      <c r="D1048" t="s">
        <v>2028</v>
      </c>
      <c r="E1048" s="8">
        <v>2456</v>
      </c>
      <c r="F1048">
        <v>6</v>
      </c>
      <c r="G1048">
        <v>15</v>
      </c>
      <c r="H1048" s="8">
        <v>12525.6</v>
      </c>
      <c r="I1048">
        <v>1421.46</v>
      </c>
      <c r="J1048">
        <v>3996.83</v>
      </c>
      <c r="K1048" s="5">
        <f>IF(SalesData[[#This Row],[Total Revenue]]=0,0,SalesData[[#This Row],[Profit]]/SalesData[[#This Row],[Total Revenue]])</f>
        <v>0.31909289774541738</v>
      </c>
      <c r="L1048" s="5" t="str">
        <f>TEXT(SalesData[[#This Row],[Date]],"mmm")</f>
        <v>Apr</v>
      </c>
      <c r="M1048">
        <f>YEAR(SalesData[[#This Row],[Date]])</f>
        <v>2023</v>
      </c>
      <c r="N1048">
        <f>WEEKNUM(SalesData[[#This Row],[Date]])</f>
        <v>14</v>
      </c>
      <c r="O1048" t="s">
        <v>2247</v>
      </c>
      <c r="P1048" t="s">
        <v>2522</v>
      </c>
      <c r="Q1048" t="s">
        <v>2526</v>
      </c>
    </row>
    <row r="1049" spans="1:17" x14ac:dyDescent="0.35">
      <c r="A1049" t="s">
        <v>68</v>
      </c>
      <c r="B1049" s="3">
        <v>45132</v>
      </c>
      <c r="C1049" t="s">
        <v>2019</v>
      </c>
      <c r="D1049" t="s">
        <v>2027</v>
      </c>
      <c r="E1049" s="8">
        <v>1549</v>
      </c>
      <c r="F1049">
        <v>9</v>
      </c>
      <c r="G1049">
        <v>10</v>
      </c>
      <c r="H1049" s="8">
        <v>12546.9</v>
      </c>
      <c r="I1049">
        <v>892.35</v>
      </c>
      <c r="J1049">
        <v>4515.7299999999996</v>
      </c>
      <c r="K1049" s="5">
        <f>IF(SalesData[[#This Row],[Total Revenue]]=0,0,SalesData[[#This Row],[Profit]]/SalesData[[#This Row],[Total Revenue]])</f>
        <v>0.3599080250898628</v>
      </c>
      <c r="L1049" s="5" t="str">
        <f>TEXT(SalesData[[#This Row],[Date]],"mmm")</f>
        <v>Jul</v>
      </c>
      <c r="M1049">
        <f>YEAR(SalesData[[#This Row],[Date]])</f>
        <v>2023</v>
      </c>
      <c r="N1049">
        <f>WEEKNUM(SalesData[[#This Row],[Date]])</f>
        <v>30</v>
      </c>
      <c r="O1049" t="s">
        <v>2079</v>
      </c>
      <c r="P1049" t="s">
        <v>2522</v>
      </c>
      <c r="Q1049" t="s">
        <v>2527</v>
      </c>
    </row>
    <row r="1050" spans="1:17" x14ac:dyDescent="0.35">
      <c r="A1050" t="s">
        <v>1042</v>
      </c>
      <c r="B1050" s="3">
        <v>45195</v>
      </c>
      <c r="C1050" t="s">
        <v>2021</v>
      </c>
      <c r="D1050" t="s">
        <v>2028</v>
      </c>
      <c r="E1050" s="8">
        <v>3691</v>
      </c>
      <c r="F1050">
        <v>4</v>
      </c>
      <c r="G1050">
        <v>15</v>
      </c>
      <c r="H1050" s="8">
        <v>12549.4</v>
      </c>
      <c r="I1050">
        <v>2299.92</v>
      </c>
      <c r="J1050">
        <v>3349.71</v>
      </c>
      <c r="K1050" s="5">
        <f>IF(SalesData[[#This Row],[Total Revenue]]=0,0,SalesData[[#This Row],[Profit]]/SalesData[[#This Row],[Total Revenue]])</f>
        <v>0.26692192455416197</v>
      </c>
      <c r="L1050" s="5" t="str">
        <f>TEXT(SalesData[[#This Row],[Date]],"mmm")</f>
        <v>Sep</v>
      </c>
      <c r="M1050">
        <f>YEAR(SalesData[[#This Row],[Date]])</f>
        <v>2023</v>
      </c>
      <c r="N1050">
        <f>WEEKNUM(SalesData[[#This Row],[Date]])</f>
        <v>39</v>
      </c>
      <c r="O1050" t="s">
        <v>2463</v>
      </c>
      <c r="P1050" t="s">
        <v>2522</v>
      </c>
      <c r="Q1050" t="s">
        <v>2526</v>
      </c>
    </row>
    <row r="1051" spans="1:17" x14ac:dyDescent="0.35">
      <c r="A1051" t="s">
        <v>1782</v>
      </c>
      <c r="B1051" s="3">
        <v>44988</v>
      </c>
      <c r="C1051" t="s">
        <v>2018</v>
      </c>
      <c r="D1051" t="s">
        <v>2026</v>
      </c>
      <c r="E1051" s="8">
        <v>4415</v>
      </c>
      <c r="F1051">
        <v>3</v>
      </c>
      <c r="G1051">
        <v>5</v>
      </c>
      <c r="H1051" s="8">
        <v>12582.75</v>
      </c>
      <c r="I1051">
        <v>2486.5300000000002</v>
      </c>
      <c r="J1051">
        <v>5123.17</v>
      </c>
      <c r="K1051" s="5">
        <f>IF(SalesData[[#This Row],[Total Revenue]]=0,0,SalesData[[#This Row],[Profit]]/SalesData[[#This Row],[Total Revenue]])</f>
        <v>0.40715821263237367</v>
      </c>
      <c r="L1051" s="5" t="str">
        <f>TEXT(SalesData[[#This Row],[Date]],"mmm")</f>
        <v>Mar</v>
      </c>
      <c r="M1051">
        <f>YEAR(SalesData[[#This Row],[Date]])</f>
        <v>2023</v>
      </c>
      <c r="N1051">
        <f>WEEKNUM(SalesData[[#This Row],[Date]])</f>
        <v>9</v>
      </c>
      <c r="O1051" t="s">
        <v>2390</v>
      </c>
      <c r="P1051" t="s">
        <v>2523</v>
      </c>
      <c r="Q1051" t="s">
        <v>2525</v>
      </c>
    </row>
    <row r="1052" spans="1:17" x14ac:dyDescent="0.35">
      <c r="A1052" t="s">
        <v>210</v>
      </c>
      <c r="B1052" s="3">
        <v>45129</v>
      </c>
      <c r="C1052" t="s">
        <v>2017</v>
      </c>
      <c r="D1052" t="s">
        <v>2026</v>
      </c>
      <c r="E1052" s="8">
        <v>3497</v>
      </c>
      <c r="F1052">
        <v>4</v>
      </c>
      <c r="G1052">
        <v>10</v>
      </c>
      <c r="H1052" s="8">
        <v>12589.2</v>
      </c>
      <c r="I1052">
        <v>1821.67</v>
      </c>
      <c r="J1052">
        <v>5302.5</v>
      </c>
      <c r="K1052" s="5">
        <f>IF(SalesData[[#This Row],[Total Revenue]]=0,0,SalesData[[#This Row],[Profit]]/SalesData[[#This Row],[Total Revenue]])</f>
        <v>0.42119435706796299</v>
      </c>
      <c r="L1052" s="5" t="str">
        <f>TEXT(SalesData[[#This Row],[Date]],"mmm")</f>
        <v>Jul</v>
      </c>
      <c r="M1052">
        <f>YEAR(SalesData[[#This Row],[Date]])</f>
        <v>2023</v>
      </c>
      <c r="N1052">
        <f>WEEKNUM(SalesData[[#This Row],[Date]])</f>
        <v>29</v>
      </c>
      <c r="O1052" t="s">
        <v>2190</v>
      </c>
      <c r="P1052" t="s">
        <v>2523</v>
      </c>
      <c r="Q1052" t="s">
        <v>2526</v>
      </c>
    </row>
    <row r="1053" spans="1:17" x14ac:dyDescent="0.35">
      <c r="A1053" t="s">
        <v>1624</v>
      </c>
      <c r="B1053" s="3">
        <v>45131</v>
      </c>
      <c r="C1053" t="s">
        <v>2020</v>
      </c>
      <c r="D1053" t="s">
        <v>2028</v>
      </c>
      <c r="E1053" s="8">
        <v>3704</v>
      </c>
      <c r="F1053">
        <v>4</v>
      </c>
      <c r="G1053">
        <v>15</v>
      </c>
      <c r="H1053" s="8">
        <v>12593.6</v>
      </c>
      <c r="I1053">
        <v>2184.37</v>
      </c>
      <c r="J1053">
        <v>3856.13</v>
      </c>
      <c r="K1053" s="5">
        <f>IF(SalesData[[#This Row],[Total Revenue]]=0,0,SalesData[[#This Row],[Profit]]/SalesData[[#This Row],[Total Revenue]])</f>
        <v>0.3061975924278999</v>
      </c>
      <c r="L1053" s="5" t="str">
        <f>TEXT(SalesData[[#This Row],[Date]],"mmm")</f>
        <v>Jul</v>
      </c>
      <c r="M1053">
        <f>YEAR(SalesData[[#This Row],[Date]])</f>
        <v>2023</v>
      </c>
      <c r="N1053">
        <f>WEEKNUM(SalesData[[#This Row],[Date]])</f>
        <v>30</v>
      </c>
      <c r="O1053" t="s">
        <v>2271</v>
      </c>
      <c r="P1053" t="s">
        <v>2523</v>
      </c>
      <c r="Q1053" t="s">
        <v>2525</v>
      </c>
    </row>
    <row r="1054" spans="1:17" x14ac:dyDescent="0.35">
      <c r="A1054" t="s">
        <v>1703</v>
      </c>
      <c r="B1054" s="3">
        <v>45183</v>
      </c>
      <c r="C1054" t="s">
        <v>2016</v>
      </c>
      <c r="D1054" t="s">
        <v>2025</v>
      </c>
      <c r="E1054" s="8">
        <v>4666</v>
      </c>
      <c r="F1054">
        <v>3</v>
      </c>
      <c r="G1054">
        <v>10</v>
      </c>
      <c r="H1054" s="8">
        <v>12598.2</v>
      </c>
      <c r="I1054">
        <v>2565.23</v>
      </c>
      <c r="J1054">
        <v>4902.51</v>
      </c>
      <c r="K1054" s="5">
        <f>IF(SalesData[[#This Row],[Total Revenue]]=0,0,SalesData[[#This Row],[Profit]]/SalesData[[#This Row],[Total Revenue]])</f>
        <v>0.38914368719340858</v>
      </c>
      <c r="L1054" s="5" t="str">
        <f>TEXT(SalesData[[#This Row],[Date]],"mmm")</f>
        <v>Sep</v>
      </c>
      <c r="M1054">
        <f>YEAR(SalesData[[#This Row],[Date]])</f>
        <v>2023</v>
      </c>
      <c r="N1054">
        <f>WEEKNUM(SalesData[[#This Row],[Date]])</f>
        <v>37</v>
      </c>
      <c r="O1054" t="s">
        <v>2089</v>
      </c>
      <c r="P1054" t="s">
        <v>2523</v>
      </c>
      <c r="Q1054" t="s">
        <v>2524</v>
      </c>
    </row>
    <row r="1055" spans="1:17" x14ac:dyDescent="0.35">
      <c r="A1055" t="s">
        <v>986</v>
      </c>
      <c r="B1055" s="3">
        <v>45094</v>
      </c>
      <c r="C1055" t="s">
        <v>2020</v>
      </c>
      <c r="D1055" t="s">
        <v>2028</v>
      </c>
      <c r="E1055" s="8">
        <v>4428</v>
      </c>
      <c r="F1055">
        <v>3</v>
      </c>
      <c r="G1055">
        <v>5</v>
      </c>
      <c r="H1055" s="8">
        <v>12619.8</v>
      </c>
      <c r="I1055">
        <v>3363.08</v>
      </c>
      <c r="J1055">
        <v>2530.56</v>
      </c>
      <c r="K1055" s="5">
        <f>IF(SalesData[[#This Row],[Total Revenue]]=0,0,SalesData[[#This Row],[Profit]]/SalesData[[#This Row],[Total Revenue]])</f>
        <v>0.20052298768601723</v>
      </c>
      <c r="L1055" s="5" t="str">
        <f>TEXT(SalesData[[#This Row],[Date]],"mmm")</f>
        <v>Jun</v>
      </c>
      <c r="M1055">
        <f>YEAR(SalesData[[#This Row],[Date]])</f>
        <v>2023</v>
      </c>
      <c r="N1055">
        <f>WEEKNUM(SalesData[[#This Row],[Date]])</f>
        <v>24</v>
      </c>
      <c r="O1055" t="s">
        <v>2377</v>
      </c>
      <c r="P1055" t="s">
        <v>2523</v>
      </c>
      <c r="Q1055" t="s">
        <v>2526</v>
      </c>
    </row>
    <row r="1056" spans="1:17" x14ac:dyDescent="0.35">
      <c r="A1056" t="s">
        <v>241</v>
      </c>
      <c r="B1056" s="3">
        <v>45286</v>
      </c>
      <c r="C1056" t="s">
        <v>2014</v>
      </c>
      <c r="D1056" t="s">
        <v>2024</v>
      </c>
      <c r="E1056" s="8">
        <v>2339</v>
      </c>
      <c r="F1056">
        <v>6</v>
      </c>
      <c r="G1056">
        <v>10</v>
      </c>
      <c r="H1056" s="8">
        <v>12630.6</v>
      </c>
      <c r="I1056">
        <v>1477.76</v>
      </c>
      <c r="J1056">
        <v>3764.01</v>
      </c>
      <c r="K1056" s="5">
        <f>IF(SalesData[[#This Row],[Total Revenue]]=0,0,SalesData[[#This Row],[Profit]]/SalesData[[#This Row],[Total Revenue]])</f>
        <v>0.29800722055959339</v>
      </c>
      <c r="L1056" s="5" t="str">
        <f>TEXT(SalesData[[#This Row],[Date]],"mmm")</f>
        <v>Dec</v>
      </c>
      <c r="M1056">
        <f>YEAR(SalesData[[#This Row],[Date]])</f>
        <v>2023</v>
      </c>
      <c r="N1056">
        <f>WEEKNUM(SalesData[[#This Row],[Date]])</f>
        <v>52</v>
      </c>
      <c r="O1056" t="s">
        <v>2211</v>
      </c>
      <c r="P1056" t="s">
        <v>2522</v>
      </c>
      <c r="Q1056" t="s">
        <v>2525</v>
      </c>
    </row>
    <row r="1057" spans="1:17" x14ac:dyDescent="0.35">
      <c r="A1057" t="s">
        <v>1058</v>
      </c>
      <c r="B1057" s="3">
        <v>45144</v>
      </c>
      <c r="C1057" t="s">
        <v>2020</v>
      </c>
      <c r="D1057" t="s">
        <v>2028</v>
      </c>
      <c r="E1057" s="8">
        <v>1810</v>
      </c>
      <c r="F1057">
        <v>7</v>
      </c>
      <c r="G1057">
        <v>0</v>
      </c>
      <c r="H1057" s="8">
        <v>12670</v>
      </c>
      <c r="I1057">
        <v>1226.6600000000001</v>
      </c>
      <c r="J1057">
        <v>4083.37</v>
      </c>
      <c r="K1057" s="5">
        <f>IF(SalesData[[#This Row],[Total Revenue]]=0,0,SalesData[[#This Row],[Profit]]/SalesData[[#This Row],[Total Revenue]])</f>
        <v>0.32228650355169691</v>
      </c>
      <c r="L1057" s="5" t="str">
        <f>TEXT(SalesData[[#This Row],[Date]],"mmm")</f>
        <v>Aug</v>
      </c>
      <c r="M1057">
        <f>YEAR(SalesData[[#This Row],[Date]])</f>
        <v>2023</v>
      </c>
      <c r="N1057">
        <f>WEEKNUM(SalesData[[#This Row],[Date]])</f>
        <v>32</v>
      </c>
      <c r="O1057" t="s">
        <v>2446</v>
      </c>
      <c r="P1057" t="s">
        <v>2523</v>
      </c>
      <c r="Q1057" t="s">
        <v>2526</v>
      </c>
    </row>
    <row r="1058" spans="1:17" x14ac:dyDescent="0.35">
      <c r="A1058" t="s">
        <v>1670</v>
      </c>
      <c r="B1058" s="3">
        <v>45224</v>
      </c>
      <c r="C1058" t="s">
        <v>2016</v>
      </c>
      <c r="D1058" t="s">
        <v>2025</v>
      </c>
      <c r="E1058" s="8">
        <v>2982</v>
      </c>
      <c r="F1058">
        <v>5</v>
      </c>
      <c r="G1058">
        <v>15</v>
      </c>
      <c r="H1058" s="8">
        <v>12673.5</v>
      </c>
      <c r="I1058">
        <v>1502.53</v>
      </c>
      <c r="J1058">
        <v>5160.83</v>
      </c>
      <c r="K1058" s="5">
        <f>IF(SalesData[[#This Row],[Total Revenue]]=0,0,SalesData[[#This Row],[Profit]]/SalesData[[#This Row],[Total Revenue]])</f>
        <v>0.40721426598808536</v>
      </c>
      <c r="L1058" s="5" t="str">
        <f>TEXT(SalesData[[#This Row],[Date]],"mmm")</f>
        <v>Oct</v>
      </c>
      <c r="M1058">
        <f>YEAR(SalesData[[#This Row],[Date]])</f>
        <v>2023</v>
      </c>
      <c r="N1058">
        <f>WEEKNUM(SalesData[[#This Row],[Date]])</f>
        <v>43</v>
      </c>
      <c r="O1058" t="s">
        <v>2470</v>
      </c>
      <c r="P1058" t="s">
        <v>2523</v>
      </c>
      <c r="Q1058" t="s">
        <v>2524</v>
      </c>
    </row>
    <row r="1059" spans="1:17" x14ac:dyDescent="0.35">
      <c r="A1059" t="s">
        <v>1315</v>
      </c>
      <c r="B1059" s="3">
        <v>45218</v>
      </c>
      <c r="C1059" t="s">
        <v>2020</v>
      </c>
      <c r="D1059" t="s">
        <v>2028</v>
      </c>
      <c r="E1059" s="8">
        <v>3337</v>
      </c>
      <c r="F1059">
        <v>4</v>
      </c>
      <c r="G1059">
        <v>5</v>
      </c>
      <c r="H1059" s="8">
        <v>12680.6</v>
      </c>
      <c r="I1059">
        <v>2261.89</v>
      </c>
      <c r="J1059">
        <v>3633.03</v>
      </c>
      <c r="K1059" s="5">
        <f>IF(SalesData[[#This Row],[Total Revenue]]=0,0,SalesData[[#This Row],[Profit]]/SalesData[[#This Row],[Total Revenue]])</f>
        <v>0.28650300458968819</v>
      </c>
      <c r="L1059" s="5" t="str">
        <f>TEXT(SalesData[[#This Row],[Date]],"mmm")</f>
        <v>Oct</v>
      </c>
      <c r="M1059">
        <f>YEAR(SalesData[[#This Row],[Date]])</f>
        <v>2023</v>
      </c>
      <c r="N1059">
        <f>WEEKNUM(SalesData[[#This Row],[Date]])</f>
        <v>42</v>
      </c>
      <c r="O1059" t="s">
        <v>2117</v>
      </c>
      <c r="P1059" t="s">
        <v>2522</v>
      </c>
      <c r="Q1059" t="s">
        <v>2526</v>
      </c>
    </row>
    <row r="1060" spans="1:17" x14ac:dyDescent="0.35">
      <c r="A1060" t="s">
        <v>1946</v>
      </c>
      <c r="B1060" s="3">
        <v>44937</v>
      </c>
      <c r="C1060" t="s">
        <v>2020</v>
      </c>
      <c r="D1060" t="s">
        <v>2028</v>
      </c>
      <c r="E1060" s="8">
        <v>2984</v>
      </c>
      <c r="F1060">
        <v>5</v>
      </c>
      <c r="G1060">
        <v>15</v>
      </c>
      <c r="H1060" s="8">
        <v>12682</v>
      </c>
      <c r="I1060">
        <v>1647.92</v>
      </c>
      <c r="J1060">
        <v>4442.42</v>
      </c>
      <c r="K1060" s="5">
        <f>IF(SalesData[[#This Row],[Total Revenue]]=0,0,SalesData[[#This Row],[Profit]]/SalesData[[#This Row],[Total Revenue]])</f>
        <v>0.35029332912789779</v>
      </c>
      <c r="L1060" s="5" t="str">
        <f>TEXT(SalesData[[#This Row],[Date]],"mmm")</f>
        <v>Jan</v>
      </c>
      <c r="M1060">
        <f>YEAR(SalesData[[#This Row],[Date]])</f>
        <v>2023</v>
      </c>
      <c r="N1060">
        <f>WEEKNUM(SalesData[[#This Row],[Date]])</f>
        <v>2</v>
      </c>
      <c r="O1060" t="s">
        <v>2169</v>
      </c>
      <c r="P1060" t="s">
        <v>2522</v>
      </c>
      <c r="Q1060" t="s">
        <v>2527</v>
      </c>
    </row>
    <row r="1061" spans="1:17" x14ac:dyDescent="0.35">
      <c r="A1061" t="s">
        <v>447</v>
      </c>
      <c r="B1061" s="3">
        <v>45036</v>
      </c>
      <c r="C1061" t="s">
        <v>2016</v>
      </c>
      <c r="D1061" t="s">
        <v>2025</v>
      </c>
      <c r="E1061" s="8">
        <v>3732</v>
      </c>
      <c r="F1061">
        <v>4</v>
      </c>
      <c r="G1061">
        <v>15</v>
      </c>
      <c r="H1061" s="8">
        <v>12688.8</v>
      </c>
      <c r="I1061">
        <v>2492.5100000000002</v>
      </c>
      <c r="J1061">
        <v>2718.74</v>
      </c>
      <c r="K1061" s="5">
        <f>IF(SalesData[[#This Row],[Total Revenue]]=0,0,SalesData[[#This Row],[Profit]]/SalesData[[#This Row],[Total Revenue]])</f>
        <v>0.21426297206985687</v>
      </c>
      <c r="L1061" s="5" t="str">
        <f>TEXT(SalesData[[#This Row],[Date]],"mmm")</f>
        <v>Apr</v>
      </c>
      <c r="M1061">
        <f>YEAR(SalesData[[#This Row],[Date]])</f>
        <v>2023</v>
      </c>
      <c r="N1061">
        <f>WEEKNUM(SalesData[[#This Row],[Date]])</f>
        <v>16</v>
      </c>
      <c r="O1061" t="s">
        <v>2070</v>
      </c>
      <c r="P1061" t="s">
        <v>2522</v>
      </c>
      <c r="Q1061" t="s">
        <v>2524</v>
      </c>
    </row>
    <row r="1062" spans="1:17" x14ac:dyDescent="0.35">
      <c r="A1062" t="s">
        <v>88</v>
      </c>
      <c r="B1062" s="3">
        <v>45141</v>
      </c>
      <c r="C1062" t="s">
        <v>2022</v>
      </c>
      <c r="D1062" t="s">
        <v>2024</v>
      </c>
      <c r="E1062" s="8">
        <v>1867</v>
      </c>
      <c r="F1062">
        <v>8</v>
      </c>
      <c r="G1062">
        <v>15</v>
      </c>
      <c r="H1062" s="8">
        <v>12695.6</v>
      </c>
      <c r="I1062">
        <v>1435.84</v>
      </c>
      <c r="J1062">
        <v>1208.8599999999999</v>
      </c>
      <c r="K1062" s="5">
        <f>IF(SalesData[[#This Row],[Total Revenue]]=0,0,SalesData[[#This Row],[Profit]]/SalesData[[#This Row],[Total Revenue]])</f>
        <v>9.5218815967736847E-2</v>
      </c>
      <c r="L1062" s="5" t="str">
        <f>TEXT(SalesData[[#This Row],[Date]],"mmm")</f>
        <v>Aug</v>
      </c>
      <c r="M1062">
        <f>YEAR(SalesData[[#This Row],[Date]])</f>
        <v>2023</v>
      </c>
      <c r="N1062">
        <f>WEEKNUM(SalesData[[#This Row],[Date]])</f>
        <v>31</v>
      </c>
      <c r="O1062" t="s">
        <v>2096</v>
      </c>
      <c r="P1062" t="s">
        <v>2523</v>
      </c>
      <c r="Q1062" t="s">
        <v>2524</v>
      </c>
    </row>
    <row r="1063" spans="1:17" x14ac:dyDescent="0.35">
      <c r="A1063" t="s">
        <v>862</v>
      </c>
      <c r="B1063" s="3">
        <v>45125</v>
      </c>
      <c r="C1063" t="s">
        <v>2017</v>
      </c>
      <c r="D1063" t="s">
        <v>2026</v>
      </c>
      <c r="E1063" s="8">
        <v>3344</v>
      </c>
      <c r="F1063">
        <v>4</v>
      </c>
      <c r="G1063">
        <v>5</v>
      </c>
      <c r="H1063" s="8">
        <v>12707.2</v>
      </c>
      <c r="I1063">
        <v>2066.46</v>
      </c>
      <c r="J1063">
        <v>4441.37</v>
      </c>
      <c r="K1063" s="5">
        <f>IF(SalesData[[#This Row],[Total Revenue]]=0,0,SalesData[[#This Row],[Profit]]/SalesData[[#This Row],[Total Revenue]])</f>
        <v>0.34951602241249052</v>
      </c>
      <c r="L1063" s="5" t="str">
        <f>TEXT(SalesData[[#This Row],[Date]],"mmm")</f>
        <v>Jul</v>
      </c>
      <c r="M1063">
        <f>YEAR(SalesData[[#This Row],[Date]])</f>
        <v>2023</v>
      </c>
      <c r="N1063">
        <f>WEEKNUM(SalesData[[#This Row],[Date]])</f>
        <v>29</v>
      </c>
      <c r="O1063" t="s">
        <v>2060</v>
      </c>
      <c r="P1063" t="s">
        <v>2522</v>
      </c>
      <c r="Q1063" t="s">
        <v>2526</v>
      </c>
    </row>
    <row r="1064" spans="1:17" x14ac:dyDescent="0.35">
      <c r="A1064" t="s">
        <v>1515</v>
      </c>
      <c r="B1064" s="3">
        <v>45149</v>
      </c>
      <c r="C1064" t="s">
        <v>2015</v>
      </c>
      <c r="D1064" t="s">
        <v>2025</v>
      </c>
      <c r="E1064" s="8">
        <v>1870</v>
      </c>
      <c r="F1064">
        <v>8</v>
      </c>
      <c r="G1064">
        <v>15</v>
      </c>
      <c r="H1064" s="8">
        <v>12716</v>
      </c>
      <c r="I1064">
        <v>1434.14</v>
      </c>
      <c r="J1064">
        <v>1242.8599999999999</v>
      </c>
      <c r="K1064" s="5">
        <f>IF(SalesData[[#This Row],[Total Revenue]]=0,0,SalesData[[#This Row],[Profit]]/SalesData[[#This Row],[Total Revenue]])</f>
        <v>9.773985530040892E-2</v>
      </c>
      <c r="L1064" s="5" t="str">
        <f>TEXT(SalesData[[#This Row],[Date]],"mmm")</f>
        <v>Aug</v>
      </c>
      <c r="M1064">
        <f>YEAR(SalesData[[#This Row],[Date]])</f>
        <v>2023</v>
      </c>
      <c r="N1064">
        <f>WEEKNUM(SalesData[[#This Row],[Date]])</f>
        <v>32</v>
      </c>
      <c r="O1064" t="s">
        <v>2449</v>
      </c>
      <c r="P1064" t="s">
        <v>2523</v>
      </c>
      <c r="Q1064" t="s">
        <v>2525</v>
      </c>
    </row>
    <row r="1065" spans="1:17" x14ac:dyDescent="0.35">
      <c r="A1065" t="s">
        <v>1967</v>
      </c>
      <c r="B1065" s="3">
        <v>45268</v>
      </c>
      <c r="C1065" t="s">
        <v>2020</v>
      </c>
      <c r="D1065" t="s">
        <v>2028</v>
      </c>
      <c r="E1065" s="8">
        <v>1769</v>
      </c>
      <c r="F1065">
        <v>8</v>
      </c>
      <c r="G1065">
        <v>10</v>
      </c>
      <c r="H1065" s="8">
        <v>12736.8</v>
      </c>
      <c r="I1065">
        <v>1063.97</v>
      </c>
      <c r="J1065">
        <v>4225.0200000000004</v>
      </c>
      <c r="K1065" s="5">
        <f>IF(SalesData[[#This Row],[Total Revenue]]=0,0,SalesData[[#This Row],[Profit]]/SalesData[[#This Row],[Total Revenue]])</f>
        <v>0.33171754286791039</v>
      </c>
      <c r="L1065" s="5" t="str">
        <f>TEXT(SalesData[[#This Row],[Date]],"mmm")</f>
        <v>Dec</v>
      </c>
      <c r="M1065">
        <f>YEAR(SalesData[[#This Row],[Date]])</f>
        <v>2023</v>
      </c>
      <c r="N1065">
        <f>WEEKNUM(SalesData[[#This Row],[Date]])</f>
        <v>49</v>
      </c>
      <c r="O1065" t="s">
        <v>2378</v>
      </c>
      <c r="P1065" t="s">
        <v>2522</v>
      </c>
      <c r="Q1065" t="s">
        <v>2526</v>
      </c>
    </row>
    <row r="1066" spans="1:17" x14ac:dyDescent="0.35">
      <c r="A1066" t="s">
        <v>1641</v>
      </c>
      <c r="B1066" s="3">
        <v>44960</v>
      </c>
      <c r="C1066" t="s">
        <v>2021</v>
      </c>
      <c r="D1066" t="s">
        <v>2028</v>
      </c>
      <c r="E1066" s="8">
        <v>1677</v>
      </c>
      <c r="F1066">
        <v>8</v>
      </c>
      <c r="G1066">
        <v>5</v>
      </c>
      <c r="H1066" s="8">
        <v>12745.2</v>
      </c>
      <c r="I1066">
        <v>1104.6099999999999</v>
      </c>
      <c r="J1066">
        <v>3908.3</v>
      </c>
      <c r="K1066" s="5">
        <f>IF(SalesData[[#This Row],[Total Revenue]]=0,0,SalesData[[#This Row],[Profit]]/SalesData[[#This Row],[Total Revenue]])</f>
        <v>0.30664877757901016</v>
      </c>
      <c r="L1066" s="5" t="str">
        <f>TEXT(SalesData[[#This Row],[Date]],"mmm")</f>
        <v>Feb</v>
      </c>
      <c r="M1066">
        <f>YEAR(SalesData[[#This Row],[Date]])</f>
        <v>2023</v>
      </c>
      <c r="N1066">
        <f>WEEKNUM(SalesData[[#This Row],[Date]])</f>
        <v>5</v>
      </c>
      <c r="O1066" t="s">
        <v>2430</v>
      </c>
      <c r="P1066" t="s">
        <v>2523</v>
      </c>
      <c r="Q1066" t="s">
        <v>2527</v>
      </c>
    </row>
    <row r="1067" spans="1:17" x14ac:dyDescent="0.35">
      <c r="A1067" t="s">
        <v>1792</v>
      </c>
      <c r="B1067" s="3">
        <v>45164</v>
      </c>
      <c r="C1067" t="s">
        <v>2014</v>
      </c>
      <c r="D1067" t="s">
        <v>2024</v>
      </c>
      <c r="E1067" s="8">
        <v>1674</v>
      </c>
      <c r="F1067">
        <v>9</v>
      </c>
      <c r="G1067">
        <v>15</v>
      </c>
      <c r="H1067" s="8">
        <v>12806.1</v>
      </c>
      <c r="I1067">
        <v>1216.99</v>
      </c>
      <c r="J1067">
        <v>1853.15</v>
      </c>
      <c r="K1067" s="5">
        <f>IF(SalesData[[#This Row],[Total Revenue]]=0,0,SalesData[[#This Row],[Profit]]/SalesData[[#This Row],[Total Revenue]])</f>
        <v>0.14470838116210244</v>
      </c>
      <c r="L1067" s="5" t="str">
        <f>TEXT(SalesData[[#This Row],[Date]],"mmm")</f>
        <v>Aug</v>
      </c>
      <c r="M1067">
        <f>YEAR(SalesData[[#This Row],[Date]])</f>
        <v>2023</v>
      </c>
      <c r="N1067">
        <f>WEEKNUM(SalesData[[#This Row],[Date]])</f>
        <v>34</v>
      </c>
      <c r="O1067" t="s">
        <v>2099</v>
      </c>
      <c r="P1067" t="s">
        <v>2522</v>
      </c>
      <c r="Q1067" t="s">
        <v>2524</v>
      </c>
    </row>
    <row r="1068" spans="1:17" x14ac:dyDescent="0.35">
      <c r="A1068" t="s">
        <v>1044</v>
      </c>
      <c r="B1068" s="3">
        <v>45262</v>
      </c>
      <c r="C1068" t="s">
        <v>2021</v>
      </c>
      <c r="D1068" t="s">
        <v>2028</v>
      </c>
      <c r="E1068" s="8">
        <v>1780</v>
      </c>
      <c r="F1068">
        <v>8</v>
      </c>
      <c r="G1068">
        <v>10</v>
      </c>
      <c r="H1068" s="8">
        <v>12816</v>
      </c>
      <c r="I1068">
        <v>1364.93</v>
      </c>
      <c r="J1068">
        <v>1896.55</v>
      </c>
      <c r="K1068" s="5">
        <f>IF(SalesData[[#This Row],[Total Revenue]]=0,0,SalesData[[#This Row],[Profit]]/SalesData[[#This Row],[Total Revenue]])</f>
        <v>0.14798299001248438</v>
      </c>
      <c r="L1068" s="5" t="str">
        <f>TEXT(SalesData[[#This Row],[Date]],"mmm")</f>
        <v>Dec</v>
      </c>
      <c r="M1068">
        <f>YEAR(SalesData[[#This Row],[Date]])</f>
        <v>2023</v>
      </c>
      <c r="N1068">
        <f>WEEKNUM(SalesData[[#This Row],[Date]])</f>
        <v>48</v>
      </c>
      <c r="O1068" t="s">
        <v>2091</v>
      </c>
      <c r="P1068" t="s">
        <v>2523</v>
      </c>
      <c r="Q1068" t="s">
        <v>2524</v>
      </c>
    </row>
    <row r="1069" spans="1:17" x14ac:dyDescent="0.35">
      <c r="A1069" t="s">
        <v>117</v>
      </c>
      <c r="B1069" s="3">
        <v>44950</v>
      </c>
      <c r="C1069" t="s">
        <v>2015</v>
      </c>
      <c r="D1069" t="s">
        <v>2025</v>
      </c>
      <c r="E1069" s="8">
        <v>4273</v>
      </c>
      <c r="F1069">
        <v>3</v>
      </c>
      <c r="G1069">
        <v>0</v>
      </c>
      <c r="H1069" s="8">
        <v>12819</v>
      </c>
      <c r="I1069">
        <v>2268.64</v>
      </c>
      <c r="J1069">
        <v>6013.08</v>
      </c>
      <c r="K1069" s="5">
        <f>IF(SalesData[[#This Row],[Total Revenue]]=0,0,SalesData[[#This Row],[Profit]]/SalesData[[#This Row],[Total Revenue]])</f>
        <v>0.4690755909197285</v>
      </c>
      <c r="L1069" s="5" t="str">
        <f>TEXT(SalesData[[#This Row],[Date]],"mmm")</f>
        <v>Jan</v>
      </c>
      <c r="M1069">
        <f>YEAR(SalesData[[#This Row],[Date]])</f>
        <v>2023</v>
      </c>
      <c r="N1069">
        <f>WEEKNUM(SalesData[[#This Row],[Date]])</f>
        <v>4</v>
      </c>
      <c r="O1069" t="s">
        <v>2122</v>
      </c>
      <c r="P1069" t="s">
        <v>2522</v>
      </c>
      <c r="Q1069" t="s">
        <v>2524</v>
      </c>
    </row>
    <row r="1070" spans="1:17" x14ac:dyDescent="0.35">
      <c r="A1070" t="s">
        <v>1458</v>
      </c>
      <c r="B1070" s="3">
        <v>45257</v>
      </c>
      <c r="C1070" t="s">
        <v>2021</v>
      </c>
      <c r="D1070" t="s">
        <v>2028</v>
      </c>
      <c r="E1070" s="8">
        <v>3018</v>
      </c>
      <c r="F1070">
        <v>5</v>
      </c>
      <c r="G1070">
        <v>15</v>
      </c>
      <c r="H1070" s="8">
        <v>12826.5</v>
      </c>
      <c r="I1070">
        <v>2380.9</v>
      </c>
      <c r="J1070">
        <v>921.99</v>
      </c>
      <c r="K1070" s="5">
        <f>IF(SalesData[[#This Row],[Total Revenue]]=0,0,SalesData[[#This Row],[Profit]]/SalesData[[#This Row],[Total Revenue]])</f>
        <v>7.1881651268857441E-2</v>
      </c>
      <c r="L1070" s="5" t="str">
        <f>TEXT(SalesData[[#This Row],[Date]],"mmm")</f>
        <v>Nov</v>
      </c>
      <c r="M1070">
        <f>YEAR(SalesData[[#This Row],[Date]])</f>
        <v>2023</v>
      </c>
      <c r="N1070">
        <f>WEEKNUM(SalesData[[#This Row],[Date]])</f>
        <v>48</v>
      </c>
      <c r="O1070" t="s">
        <v>2336</v>
      </c>
      <c r="P1070" t="s">
        <v>2522</v>
      </c>
      <c r="Q1070" t="s">
        <v>2524</v>
      </c>
    </row>
    <row r="1071" spans="1:17" x14ac:dyDescent="0.35">
      <c r="A1071" t="s">
        <v>1872</v>
      </c>
      <c r="B1071" s="3">
        <v>45037</v>
      </c>
      <c r="C1071" t="s">
        <v>2015</v>
      </c>
      <c r="D1071" t="s">
        <v>2025</v>
      </c>
      <c r="E1071" s="8">
        <v>4505</v>
      </c>
      <c r="F1071">
        <v>3</v>
      </c>
      <c r="G1071">
        <v>5</v>
      </c>
      <c r="H1071" s="8">
        <v>12839.25</v>
      </c>
      <c r="I1071">
        <v>2305.6799999999998</v>
      </c>
      <c r="J1071">
        <v>5922.22</v>
      </c>
      <c r="K1071" s="5">
        <f>IF(SalesData[[#This Row],[Total Revenue]]=0,0,SalesData[[#This Row],[Profit]]/SalesData[[#This Row],[Total Revenue]])</f>
        <v>0.46125902992776058</v>
      </c>
      <c r="L1071" s="5" t="str">
        <f>TEXT(SalesData[[#This Row],[Date]],"mmm")</f>
        <v>Apr</v>
      </c>
      <c r="M1071">
        <f>YEAR(SalesData[[#This Row],[Date]])</f>
        <v>2023</v>
      </c>
      <c r="N1071">
        <f>WEEKNUM(SalesData[[#This Row],[Date]])</f>
        <v>16</v>
      </c>
      <c r="O1071" t="s">
        <v>2188</v>
      </c>
      <c r="P1071" t="s">
        <v>2523</v>
      </c>
      <c r="Q1071" t="s">
        <v>2526</v>
      </c>
    </row>
    <row r="1072" spans="1:17" x14ac:dyDescent="0.35">
      <c r="A1072" t="s">
        <v>56</v>
      </c>
      <c r="B1072" s="3">
        <v>45078</v>
      </c>
      <c r="C1072" t="s">
        <v>2018</v>
      </c>
      <c r="D1072" t="s">
        <v>2026</v>
      </c>
      <c r="E1072" s="8">
        <v>4506</v>
      </c>
      <c r="F1072">
        <v>3</v>
      </c>
      <c r="G1072">
        <v>5</v>
      </c>
      <c r="H1072" s="8">
        <v>12842.1</v>
      </c>
      <c r="I1072">
        <v>3225.99</v>
      </c>
      <c r="J1072">
        <v>3164.13</v>
      </c>
      <c r="K1072" s="5">
        <f>IF(SalesData[[#This Row],[Total Revenue]]=0,0,SalesData[[#This Row],[Profit]]/SalesData[[#This Row],[Total Revenue]])</f>
        <v>0.24638727310953817</v>
      </c>
      <c r="L1072" s="5" t="str">
        <f>TEXT(SalesData[[#This Row],[Date]],"mmm")</f>
        <v>Jun</v>
      </c>
      <c r="M1072">
        <f>YEAR(SalesData[[#This Row],[Date]])</f>
        <v>2023</v>
      </c>
      <c r="N1072">
        <f>WEEKNUM(SalesData[[#This Row],[Date]])</f>
        <v>22</v>
      </c>
      <c r="O1072" t="s">
        <v>2067</v>
      </c>
      <c r="P1072" t="s">
        <v>2523</v>
      </c>
      <c r="Q1072" t="s">
        <v>2527</v>
      </c>
    </row>
    <row r="1073" spans="1:17" x14ac:dyDescent="0.35">
      <c r="A1073" t="s">
        <v>474</v>
      </c>
      <c r="B1073" s="3">
        <v>45065</v>
      </c>
      <c r="C1073" t="s">
        <v>2013</v>
      </c>
      <c r="D1073" t="s">
        <v>2023</v>
      </c>
      <c r="E1073" s="8">
        <v>2143</v>
      </c>
      <c r="F1073">
        <v>6</v>
      </c>
      <c r="G1073">
        <v>0</v>
      </c>
      <c r="H1073" s="8">
        <v>12858</v>
      </c>
      <c r="I1073">
        <v>1202.28</v>
      </c>
      <c r="J1073">
        <v>5644.31</v>
      </c>
      <c r="K1073" s="5">
        <f>IF(SalesData[[#This Row],[Total Revenue]]=0,0,SalesData[[#This Row],[Profit]]/SalesData[[#This Row],[Total Revenue]])</f>
        <v>0.43897262404728576</v>
      </c>
      <c r="L1073" s="5" t="str">
        <f>TEXT(SalesData[[#This Row],[Date]],"mmm")</f>
        <v>May</v>
      </c>
      <c r="M1073">
        <f>YEAR(SalesData[[#This Row],[Date]])</f>
        <v>2023</v>
      </c>
      <c r="N1073">
        <f>WEEKNUM(SalesData[[#This Row],[Date]])</f>
        <v>20</v>
      </c>
      <c r="O1073" t="s">
        <v>2325</v>
      </c>
      <c r="P1073" t="s">
        <v>2522</v>
      </c>
      <c r="Q1073" t="s">
        <v>2526</v>
      </c>
    </row>
    <row r="1074" spans="1:17" x14ac:dyDescent="0.35">
      <c r="A1074" t="s">
        <v>337</v>
      </c>
      <c r="B1074" s="3">
        <v>45060</v>
      </c>
      <c r="C1074" t="s">
        <v>2019</v>
      </c>
      <c r="D1074" t="s">
        <v>2027</v>
      </c>
      <c r="E1074" s="8">
        <v>1506</v>
      </c>
      <c r="F1074">
        <v>9</v>
      </c>
      <c r="G1074">
        <v>5</v>
      </c>
      <c r="H1074" s="8">
        <v>12876.3</v>
      </c>
      <c r="I1074">
        <v>963.65</v>
      </c>
      <c r="J1074">
        <v>4203.43</v>
      </c>
      <c r="K1074" s="5">
        <f>IF(SalesData[[#This Row],[Total Revenue]]=0,0,SalesData[[#This Row],[Profit]]/SalesData[[#This Row],[Total Revenue]])</f>
        <v>0.32644703835729211</v>
      </c>
      <c r="L1074" s="5" t="str">
        <f>TEXT(SalesData[[#This Row],[Date]],"mmm")</f>
        <v>May</v>
      </c>
      <c r="M1074">
        <f>YEAR(SalesData[[#This Row],[Date]])</f>
        <v>2023</v>
      </c>
      <c r="N1074">
        <f>WEEKNUM(SalesData[[#This Row],[Date]])</f>
        <v>20</v>
      </c>
      <c r="O1074" t="s">
        <v>2204</v>
      </c>
      <c r="P1074" t="s">
        <v>2522</v>
      </c>
      <c r="Q1074" t="s">
        <v>2525</v>
      </c>
    </row>
    <row r="1075" spans="1:17" x14ac:dyDescent="0.35">
      <c r="A1075" t="s">
        <v>962</v>
      </c>
      <c r="B1075" s="3">
        <v>44950</v>
      </c>
      <c r="C1075" t="s">
        <v>2016</v>
      </c>
      <c r="D1075" t="s">
        <v>2025</v>
      </c>
      <c r="E1075" s="8">
        <v>4782</v>
      </c>
      <c r="F1075">
        <v>3</v>
      </c>
      <c r="G1075">
        <v>10</v>
      </c>
      <c r="H1075" s="8">
        <v>12911.4</v>
      </c>
      <c r="I1075">
        <v>3096.76</v>
      </c>
      <c r="J1075">
        <v>3621.11</v>
      </c>
      <c r="K1075" s="5">
        <f>IF(SalesData[[#This Row],[Total Revenue]]=0,0,SalesData[[#This Row],[Profit]]/SalesData[[#This Row],[Total Revenue]])</f>
        <v>0.28045835463234042</v>
      </c>
      <c r="L1075" s="5" t="str">
        <f>TEXT(SalesData[[#This Row],[Date]],"mmm")</f>
        <v>Jan</v>
      </c>
      <c r="M1075">
        <f>YEAR(SalesData[[#This Row],[Date]])</f>
        <v>2023</v>
      </c>
      <c r="N1075">
        <f>WEEKNUM(SalesData[[#This Row],[Date]])</f>
        <v>4</v>
      </c>
      <c r="O1075" t="s">
        <v>2296</v>
      </c>
      <c r="P1075" t="s">
        <v>2523</v>
      </c>
      <c r="Q1075" t="s">
        <v>2524</v>
      </c>
    </row>
    <row r="1076" spans="1:17" x14ac:dyDescent="0.35">
      <c r="A1076" t="s">
        <v>1156</v>
      </c>
      <c r="B1076" s="3">
        <v>45031</v>
      </c>
      <c r="C1076" t="s">
        <v>2018</v>
      </c>
      <c r="D1076" t="s">
        <v>2026</v>
      </c>
      <c r="E1076" s="8">
        <v>3038</v>
      </c>
      <c r="F1076">
        <v>5</v>
      </c>
      <c r="G1076">
        <v>15</v>
      </c>
      <c r="H1076" s="8">
        <v>12911.5</v>
      </c>
      <c r="I1076">
        <v>2142.1799999999998</v>
      </c>
      <c r="J1076">
        <v>2200.6</v>
      </c>
      <c r="K1076" s="5">
        <f>IF(SalesData[[#This Row],[Total Revenue]]=0,0,SalesData[[#This Row],[Profit]]/SalesData[[#This Row],[Total Revenue]])</f>
        <v>0.17043720714092087</v>
      </c>
      <c r="L1076" s="5" t="str">
        <f>TEXT(SalesData[[#This Row],[Date]],"mmm")</f>
        <v>Apr</v>
      </c>
      <c r="M1076">
        <f>YEAR(SalesData[[#This Row],[Date]])</f>
        <v>2023</v>
      </c>
      <c r="N1076">
        <f>WEEKNUM(SalesData[[#This Row],[Date]])</f>
        <v>15</v>
      </c>
      <c r="O1076" t="s">
        <v>2476</v>
      </c>
      <c r="P1076" t="s">
        <v>2522</v>
      </c>
      <c r="Q1076" t="s">
        <v>2526</v>
      </c>
    </row>
    <row r="1077" spans="1:17" x14ac:dyDescent="0.35">
      <c r="A1077" t="s">
        <v>236</v>
      </c>
      <c r="B1077" s="3">
        <v>45129</v>
      </c>
      <c r="C1077" t="s">
        <v>2017</v>
      </c>
      <c r="D1077" t="s">
        <v>2026</v>
      </c>
      <c r="E1077" s="8">
        <v>2720</v>
      </c>
      <c r="F1077">
        <v>5</v>
      </c>
      <c r="G1077">
        <v>5</v>
      </c>
      <c r="H1077" s="8">
        <v>12920</v>
      </c>
      <c r="I1077">
        <v>1563.84</v>
      </c>
      <c r="J1077">
        <v>5100.8100000000004</v>
      </c>
      <c r="K1077" s="5">
        <f>IF(SalesData[[#This Row],[Total Revenue]]=0,0,SalesData[[#This Row],[Profit]]/SalesData[[#This Row],[Total Revenue]])</f>
        <v>0.39479953560371522</v>
      </c>
      <c r="L1077" s="5" t="str">
        <f>TEXT(SalesData[[#This Row],[Date]],"mmm")</f>
        <v>Jul</v>
      </c>
      <c r="M1077">
        <f>YEAR(SalesData[[#This Row],[Date]])</f>
        <v>2023</v>
      </c>
      <c r="N1077">
        <f>WEEKNUM(SalesData[[#This Row],[Date]])</f>
        <v>29</v>
      </c>
      <c r="O1077" t="s">
        <v>2068</v>
      </c>
      <c r="P1077" t="s">
        <v>2522</v>
      </c>
      <c r="Q1077" t="s">
        <v>2524</v>
      </c>
    </row>
    <row r="1078" spans="1:17" x14ac:dyDescent="0.35">
      <c r="A1078" t="s">
        <v>340</v>
      </c>
      <c r="B1078" s="3">
        <v>45127</v>
      </c>
      <c r="C1078" t="s">
        <v>2013</v>
      </c>
      <c r="D1078" t="s">
        <v>2023</v>
      </c>
      <c r="E1078" s="8">
        <v>2539</v>
      </c>
      <c r="F1078">
        <v>6</v>
      </c>
      <c r="G1078">
        <v>15</v>
      </c>
      <c r="H1078" s="8">
        <v>12948.9</v>
      </c>
      <c r="I1078">
        <v>1717.7</v>
      </c>
      <c r="J1078">
        <v>2642.7</v>
      </c>
      <c r="K1078" s="5">
        <f>IF(SalesData[[#This Row],[Total Revenue]]=0,0,SalesData[[#This Row],[Profit]]/SalesData[[#This Row],[Total Revenue]])</f>
        <v>0.20408683363065588</v>
      </c>
      <c r="L1078" s="5" t="str">
        <f>TEXT(SalesData[[#This Row],[Date]],"mmm")</f>
        <v>Jul</v>
      </c>
      <c r="M1078">
        <f>YEAR(SalesData[[#This Row],[Date]])</f>
        <v>2023</v>
      </c>
      <c r="N1078">
        <f>WEEKNUM(SalesData[[#This Row],[Date]])</f>
        <v>29</v>
      </c>
      <c r="O1078" t="s">
        <v>2268</v>
      </c>
      <c r="P1078" t="s">
        <v>2522</v>
      </c>
      <c r="Q1078" t="s">
        <v>2525</v>
      </c>
    </row>
    <row r="1079" spans="1:17" x14ac:dyDescent="0.35">
      <c r="A1079" t="s">
        <v>1017</v>
      </c>
      <c r="B1079" s="3">
        <v>45068</v>
      </c>
      <c r="C1079" t="s">
        <v>2013</v>
      </c>
      <c r="D1079" t="s">
        <v>2023</v>
      </c>
      <c r="E1079" s="8">
        <v>4796</v>
      </c>
      <c r="F1079">
        <v>3</v>
      </c>
      <c r="G1079">
        <v>10</v>
      </c>
      <c r="H1079" s="8">
        <v>12949.2</v>
      </c>
      <c r="I1079">
        <v>3527.11</v>
      </c>
      <c r="J1079">
        <v>2367.87</v>
      </c>
      <c r="K1079" s="5">
        <f>IF(SalesData[[#This Row],[Total Revenue]]=0,0,SalesData[[#This Row],[Profit]]/SalesData[[#This Row],[Total Revenue]])</f>
        <v>0.18285840051895097</v>
      </c>
      <c r="L1079" s="5" t="str">
        <f>TEXT(SalesData[[#This Row],[Date]],"mmm")</f>
        <v>May</v>
      </c>
      <c r="M1079">
        <f>YEAR(SalesData[[#This Row],[Date]])</f>
        <v>2023</v>
      </c>
      <c r="N1079">
        <f>WEEKNUM(SalesData[[#This Row],[Date]])</f>
        <v>21</v>
      </c>
      <c r="O1079" t="s">
        <v>2195</v>
      </c>
      <c r="P1079" t="s">
        <v>2522</v>
      </c>
      <c r="Q1079" t="s">
        <v>2525</v>
      </c>
    </row>
    <row r="1080" spans="1:17" x14ac:dyDescent="0.35">
      <c r="A1080" t="s">
        <v>1832</v>
      </c>
      <c r="B1080" s="3">
        <v>45084</v>
      </c>
      <c r="C1080" t="s">
        <v>2022</v>
      </c>
      <c r="D1080" t="s">
        <v>2024</v>
      </c>
      <c r="E1080" s="8">
        <v>1620</v>
      </c>
      <c r="F1080">
        <v>8</v>
      </c>
      <c r="G1080">
        <v>0</v>
      </c>
      <c r="H1080" s="8">
        <v>12960</v>
      </c>
      <c r="I1080">
        <v>1069.98</v>
      </c>
      <c r="J1080">
        <v>4400.1899999999996</v>
      </c>
      <c r="K1080" s="5">
        <f>IF(SalesData[[#This Row],[Total Revenue]]=0,0,SalesData[[#This Row],[Profit]]/SalesData[[#This Row],[Total Revenue]])</f>
        <v>0.33952083333333333</v>
      </c>
      <c r="L1080" s="5" t="str">
        <f>TEXT(SalesData[[#This Row],[Date]],"mmm")</f>
        <v>Jun</v>
      </c>
      <c r="M1080">
        <f>YEAR(SalesData[[#This Row],[Date]])</f>
        <v>2023</v>
      </c>
      <c r="N1080">
        <f>WEEKNUM(SalesData[[#This Row],[Date]])</f>
        <v>23</v>
      </c>
      <c r="O1080" t="s">
        <v>2366</v>
      </c>
      <c r="P1080" t="s">
        <v>2522</v>
      </c>
      <c r="Q1080" t="s">
        <v>2526</v>
      </c>
    </row>
    <row r="1081" spans="1:17" x14ac:dyDescent="0.35">
      <c r="A1081" t="s">
        <v>1699</v>
      </c>
      <c r="B1081" s="3">
        <v>45145</v>
      </c>
      <c r="C1081" t="s">
        <v>2017</v>
      </c>
      <c r="D1081" t="s">
        <v>2026</v>
      </c>
      <c r="E1081" s="8">
        <v>2596</v>
      </c>
      <c r="F1081">
        <v>5</v>
      </c>
      <c r="G1081">
        <v>0</v>
      </c>
      <c r="H1081" s="8">
        <v>12980</v>
      </c>
      <c r="I1081">
        <v>1723.95</v>
      </c>
      <c r="J1081">
        <v>4360.24</v>
      </c>
      <c r="K1081" s="5">
        <f>IF(SalesData[[#This Row],[Total Revenue]]=0,0,SalesData[[#This Row],[Profit]]/SalesData[[#This Row],[Total Revenue]])</f>
        <v>0.33591987673343604</v>
      </c>
      <c r="L1081" s="5" t="str">
        <f>TEXT(SalesData[[#This Row],[Date]],"mmm")</f>
        <v>Aug</v>
      </c>
      <c r="M1081">
        <f>YEAR(SalesData[[#This Row],[Date]])</f>
        <v>2023</v>
      </c>
      <c r="N1081">
        <f>WEEKNUM(SalesData[[#This Row],[Date]])</f>
        <v>32</v>
      </c>
      <c r="O1081" t="s">
        <v>2074</v>
      </c>
      <c r="P1081" t="s">
        <v>2523</v>
      </c>
      <c r="Q1081" t="s">
        <v>2525</v>
      </c>
    </row>
    <row r="1082" spans="1:17" x14ac:dyDescent="0.35">
      <c r="A1082" t="s">
        <v>898</v>
      </c>
      <c r="B1082" s="3">
        <v>45111</v>
      </c>
      <c r="C1082" t="s">
        <v>2017</v>
      </c>
      <c r="D1082" t="s">
        <v>2026</v>
      </c>
      <c r="E1082" s="8">
        <v>3610</v>
      </c>
      <c r="F1082">
        <v>4</v>
      </c>
      <c r="G1082">
        <v>10</v>
      </c>
      <c r="H1082" s="8">
        <v>12996</v>
      </c>
      <c r="I1082">
        <v>2313.9699999999998</v>
      </c>
      <c r="J1082">
        <v>3740.12</v>
      </c>
      <c r="K1082" s="5">
        <f>IF(SalesData[[#This Row],[Total Revenue]]=0,0,SalesData[[#This Row],[Profit]]/SalesData[[#This Row],[Total Revenue]])</f>
        <v>0.28779008925823329</v>
      </c>
      <c r="L1082" s="5" t="str">
        <f>TEXT(SalesData[[#This Row],[Date]],"mmm")</f>
        <v>Jul</v>
      </c>
      <c r="M1082">
        <f>YEAR(SalesData[[#This Row],[Date]])</f>
        <v>2023</v>
      </c>
      <c r="N1082">
        <f>WEEKNUM(SalesData[[#This Row],[Date]])</f>
        <v>27</v>
      </c>
      <c r="O1082" t="s">
        <v>2441</v>
      </c>
      <c r="P1082" t="s">
        <v>2522</v>
      </c>
      <c r="Q1082" t="s">
        <v>2526</v>
      </c>
    </row>
    <row r="1083" spans="1:17" x14ac:dyDescent="0.35">
      <c r="A1083" t="s">
        <v>1924</v>
      </c>
      <c r="B1083" s="3">
        <v>45117</v>
      </c>
      <c r="C1083" t="s">
        <v>2020</v>
      </c>
      <c r="D1083" t="s">
        <v>2028</v>
      </c>
      <c r="E1083" s="8">
        <v>2064</v>
      </c>
      <c r="F1083">
        <v>7</v>
      </c>
      <c r="G1083">
        <v>10</v>
      </c>
      <c r="H1083" s="8">
        <v>13003.2</v>
      </c>
      <c r="I1083">
        <v>1588.07</v>
      </c>
      <c r="J1083">
        <v>1886.7</v>
      </c>
      <c r="K1083" s="5">
        <f>IF(SalesData[[#This Row],[Total Revenue]]=0,0,SalesData[[#This Row],[Profit]]/SalesData[[#This Row],[Total Revenue]])</f>
        <v>0.14509505352528607</v>
      </c>
      <c r="L1083" s="5" t="str">
        <f>TEXT(SalesData[[#This Row],[Date]],"mmm")</f>
        <v>Jul</v>
      </c>
      <c r="M1083">
        <f>YEAR(SalesData[[#This Row],[Date]])</f>
        <v>2023</v>
      </c>
      <c r="N1083">
        <f>WEEKNUM(SalesData[[#This Row],[Date]])</f>
        <v>28</v>
      </c>
      <c r="O1083" t="s">
        <v>2300</v>
      </c>
      <c r="P1083" t="s">
        <v>2523</v>
      </c>
      <c r="Q1083" t="s">
        <v>2527</v>
      </c>
    </row>
    <row r="1084" spans="1:17" x14ac:dyDescent="0.35">
      <c r="A1084" t="s">
        <v>1292</v>
      </c>
      <c r="B1084" s="3">
        <v>45040</v>
      </c>
      <c r="C1084" t="s">
        <v>2017</v>
      </c>
      <c r="D1084" t="s">
        <v>2026</v>
      </c>
      <c r="E1084" s="8">
        <v>4837</v>
      </c>
      <c r="F1084">
        <v>3</v>
      </c>
      <c r="G1084">
        <v>10</v>
      </c>
      <c r="H1084" s="8">
        <v>13059.9</v>
      </c>
      <c r="I1084">
        <v>2920.98</v>
      </c>
      <c r="J1084">
        <v>4296.97</v>
      </c>
      <c r="K1084" s="5">
        <f>IF(SalesData[[#This Row],[Total Revenue]]=0,0,SalesData[[#This Row],[Profit]]/SalesData[[#This Row],[Total Revenue]])</f>
        <v>0.32902013032259053</v>
      </c>
      <c r="L1084" s="5" t="str">
        <f>TEXT(SalesData[[#This Row],[Date]],"mmm")</f>
        <v>Apr</v>
      </c>
      <c r="M1084">
        <f>YEAR(SalesData[[#This Row],[Date]])</f>
        <v>2023</v>
      </c>
      <c r="N1084">
        <f>WEEKNUM(SalesData[[#This Row],[Date]])</f>
        <v>17</v>
      </c>
      <c r="O1084" t="s">
        <v>2319</v>
      </c>
      <c r="P1084" t="s">
        <v>2522</v>
      </c>
      <c r="Q1084" t="s">
        <v>2524</v>
      </c>
    </row>
    <row r="1085" spans="1:17" x14ac:dyDescent="0.35">
      <c r="A1085" t="s">
        <v>791</v>
      </c>
      <c r="B1085" s="3">
        <v>45133</v>
      </c>
      <c r="C1085" t="s">
        <v>2017</v>
      </c>
      <c r="D1085" t="s">
        <v>2026</v>
      </c>
      <c r="E1085" s="8">
        <v>3439</v>
      </c>
      <c r="F1085">
        <v>4</v>
      </c>
      <c r="G1085">
        <v>5</v>
      </c>
      <c r="H1085" s="8">
        <v>13068.2</v>
      </c>
      <c r="I1085">
        <v>1921.66</v>
      </c>
      <c r="J1085">
        <v>5381.57</v>
      </c>
      <c r="K1085" s="5">
        <f>IF(SalesData[[#This Row],[Total Revenue]]=0,0,SalesData[[#This Row],[Profit]]/SalesData[[#This Row],[Total Revenue]])</f>
        <v>0.41180652270396839</v>
      </c>
      <c r="L1085" s="5" t="str">
        <f>TEXT(SalesData[[#This Row],[Date]],"mmm")</f>
        <v>Jul</v>
      </c>
      <c r="M1085">
        <f>YEAR(SalesData[[#This Row],[Date]])</f>
        <v>2023</v>
      </c>
      <c r="N1085">
        <f>WEEKNUM(SalesData[[#This Row],[Date]])</f>
        <v>30</v>
      </c>
      <c r="O1085" t="s">
        <v>2045</v>
      </c>
      <c r="P1085" t="s">
        <v>2523</v>
      </c>
      <c r="Q1085" t="s">
        <v>2526</v>
      </c>
    </row>
    <row r="1086" spans="1:17" x14ac:dyDescent="0.35">
      <c r="A1086" t="s">
        <v>1634</v>
      </c>
      <c r="B1086" s="3">
        <v>45162</v>
      </c>
      <c r="C1086" t="s">
        <v>2022</v>
      </c>
      <c r="D1086" t="s">
        <v>2024</v>
      </c>
      <c r="E1086" s="8">
        <v>2421</v>
      </c>
      <c r="F1086">
        <v>6</v>
      </c>
      <c r="G1086">
        <v>10</v>
      </c>
      <c r="H1086" s="8">
        <v>13073.4</v>
      </c>
      <c r="I1086">
        <v>1270.8599999999999</v>
      </c>
      <c r="J1086">
        <v>5448.25</v>
      </c>
      <c r="K1086" s="5">
        <f>IF(SalesData[[#This Row],[Total Revenue]]=0,0,SalesData[[#This Row],[Profit]]/SalesData[[#This Row],[Total Revenue]])</f>
        <v>0.41674315786253002</v>
      </c>
      <c r="L1086" s="5" t="str">
        <f>TEXT(SalesData[[#This Row],[Date]],"mmm")</f>
        <v>Aug</v>
      </c>
      <c r="M1086">
        <f>YEAR(SalesData[[#This Row],[Date]])</f>
        <v>2023</v>
      </c>
      <c r="N1086">
        <f>WEEKNUM(SalesData[[#This Row],[Date]])</f>
        <v>34</v>
      </c>
      <c r="O1086" t="s">
        <v>2355</v>
      </c>
      <c r="P1086" t="s">
        <v>2523</v>
      </c>
      <c r="Q1086" t="s">
        <v>2527</v>
      </c>
    </row>
    <row r="1087" spans="1:17" x14ac:dyDescent="0.35">
      <c r="A1087" t="s">
        <v>1978</v>
      </c>
      <c r="B1087" s="3">
        <v>44974</v>
      </c>
      <c r="C1087" t="s">
        <v>2017</v>
      </c>
      <c r="D1087" t="s">
        <v>2026</v>
      </c>
      <c r="E1087" s="8">
        <v>4842</v>
      </c>
      <c r="F1087">
        <v>3</v>
      </c>
      <c r="G1087">
        <v>10</v>
      </c>
      <c r="H1087" s="8">
        <v>13073.4</v>
      </c>
      <c r="I1087">
        <v>3074.64</v>
      </c>
      <c r="J1087">
        <v>3849.47</v>
      </c>
      <c r="K1087" s="5">
        <f>IF(SalesData[[#This Row],[Total Revenue]]=0,0,SalesData[[#This Row],[Profit]]/SalesData[[#This Row],[Total Revenue]])</f>
        <v>0.29445056374011352</v>
      </c>
      <c r="L1087" s="5" t="str">
        <f>TEXT(SalesData[[#This Row],[Date]],"mmm")</f>
        <v>Feb</v>
      </c>
      <c r="M1087">
        <f>YEAR(SalesData[[#This Row],[Date]])</f>
        <v>2023</v>
      </c>
      <c r="N1087">
        <f>WEEKNUM(SalesData[[#This Row],[Date]])</f>
        <v>7</v>
      </c>
      <c r="O1087" t="s">
        <v>2122</v>
      </c>
      <c r="P1087" t="s">
        <v>2522</v>
      </c>
      <c r="Q1087" t="s">
        <v>2524</v>
      </c>
    </row>
    <row r="1088" spans="1:17" x14ac:dyDescent="0.35">
      <c r="A1088" t="s">
        <v>312</v>
      </c>
      <c r="B1088" s="3">
        <v>45050</v>
      </c>
      <c r="C1088" t="s">
        <v>2018</v>
      </c>
      <c r="D1088" t="s">
        <v>2026</v>
      </c>
      <c r="E1088" s="8">
        <v>4844</v>
      </c>
      <c r="F1088">
        <v>3</v>
      </c>
      <c r="G1088">
        <v>10</v>
      </c>
      <c r="H1088" s="8">
        <v>13078.8</v>
      </c>
      <c r="I1088">
        <v>3288.29</v>
      </c>
      <c r="J1088">
        <v>3213.92</v>
      </c>
      <c r="K1088" s="5">
        <f>IF(SalesData[[#This Row],[Total Revenue]]=0,0,SalesData[[#This Row],[Profit]]/SalesData[[#This Row],[Total Revenue]])</f>
        <v>0.24573508272930239</v>
      </c>
      <c r="L1088" s="5" t="str">
        <f>TEXT(SalesData[[#This Row],[Date]],"mmm")</f>
        <v>May</v>
      </c>
      <c r="M1088">
        <f>YEAR(SalesData[[#This Row],[Date]])</f>
        <v>2023</v>
      </c>
      <c r="N1088">
        <f>WEEKNUM(SalesData[[#This Row],[Date]])</f>
        <v>18</v>
      </c>
      <c r="O1088" t="s">
        <v>2253</v>
      </c>
      <c r="P1088" t="s">
        <v>2523</v>
      </c>
      <c r="Q1088" t="s">
        <v>2526</v>
      </c>
    </row>
    <row r="1089" spans="1:17" x14ac:dyDescent="0.35">
      <c r="A1089" t="s">
        <v>1160</v>
      </c>
      <c r="B1089" s="3">
        <v>45063</v>
      </c>
      <c r="C1089" t="s">
        <v>2015</v>
      </c>
      <c r="D1089" t="s">
        <v>2025</v>
      </c>
      <c r="E1089" s="8">
        <v>3271</v>
      </c>
      <c r="F1089">
        <v>4</v>
      </c>
      <c r="G1089">
        <v>0</v>
      </c>
      <c r="H1089" s="8">
        <v>13084</v>
      </c>
      <c r="I1089">
        <v>1937.71</v>
      </c>
      <c r="J1089">
        <v>5333.14</v>
      </c>
      <c r="K1089" s="5">
        <f>IF(SalesData[[#This Row],[Total Revenue]]=0,0,SalesData[[#This Row],[Profit]]/SalesData[[#This Row],[Total Revenue]])</f>
        <v>0.40760776520941611</v>
      </c>
      <c r="L1089" s="5" t="str">
        <f>TEXT(SalesData[[#This Row],[Date]],"mmm")</f>
        <v>May</v>
      </c>
      <c r="M1089">
        <f>YEAR(SalesData[[#This Row],[Date]])</f>
        <v>2023</v>
      </c>
      <c r="N1089">
        <f>WEEKNUM(SalesData[[#This Row],[Date]])</f>
        <v>20</v>
      </c>
      <c r="O1089" t="s">
        <v>2478</v>
      </c>
      <c r="P1089" t="s">
        <v>2522</v>
      </c>
      <c r="Q1089" t="s">
        <v>2526</v>
      </c>
    </row>
    <row r="1090" spans="1:17" x14ac:dyDescent="0.35">
      <c r="A1090" t="s">
        <v>1927</v>
      </c>
      <c r="B1090" s="3">
        <v>44930</v>
      </c>
      <c r="C1090" t="s">
        <v>2014</v>
      </c>
      <c r="D1090" t="s">
        <v>2024</v>
      </c>
      <c r="E1090" s="8">
        <v>1972</v>
      </c>
      <c r="F1090">
        <v>7</v>
      </c>
      <c r="G1090">
        <v>5</v>
      </c>
      <c r="H1090" s="8">
        <v>13113.8</v>
      </c>
      <c r="I1090">
        <v>1188.04</v>
      </c>
      <c r="J1090">
        <v>4797.54</v>
      </c>
      <c r="K1090" s="5">
        <f>IF(SalesData[[#This Row],[Total Revenue]]=0,0,SalesData[[#This Row],[Profit]]/SalesData[[#This Row],[Total Revenue]])</f>
        <v>0.36583903979014476</v>
      </c>
      <c r="L1090" s="5" t="str">
        <f>TEXT(SalesData[[#This Row],[Date]],"mmm")</f>
        <v>Jan</v>
      </c>
      <c r="M1090">
        <f>YEAR(SalesData[[#This Row],[Date]])</f>
        <v>2023</v>
      </c>
      <c r="N1090">
        <f>WEEKNUM(SalesData[[#This Row],[Date]])</f>
        <v>1</v>
      </c>
      <c r="O1090" t="s">
        <v>2161</v>
      </c>
      <c r="P1090" t="s">
        <v>2522</v>
      </c>
      <c r="Q1090" t="s">
        <v>2525</v>
      </c>
    </row>
    <row r="1091" spans="1:17" x14ac:dyDescent="0.35">
      <c r="A1091" t="s">
        <v>650</v>
      </c>
      <c r="B1091" s="3">
        <v>44975</v>
      </c>
      <c r="C1091" t="s">
        <v>2018</v>
      </c>
      <c r="D1091" t="s">
        <v>2026</v>
      </c>
      <c r="E1091" s="8">
        <v>3280</v>
      </c>
      <c r="F1091">
        <v>4</v>
      </c>
      <c r="G1091">
        <v>0</v>
      </c>
      <c r="H1091" s="8">
        <v>13120</v>
      </c>
      <c r="I1091">
        <v>2124.73</v>
      </c>
      <c r="J1091">
        <v>4621.07</v>
      </c>
      <c r="K1091" s="5">
        <f>IF(SalesData[[#This Row],[Total Revenue]]=0,0,SalesData[[#This Row],[Profit]]/SalesData[[#This Row],[Total Revenue]])</f>
        <v>0.35221570121951218</v>
      </c>
      <c r="L1091" s="5" t="str">
        <f>TEXT(SalesData[[#This Row],[Date]],"mmm")</f>
        <v>Feb</v>
      </c>
      <c r="M1091">
        <f>YEAR(SalesData[[#This Row],[Date]])</f>
        <v>2023</v>
      </c>
      <c r="N1091">
        <f>WEEKNUM(SalesData[[#This Row],[Date]])</f>
        <v>7</v>
      </c>
      <c r="O1091" t="s">
        <v>2051</v>
      </c>
      <c r="P1091" t="s">
        <v>2523</v>
      </c>
      <c r="Q1091" t="s">
        <v>2526</v>
      </c>
    </row>
    <row r="1092" spans="1:17" x14ac:dyDescent="0.35">
      <c r="A1092" t="s">
        <v>1007</v>
      </c>
      <c r="B1092" s="3">
        <v>45118</v>
      </c>
      <c r="C1092" t="s">
        <v>2021</v>
      </c>
      <c r="D1092" t="s">
        <v>2028</v>
      </c>
      <c r="E1092" s="8">
        <v>4608</v>
      </c>
      <c r="F1092">
        <v>3</v>
      </c>
      <c r="G1092">
        <v>5</v>
      </c>
      <c r="H1092" s="8">
        <v>13132.8</v>
      </c>
      <c r="I1092">
        <v>3604.68</v>
      </c>
      <c r="J1092">
        <v>2318.77</v>
      </c>
      <c r="K1092" s="5">
        <f>IF(SalesData[[#This Row],[Total Revenue]]=0,0,SalesData[[#This Row],[Profit]]/SalesData[[#This Row],[Total Revenue]])</f>
        <v>0.17656326145224172</v>
      </c>
      <c r="L1092" s="5" t="str">
        <f>TEXT(SalesData[[#This Row],[Date]],"mmm")</f>
        <v>Jul</v>
      </c>
      <c r="M1092">
        <f>YEAR(SalesData[[#This Row],[Date]])</f>
        <v>2023</v>
      </c>
      <c r="N1092">
        <f>WEEKNUM(SalesData[[#This Row],[Date]])</f>
        <v>28</v>
      </c>
      <c r="O1092" t="s">
        <v>2156</v>
      </c>
      <c r="P1092" t="s">
        <v>2523</v>
      </c>
      <c r="Q1092" t="s">
        <v>2524</v>
      </c>
    </row>
    <row r="1093" spans="1:17" x14ac:dyDescent="0.35">
      <c r="A1093" t="s">
        <v>469</v>
      </c>
      <c r="B1093" s="3">
        <v>44952</v>
      </c>
      <c r="C1093" t="s">
        <v>2015</v>
      </c>
      <c r="D1093" t="s">
        <v>2025</v>
      </c>
      <c r="E1093" s="8">
        <v>1461</v>
      </c>
      <c r="F1093">
        <v>10</v>
      </c>
      <c r="G1093">
        <v>10</v>
      </c>
      <c r="H1093" s="8">
        <v>13149</v>
      </c>
      <c r="I1093">
        <v>992.33</v>
      </c>
      <c r="J1093">
        <v>3225.67</v>
      </c>
      <c r="K1093" s="5">
        <f>IF(SalesData[[#This Row],[Total Revenue]]=0,0,SalesData[[#This Row],[Profit]]/SalesData[[#This Row],[Total Revenue]])</f>
        <v>0.24531675412578904</v>
      </c>
      <c r="L1093" s="5" t="str">
        <f>TEXT(SalesData[[#This Row],[Date]],"mmm")</f>
        <v>Jan</v>
      </c>
      <c r="M1093">
        <f>YEAR(SalesData[[#This Row],[Date]])</f>
        <v>2023</v>
      </c>
      <c r="N1093">
        <f>WEEKNUM(SalesData[[#This Row],[Date]])</f>
        <v>4</v>
      </c>
      <c r="O1093" t="s">
        <v>2040</v>
      </c>
      <c r="P1093" t="s">
        <v>2523</v>
      </c>
      <c r="Q1093" t="s">
        <v>2526</v>
      </c>
    </row>
    <row r="1094" spans="1:17" x14ac:dyDescent="0.35">
      <c r="A1094" t="s">
        <v>485</v>
      </c>
      <c r="B1094" s="3">
        <v>45076</v>
      </c>
      <c r="C1094" t="s">
        <v>2015</v>
      </c>
      <c r="D1094" t="s">
        <v>2025</v>
      </c>
      <c r="E1094" s="8">
        <v>3288</v>
      </c>
      <c r="F1094">
        <v>4</v>
      </c>
      <c r="G1094">
        <v>0</v>
      </c>
      <c r="H1094" s="8">
        <v>13152</v>
      </c>
      <c r="I1094">
        <v>2289.19</v>
      </c>
      <c r="J1094">
        <v>3995.23</v>
      </c>
      <c r="K1094" s="5">
        <f>IF(SalesData[[#This Row],[Total Revenue]]=0,0,SalesData[[#This Row],[Profit]]/SalesData[[#This Row],[Total Revenue]])</f>
        <v>0.30377357055961068</v>
      </c>
      <c r="L1094" s="5" t="str">
        <f>TEXT(SalesData[[#This Row],[Date]],"mmm")</f>
        <v>May</v>
      </c>
      <c r="M1094">
        <f>YEAR(SalesData[[#This Row],[Date]])</f>
        <v>2023</v>
      </c>
      <c r="N1094">
        <f>WEEKNUM(SalesData[[#This Row],[Date]])</f>
        <v>22</v>
      </c>
      <c r="O1094" t="s">
        <v>2267</v>
      </c>
      <c r="P1094" t="s">
        <v>2523</v>
      </c>
      <c r="Q1094" t="s">
        <v>2524</v>
      </c>
    </row>
    <row r="1095" spans="1:17" x14ac:dyDescent="0.35">
      <c r="A1095" t="s">
        <v>530</v>
      </c>
      <c r="B1095" s="3">
        <v>44982</v>
      </c>
      <c r="C1095" t="s">
        <v>2018</v>
      </c>
      <c r="D1095" t="s">
        <v>2026</v>
      </c>
      <c r="E1095" s="8">
        <v>2582</v>
      </c>
      <c r="F1095">
        <v>6</v>
      </c>
      <c r="G1095">
        <v>15</v>
      </c>
      <c r="H1095" s="8">
        <v>13168.2</v>
      </c>
      <c r="I1095">
        <v>1985.14</v>
      </c>
      <c r="J1095">
        <v>1257.3800000000001</v>
      </c>
      <c r="K1095" s="5">
        <f>IF(SalesData[[#This Row],[Total Revenue]]=0,0,SalesData[[#This Row],[Profit]]/SalesData[[#This Row],[Total Revenue]])</f>
        <v>9.5486095290168743E-2</v>
      </c>
      <c r="L1095" s="5" t="str">
        <f>TEXT(SalesData[[#This Row],[Date]],"mmm")</f>
        <v>Feb</v>
      </c>
      <c r="M1095">
        <f>YEAR(SalesData[[#This Row],[Date]])</f>
        <v>2023</v>
      </c>
      <c r="N1095">
        <f>WEEKNUM(SalesData[[#This Row],[Date]])</f>
        <v>8</v>
      </c>
      <c r="O1095" t="s">
        <v>2346</v>
      </c>
      <c r="P1095" t="s">
        <v>2523</v>
      </c>
      <c r="Q1095" t="s">
        <v>2527</v>
      </c>
    </row>
    <row r="1096" spans="1:17" x14ac:dyDescent="0.35">
      <c r="A1096" t="s">
        <v>1486</v>
      </c>
      <c r="B1096" s="3">
        <v>44962</v>
      </c>
      <c r="C1096" t="s">
        <v>2014</v>
      </c>
      <c r="D1096" t="s">
        <v>2024</v>
      </c>
      <c r="E1096" s="8">
        <v>3873</v>
      </c>
      <c r="F1096">
        <v>4</v>
      </c>
      <c r="G1096">
        <v>15</v>
      </c>
      <c r="H1096" s="8">
        <v>13168.2</v>
      </c>
      <c r="I1096">
        <v>2707.63</v>
      </c>
      <c r="J1096">
        <v>2337.69</v>
      </c>
      <c r="K1096" s="5">
        <f>IF(SalesData[[#This Row],[Total Revenue]]=0,0,SalesData[[#This Row],[Profit]]/SalesData[[#This Row],[Total Revenue]])</f>
        <v>0.17752540210507131</v>
      </c>
      <c r="L1096" s="5" t="str">
        <f>TEXT(SalesData[[#This Row],[Date]],"mmm")</f>
        <v>Feb</v>
      </c>
      <c r="M1096">
        <f>YEAR(SalesData[[#This Row],[Date]])</f>
        <v>2023</v>
      </c>
      <c r="N1096">
        <f>WEEKNUM(SalesData[[#This Row],[Date]])</f>
        <v>6</v>
      </c>
      <c r="O1096" t="s">
        <v>2438</v>
      </c>
      <c r="P1096" t="s">
        <v>2522</v>
      </c>
      <c r="Q1096" t="s">
        <v>2526</v>
      </c>
    </row>
    <row r="1097" spans="1:17" x14ac:dyDescent="0.35">
      <c r="A1097" t="s">
        <v>580</v>
      </c>
      <c r="B1097" s="3">
        <v>45172</v>
      </c>
      <c r="C1097" t="s">
        <v>2021</v>
      </c>
      <c r="D1097" t="s">
        <v>2028</v>
      </c>
      <c r="E1097" s="8">
        <v>2929</v>
      </c>
      <c r="F1097">
        <v>5</v>
      </c>
      <c r="G1097">
        <v>10</v>
      </c>
      <c r="H1097" s="8">
        <v>13180.5</v>
      </c>
      <c r="I1097">
        <v>1598.34</v>
      </c>
      <c r="J1097">
        <v>5188.82</v>
      </c>
      <c r="K1097" s="5">
        <f>IF(SalesData[[#This Row],[Total Revenue]]=0,0,SalesData[[#This Row],[Profit]]/SalesData[[#This Row],[Total Revenue]])</f>
        <v>0.39367398808846399</v>
      </c>
      <c r="L1097" s="5" t="str">
        <f>TEXT(SalesData[[#This Row],[Date]],"mmm")</f>
        <v>Sep</v>
      </c>
      <c r="M1097">
        <f>YEAR(SalesData[[#This Row],[Date]])</f>
        <v>2023</v>
      </c>
      <c r="N1097">
        <f>WEEKNUM(SalesData[[#This Row],[Date]])</f>
        <v>36</v>
      </c>
      <c r="O1097" t="s">
        <v>2287</v>
      </c>
      <c r="P1097" t="s">
        <v>2522</v>
      </c>
      <c r="Q1097" t="s">
        <v>2527</v>
      </c>
    </row>
    <row r="1098" spans="1:17" x14ac:dyDescent="0.35">
      <c r="A1098" t="s">
        <v>98</v>
      </c>
      <c r="B1098" s="3">
        <v>45149</v>
      </c>
      <c r="C1098" t="s">
        <v>2015</v>
      </c>
      <c r="D1098" t="s">
        <v>2025</v>
      </c>
      <c r="E1098" s="8">
        <v>3103</v>
      </c>
      <c r="F1098">
        <v>5</v>
      </c>
      <c r="G1098">
        <v>15</v>
      </c>
      <c r="H1098" s="8">
        <v>13187.75</v>
      </c>
      <c r="I1098">
        <v>1941.81</v>
      </c>
      <c r="J1098">
        <v>3478.72</v>
      </c>
      <c r="K1098" s="5">
        <f>IF(SalesData[[#This Row],[Total Revenue]]=0,0,SalesData[[#This Row],[Profit]]/SalesData[[#This Row],[Total Revenue]])</f>
        <v>0.26378419366457506</v>
      </c>
      <c r="L1098" s="5" t="str">
        <f>TEXT(SalesData[[#This Row],[Date]],"mmm")</f>
        <v>Aug</v>
      </c>
      <c r="M1098">
        <f>YEAR(SalesData[[#This Row],[Date]])</f>
        <v>2023</v>
      </c>
      <c r="N1098">
        <f>WEEKNUM(SalesData[[#This Row],[Date]])</f>
        <v>32</v>
      </c>
      <c r="O1098" t="s">
        <v>2105</v>
      </c>
      <c r="P1098" t="s">
        <v>2522</v>
      </c>
      <c r="Q1098" t="s">
        <v>2525</v>
      </c>
    </row>
    <row r="1099" spans="1:17" x14ac:dyDescent="0.35">
      <c r="A1099" t="s">
        <v>1689</v>
      </c>
      <c r="B1099" s="3">
        <v>45026</v>
      </c>
      <c r="C1099" t="s">
        <v>2021</v>
      </c>
      <c r="D1099" t="s">
        <v>2028</v>
      </c>
      <c r="E1099" s="8">
        <v>2936</v>
      </c>
      <c r="F1099">
        <v>5</v>
      </c>
      <c r="G1099">
        <v>10</v>
      </c>
      <c r="H1099" s="8">
        <v>13212</v>
      </c>
      <c r="I1099">
        <v>2318.37</v>
      </c>
      <c r="J1099">
        <v>1620.16</v>
      </c>
      <c r="K1099" s="5">
        <f>IF(SalesData[[#This Row],[Total Revenue]]=0,0,SalesData[[#This Row],[Profit]]/SalesData[[#This Row],[Total Revenue]])</f>
        <v>0.12262791401755981</v>
      </c>
      <c r="L1099" s="5" t="str">
        <f>TEXT(SalesData[[#This Row],[Date]],"mmm")</f>
        <v>Apr</v>
      </c>
      <c r="M1099">
        <f>YEAR(SalesData[[#This Row],[Date]])</f>
        <v>2023</v>
      </c>
      <c r="N1099">
        <f>WEEKNUM(SalesData[[#This Row],[Date]])</f>
        <v>15</v>
      </c>
      <c r="O1099" t="s">
        <v>2403</v>
      </c>
      <c r="P1099" t="s">
        <v>2523</v>
      </c>
      <c r="Q1099" t="s">
        <v>2525</v>
      </c>
    </row>
    <row r="1100" spans="1:17" x14ac:dyDescent="0.35">
      <c r="A1100" t="s">
        <v>83</v>
      </c>
      <c r="B1100" s="3">
        <v>45280</v>
      </c>
      <c r="C1100" t="s">
        <v>2021</v>
      </c>
      <c r="D1100" t="s">
        <v>2028</v>
      </c>
      <c r="E1100" s="8">
        <v>4411</v>
      </c>
      <c r="F1100">
        <v>3</v>
      </c>
      <c r="G1100">
        <v>0</v>
      </c>
      <c r="H1100" s="8">
        <v>13233</v>
      </c>
      <c r="I1100">
        <v>3145.27</v>
      </c>
      <c r="J1100">
        <v>3797.19</v>
      </c>
      <c r="K1100" s="5">
        <f>IF(SalesData[[#This Row],[Total Revenue]]=0,0,SalesData[[#This Row],[Profit]]/SalesData[[#This Row],[Total Revenue]])</f>
        <v>0.28694853774654272</v>
      </c>
      <c r="L1100" s="5" t="str">
        <f>TEXT(SalesData[[#This Row],[Date]],"mmm")</f>
        <v>Dec</v>
      </c>
      <c r="M1100">
        <f>YEAR(SalesData[[#This Row],[Date]])</f>
        <v>2023</v>
      </c>
      <c r="N1100">
        <f>WEEKNUM(SalesData[[#This Row],[Date]])</f>
        <v>51</v>
      </c>
      <c r="O1100" t="s">
        <v>2091</v>
      </c>
      <c r="P1100" t="s">
        <v>2522</v>
      </c>
      <c r="Q1100" t="s">
        <v>2527</v>
      </c>
    </row>
    <row r="1101" spans="1:17" x14ac:dyDescent="0.35">
      <c r="A1101" t="s">
        <v>1791</v>
      </c>
      <c r="B1101" s="3">
        <v>45065</v>
      </c>
      <c r="C1101" t="s">
        <v>2016</v>
      </c>
      <c r="D1101" t="s">
        <v>2025</v>
      </c>
      <c r="E1101" s="8">
        <v>4906</v>
      </c>
      <c r="F1101">
        <v>3</v>
      </c>
      <c r="G1101">
        <v>10</v>
      </c>
      <c r="H1101" s="8">
        <v>13246.2</v>
      </c>
      <c r="I1101">
        <v>2910.15</v>
      </c>
      <c r="J1101">
        <v>4515.76</v>
      </c>
      <c r="K1101" s="5">
        <f>IF(SalesData[[#This Row],[Total Revenue]]=0,0,SalesData[[#This Row],[Profit]]/SalesData[[#This Row],[Total Revenue]])</f>
        <v>0.34090984584258127</v>
      </c>
      <c r="L1101" s="5" t="str">
        <f>TEXT(SalesData[[#This Row],[Date]],"mmm")</f>
        <v>May</v>
      </c>
      <c r="M1101">
        <f>YEAR(SalesData[[#This Row],[Date]])</f>
        <v>2023</v>
      </c>
      <c r="N1101">
        <f>WEEKNUM(SalesData[[#This Row],[Date]])</f>
        <v>20</v>
      </c>
      <c r="O1101" t="s">
        <v>2243</v>
      </c>
      <c r="P1101" t="s">
        <v>2522</v>
      </c>
      <c r="Q1101" t="s">
        <v>2527</v>
      </c>
    </row>
    <row r="1102" spans="1:17" x14ac:dyDescent="0.35">
      <c r="A1102" t="s">
        <v>1068</v>
      </c>
      <c r="B1102" s="3">
        <v>45072</v>
      </c>
      <c r="C1102" t="s">
        <v>2016</v>
      </c>
      <c r="D1102" t="s">
        <v>2025</v>
      </c>
      <c r="E1102" s="8">
        <v>3691</v>
      </c>
      <c r="F1102">
        <v>4</v>
      </c>
      <c r="G1102">
        <v>10</v>
      </c>
      <c r="H1102" s="8">
        <v>13287.6</v>
      </c>
      <c r="I1102">
        <v>2721.02</v>
      </c>
      <c r="J1102">
        <v>2403.5300000000002</v>
      </c>
      <c r="K1102" s="5">
        <f>IF(SalesData[[#This Row],[Total Revenue]]=0,0,SalesData[[#This Row],[Profit]]/SalesData[[#This Row],[Total Revenue]])</f>
        <v>0.18088518618862701</v>
      </c>
      <c r="L1102" s="5" t="str">
        <f>TEXT(SalesData[[#This Row],[Date]],"mmm")</f>
        <v>May</v>
      </c>
      <c r="M1102">
        <f>YEAR(SalesData[[#This Row],[Date]])</f>
        <v>2023</v>
      </c>
      <c r="N1102">
        <f>WEEKNUM(SalesData[[#This Row],[Date]])</f>
        <v>21</v>
      </c>
      <c r="O1102" t="s">
        <v>2344</v>
      </c>
      <c r="P1102" t="s">
        <v>2523</v>
      </c>
      <c r="Q1102" t="s">
        <v>2524</v>
      </c>
    </row>
    <row r="1103" spans="1:17" x14ac:dyDescent="0.35">
      <c r="A1103" t="s">
        <v>852</v>
      </c>
      <c r="B1103" s="3">
        <v>45284</v>
      </c>
      <c r="C1103" t="s">
        <v>2016</v>
      </c>
      <c r="D1103" t="s">
        <v>2025</v>
      </c>
      <c r="E1103" s="8">
        <v>3133</v>
      </c>
      <c r="F1103">
        <v>5</v>
      </c>
      <c r="G1103">
        <v>15</v>
      </c>
      <c r="H1103" s="8">
        <v>13315.25</v>
      </c>
      <c r="I1103">
        <v>1862.52</v>
      </c>
      <c r="J1103">
        <v>4002.66</v>
      </c>
      <c r="K1103" s="5">
        <f>IF(SalesData[[#This Row],[Total Revenue]]=0,0,SalesData[[#This Row],[Profit]]/SalesData[[#This Row],[Total Revenue]])</f>
        <v>0.30060719851298323</v>
      </c>
      <c r="L1103" s="5" t="str">
        <f>TEXT(SalesData[[#This Row],[Date]],"mmm")</f>
        <v>Dec</v>
      </c>
      <c r="M1103">
        <f>YEAR(SalesData[[#This Row],[Date]])</f>
        <v>2023</v>
      </c>
      <c r="N1103">
        <f>WEEKNUM(SalesData[[#This Row],[Date]])</f>
        <v>52</v>
      </c>
      <c r="O1103" t="s">
        <v>2216</v>
      </c>
      <c r="P1103" t="s">
        <v>2522</v>
      </c>
      <c r="Q1103" t="s">
        <v>2525</v>
      </c>
    </row>
    <row r="1104" spans="1:17" x14ac:dyDescent="0.35">
      <c r="A1104" t="s">
        <v>1821</v>
      </c>
      <c r="B1104" s="3">
        <v>45200</v>
      </c>
      <c r="C1104" t="s">
        <v>2019</v>
      </c>
      <c r="D1104" t="s">
        <v>2027</v>
      </c>
      <c r="E1104" s="8">
        <v>2344</v>
      </c>
      <c r="F1104">
        <v>6</v>
      </c>
      <c r="G1104">
        <v>5</v>
      </c>
      <c r="H1104" s="8">
        <v>13360.8</v>
      </c>
      <c r="I1104">
        <v>1404.52</v>
      </c>
      <c r="J1104">
        <v>4933.68</v>
      </c>
      <c r="K1104" s="5">
        <f>IF(SalesData[[#This Row],[Total Revenue]]=0,0,SalesData[[#This Row],[Profit]]/SalesData[[#This Row],[Total Revenue]])</f>
        <v>0.36926531345428421</v>
      </c>
      <c r="L1104" s="5" t="str">
        <f>TEXT(SalesData[[#This Row],[Date]],"mmm")</f>
        <v>Oct</v>
      </c>
      <c r="M1104">
        <f>YEAR(SalesData[[#This Row],[Date]])</f>
        <v>2023</v>
      </c>
      <c r="N1104">
        <f>WEEKNUM(SalesData[[#This Row],[Date]])</f>
        <v>40</v>
      </c>
      <c r="O1104" t="s">
        <v>2408</v>
      </c>
      <c r="P1104" t="s">
        <v>2522</v>
      </c>
      <c r="Q1104" t="s">
        <v>2526</v>
      </c>
    </row>
    <row r="1105" spans="1:17" x14ac:dyDescent="0.35">
      <c r="A1105" t="s">
        <v>1672</v>
      </c>
      <c r="B1105" s="3">
        <v>45011</v>
      </c>
      <c r="C1105" t="s">
        <v>2017</v>
      </c>
      <c r="D1105" t="s">
        <v>2026</v>
      </c>
      <c r="E1105" s="8">
        <v>1909</v>
      </c>
      <c r="F1105">
        <v>7</v>
      </c>
      <c r="G1105">
        <v>0</v>
      </c>
      <c r="H1105" s="8">
        <v>13363</v>
      </c>
      <c r="I1105">
        <v>1311.12</v>
      </c>
      <c r="J1105">
        <v>4185.1899999999996</v>
      </c>
      <c r="K1105" s="5">
        <f>IF(SalesData[[#This Row],[Total Revenue]]=0,0,SalesData[[#This Row],[Profit]]/SalesData[[#This Row],[Total Revenue]])</f>
        <v>0.31319239691685996</v>
      </c>
      <c r="L1105" s="5" t="str">
        <f>TEXT(SalesData[[#This Row],[Date]],"mmm")</f>
        <v>Mar</v>
      </c>
      <c r="M1105">
        <f>YEAR(SalesData[[#This Row],[Date]])</f>
        <v>2023</v>
      </c>
      <c r="N1105">
        <f>WEEKNUM(SalesData[[#This Row],[Date]])</f>
        <v>13</v>
      </c>
      <c r="O1105" t="s">
        <v>2306</v>
      </c>
      <c r="P1105" t="s">
        <v>2522</v>
      </c>
      <c r="Q1105" t="s">
        <v>2526</v>
      </c>
    </row>
    <row r="1106" spans="1:17" x14ac:dyDescent="0.35">
      <c r="A1106" t="s">
        <v>305</v>
      </c>
      <c r="B1106" s="3">
        <v>45103</v>
      </c>
      <c r="C1106" t="s">
        <v>2017</v>
      </c>
      <c r="D1106" t="s">
        <v>2026</v>
      </c>
      <c r="E1106" s="8">
        <v>2246</v>
      </c>
      <c r="F1106">
        <v>7</v>
      </c>
      <c r="G1106">
        <v>15</v>
      </c>
      <c r="H1106" s="8">
        <v>13363.7</v>
      </c>
      <c r="I1106">
        <v>1723.39</v>
      </c>
      <c r="J1106">
        <v>1300</v>
      </c>
      <c r="K1106" s="5">
        <f>IF(SalesData[[#This Row],[Total Revenue]]=0,0,SalesData[[#This Row],[Profit]]/SalesData[[#This Row],[Total Revenue]])</f>
        <v>9.7278448333919493E-2</v>
      </c>
      <c r="L1106" s="5" t="str">
        <f>TEXT(SalesData[[#This Row],[Date]],"mmm")</f>
        <v>Jun</v>
      </c>
      <c r="M1106">
        <f>YEAR(SalesData[[#This Row],[Date]])</f>
        <v>2023</v>
      </c>
      <c r="N1106">
        <f>WEEKNUM(SalesData[[#This Row],[Date]])</f>
        <v>26</v>
      </c>
      <c r="O1106" t="s">
        <v>2250</v>
      </c>
      <c r="P1106" t="s">
        <v>2523</v>
      </c>
      <c r="Q1106" t="s">
        <v>2525</v>
      </c>
    </row>
    <row r="1107" spans="1:17" x14ac:dyDescent="0.35">
      <c r="A1107" t="s">
        <v>878</v>
      </c>
      <c r="B1107" s="3">
        <v>45129</v>
      </c>
      <c r="C1107" t="s">
        <v>2020</v>
      </c>
      <c r="D1107" t="s">
        <v>2028</v>
      </c>
      <c r="E1107" s="8">
        <v>4976</v>
      </c>
      <c r="F1107">
        <v>3</v>
      </c>
      <c r="G1107">
        <v>10</v>
      </c>
      <c r="H1107" s="8">
        <v>13435.2</v>
      </c>
      <c r="I1107">
        <v>3703.55</v>
      </c>
      <c r="J1107">
        <v>2324.54</v>
      </c>
      <c r="K1107" s="5">
        <f>IF(SalesData[[#This Row],[Total Revenue]]=0,0,SalesData[[#This Row],[Profit]]/SalesData[[#This Row],[Total Revenue]])</f>
        <v>0.17301863760866976</v>
      </c>
      <c r="L1107" s="5" t="str">
        <f>TEXT(SalesData[[#This Row],[Date]],"mmm")</f>
        <v>Jul</v>
      </c>
      <c r="M1107">
        <f>YEAR(SalesData[[#This Row],[Date]])</f>
        <v>2023</v>
      </c>
      <c r="N1107">
        <f>WEEKNUM(SalesData[[#This Row],[Date]])</f>
        <v>29</v>
      </c>
      <c r="O1107" t="s">
        <v>2199</v>
      </c>
      <c r="P1107" t="s">
        <v>2523</v>
      </c>
      <c r="Q1107" t="s">
        <v>2527</v>
      </c>
    </row>
    <row r="1108" spans="1:17" x14ac:dyDescent="0.35">
      <c r="A1108" t="s">
        <v>1805</v>
      </c>
      <c r="B1108" s="3">
        <v>45142</v>
      </c>
      <c r="C1108" t="s">
        <v>2017</v>
      </c>
      <c r="D1108" t="s">
        <v>2026</v>
      </c>
      <c r="E1108" s="8">
        <v>4718</v>
      </c>
      <c r="F1108">
        <v>3</v>
      </c>
      <c r="G1108">
        <v>5</v>
      </c>
      <c r="H1108" s="8">
        <v>13446.3</v>
      </c>
      <c r="I1108">
        <v>3645.46</v>
      </c>
      <c r="J1108">
        <v>2509.92</v>
      </c>
      <c r="K1108" s="5">
        <f>IF(SalesData[[#This Row],[Total Revenue]]=0,0,SalesData[[#This Row],[Profit]]/SalesData[[#This Row],[Total Revenue]])</f>
        <v>0.18666250195220993</v>
      </c>
      <c r="L1108" s="5" t="str">
        <f>TEXT(SalesData[[#This Row],[Date]],"mmm")</f>
        <v>Aug</v>
      </c>
      <c r="M1108">
        <f>YEAR(SalesData[[#This Row],[Date]])</f>
        <v>2023</v>
      </c>
      <c r="N1108">
        <f>WEEKNUM(SalesData[[#This Row],[Date]])</f>
        <v>31</v>
      </c>
      <c r="O1108" t="s">
        <v>2182</v>
      </c>
      <c r="P1108" t="s">
        <v>2522</v>
      </c>
      <c r="Q1108" t="s">
        <v>2524</v>
      </c>
    </row>
    <row r="1109" spans="1:17" x14ac:dyDescent="0.35">
      <c r="A1109" t="s">
        <v>1391</v>
      </c>
      <c r="B1109" s="3">
        <v>45055</v>
      </c>
      <c r="C1109" t="s">
        <v>2022</v>
      </c>
      <c r="D1109" t="s">
        <v>2024</v>
      </c>
      <c r="E1109" s="8">
        <v>1923</v>
      </c>
      <c r="F1109">
        <v>7</v>
      </c>
      <c r="G1109">
        <v>0</v>
      </c>
      <c r="H1109" s="8">
        <v>13461</v>
      </c>
      <c r="I1109">
        <v>1514.78</v>
      </c>
      <c r="J1109">
        <v>2857.54</v>
      </c>
      <c r="K1109" s="5">
        <f>IF(SalesData[[#This Row],[Total Revenue]]=0,0,SalesData[[#This Row],[Profit]]/SalesData[[#This Row],[Total Revenue]])</f>
        <v>0.21228289131565262</v>
      </c>
      <c r="L1109" s="5" t="str">
        <f>TEXT(SalesData[[#This Row],[Date]],"mmm")</f>
        <v>May</v>
      </c>
      <c r="M1109">
        <f>YEAR(SalesData[[#This Row],[Date]])</f>
        <v>2023</v>
      </c>
      <c r="N1109">
        <f>WEEKNUM(SalesData[[#This Row],[Date]])</f>
        <v>19</v>
      </c>
      <c r="O1109" t="s">
        <v>2194</v>
      </c>
      <c r="P1109" t="s">
        <v>2522</v>
      </c>
      <c r="Q1109" t="s">
        <v>2525</v>
      </c>
    </row>
    <row r="1110" spans="1:17" x14ac:dyDescent="0.35">
      <c r="A1110" t="s">
        <v>1403</v>
      </c>
      <c r="B1110" s="3">
        <v>45006</v>
      </c>
      <c r="C1110" t="s">
        <v>2018</v>
      </c>
      <c r="D1110" t="s">
        <v>2026</v>
      </c>
      <c r="E1110" s="8">
        <v>2138</v>
      </c>
      <c r="F1110">
        <v>7</v>
      </c>
      <c r="G1110">
        <v>10</v>
      </c>
      <c r="H1110" s="8">
        <v>13469.4</v>
      </c>
      <c r="I1110">
        <v>1368.52</v>
      </c>
      <c r="J1110">
        <v>3889.73</v>
      </c>
      <c r="K1110" s="5">
        <f>IF(SalesData[[#This Row],[Total Revenue]]=0,0,SalesData[[#This Row],[Profit]]/SalesData[[#This Row],[Total Revenue]])</f>
        <v>0.28878272231873731</v>
      </c>
      <c r="L1110" s="5" t="str">
        <f>TEXT(SalesData[[#This Row],[Date]],"mmm")</f>
        <v>Mar</v>
      </c>
      <c r="M1110">
        <f>YEAR(SalesData[[#This Row],[Date]])</f>
        <v>2023</v>
      </c>
      <c r="N1110">
        <f>WEEKNUM(SalesData[[#This Row],[Date]])</f>
        <v>12</v>
      </c>
      <c r="O1110" t="s">
        <v>2257</v>
      </c>
      <c r="P1110" t="s">
        <v>2523</v>
      </c>
      <c r="Q1110" t="s">
        <v>2526</v>
      </c>
    </row>
    <row r="1111" spans="1:17" x14ac:dyDescent="0.35">
      <c r="A1111" t="s">
        <v>1088</v>
      </c>
      <c r="B1111" s="3">
        <v>45193</v>
      </c>
      <c r="C1111" t="s">
        <v>2017</v>
      </c>
      <c r="D1111" t="s">
        <v>2026</v>
      </c>
      <c r="E1111" s="8">
        <v>1347</v>
      </c>
      <c r="F1111">
        <v>10</v>
      </c>
      <c r="G1111">
        <v>0</v>
      </c>
      <c r="H1111" s="8">
        <v>13470</v>
      </c>
      <c r="I1111">
        <v>714.23</v>
      </c>
      <c r="J1111">
        <v>6327.69</v>
      </c>
      <c r="K1111" s="5">
        <f>IF(SalesData[[#This Row],[Total Revenue]]=0,0,SalesData[[#This Row],[Profit]]/SalesData[[#This Row],[Total Revenue]])</f>
        <v>0.46976169265033407</v>
      </c>
      <c r="L1111" s="5" t="str">
        <f>TEXT(SalesData[[#This Row],[Date]],"mmm")</f>
        <v>Sep</v>
      </c>
      <c r="M1111">
        <f>YEAR(SalesData[[#This Row],[Date]])</f>
        <v>2023</v>
      </c>
      <c r="N1111">
        <f>WEEKNUM(SalesData[[#This Row],[Date]])</f>
        <v>39</v>
      </c>
      <c r="O1111" t="s">
        <v>2382</v>
      </c>
      <c r="P1111" t="s">
        <v>2522</v>
      </c>
      <c r="Q1111" t="s">
        <v>2524</v>
      </c>
    </row>
    <row r="1112" spans="1:17" x14ac:dyDescent="0.35">
      <c r="A1112" t="s">
        <v>517</v>
      </c>
      <c r="B1112" s="3">
        <v>45168</v>
      </c>
      <c r="C1112" t="s">
        <v>2020</v>
      </c>
      <c r="D1112" t="s">
        <v>2028</v>
      </c>
      <c r="E1112" s="8">
        <v>3368</v>
      </c>
      <c r="F1112">
        <v>4</v>
      </c>
      <c r="G1112">
        <v>0</v>
      </c>
      <c r="H1112" s="8">
        <v>13472</v>
      </c>
      <c r="I1112">
        <v>1812.22</v>
      </c>
      <c r="J1112">
        <v>6223.11</v>
      </c>
      <c r="K1112" s="5">
        <f>IF(SalesData[[#This Row],[Total Revenue]]=0,0,SalesData[[#This Row],[Profit]]/SalesData[[#This Row],[Total Revenue]])</f>
        <v>0.46192918646080755</v>
      </c>
      <c r="L1112" s="5" t="str">
        <f>TEXT(SalesData[[#This Row],[Date]],"mmm")</f>
        <v>Aug</v>
      </c>
      <c r="M1112">
        <f>YEAR(SalesData[[#This Row],[Date]])</f>
        <v>2023</v>
      </c>
      <c r="N1112">
        <f>WEEKNUM(SalesData[[#This Row],[Date]])</f>
        <v>35</v>
      </c>
      <c r="O1112" t="s">
        <v>2341</v>
      </c>
      <c r="P1112" t="s">
        <v>2523</v>
      </c>
      <c r="Q1112" t="s">
        <v>2524</v>
      </c>
    </row>
    <row r="1113" spans="1:17" x14ac:dyDescent="0.35">
      <c r="A1113" t="s">
        <v>552</v>
      </c>
      <c r="B1113" s="3">
        <v>44949</v>
      </c>
      <c r="C1113" t="s">
        <v>2017</v>
      </c>
      <c r="D1113" t="s">
        <v>2026</v>
      </c>
      <c r="E1113" s="8">
        <v>1687</v>
      </c>
      <c r="F1113">
        <v>8</v>
      </c>
      <c r="G1113">
        <v>0</v>
      </c>
      <c r="H1113" s="8">
        <v>13496</v>
      </c>
      <c r="I1113">
        <v>1123.77</v>
      </c>
      <c r="J1113">
        <v>4505.88</v>
      </c>
      <c r="K1113" s="5">
        <f>IF(SalesData[[#This Row],[Total Revenue]]=0,0,SalesData[[#This Row],[Profit]]/SalesData[[#This Row],[Total Revenue]])</f>
        <v>0.33386781268524007</v>
      </c>
      <c r="L1113" s="5" t="str">
        <f>TEXT(SalesData[[#This Row],[Date]],"mmm")</f>
        <v>Jan</v>
      </c>
      <c r="M1113">
        <f>YEAR(SalesData[[#This Row],[Date]])</f>
        <v>2023</v>
      </c>
      <c r="N1113">
        <f>WEEKNUM(SalesData[[#This Row],[Date]])</f>
        <v>4</v>
      </c>
      <c r="O1113" t="s">
        <v>2320</v>
      </c>
      <c r="P1113" t="s">
        <v>2523</v>
      </c>
      <c r="Q1113" t="s">
        <v>2527</v>
      </c>
    </row>
    <row r="1114" spans="1:17" x14ac:dyDescent="0.35">
      <c r="A1114" t="s">
        <v>209</v>
      </c>
      <c r="B1114" s="3">
        <v>44982</v>
      </c>
      <c r="C1114" t="s">
        <v>2014</v>
      </c>
      <c r="D1114" t="s">
        <v>2024</v>
      </c>
      <c r="E1114" s="8">
        <v>3569</v>
      </c>
      <c r="F1114">
        <v>4</v>
      </c>
      <c r="G1114">
        <v>5</v>
      </c>
      <c r="H1114" s="8">
        <v>13562.2</v>
      </c>
      <c r="I1114">
        <v>1800.85</v>
      </c>
      <c r="J1114">
        <v>6358.81</v>
      </c>
      <c r="K1114" s="5">
        <f>IF(SalesData[[#This Row],[Total Revenue]]=0,0,SalesData[[#This Row],[Profit]]/SalesData[[#This Row],[Total Revenue]])</f>
        <v>0.46886272138738555</v>
      </c>
      <c r="L1114" s="5" t="str">
        <f>TEXT(SalesData[[#This Row],[Date]],"mmm")</f>
        <v>Feb</v>
      </c>
      <c r="M1114">
        <f>YEAR(SalesData[[#This Row],[Date]])</f>
        <v>2023</v>
      </c>
      <c r="N1114">
        <f>WEEKNUM(SalesData[[#This Row],[Date]])</f>
        <v>8</v>
      </c>
      <c r="O1114" t="s">
        <v>2189</v>
      </c>
      <c r="P1114" t="s">
        <v>2522</v>
      </c>
      <c r="Q1114" t="s">
        <v>2526</v>
      </c>
    </row>
    <row r="1115" spans="1:17" x14ac:dyDescent="0.35">
      <c r="A1115" t="s">
        <v>984</v>
      </c>
      <c r="B1115" s="3">
        <v>44997</v>
      </c>
      <c r="C1115" t="s">
        <v>2018</v>
      </c>
      <c r="D1115" t="s">
        <v>2026</v>
      </c>
      <c r="E1115" s="8">
        <v>4765</v>
      </c>
      <c r="F1115">
        <v>3</v>
      </c>
      <c r="G1115">
        <v>5</v>
      </c>
      <c r="H1115" s="8">
        <v>13580.25</v>
      </c>
      <c r="I1115">
        <v>3406.29</v>
      </c>
      <c r="J1115">
        <v>3361.37</v>
      </c>
      <c r="K1115" s="5">
        <f>IF(SalesData[[#This Row],[Total Revenue]]=0,0,SalesData[[#This Row],[Profit]]/SalesData[[#This Row],[Total Revenue]])</f>
        <v>0.24751900738204377</v>
      </c>
      <c r="L1115" s="5" t="str">
        <f>TEXT(SalesData[[#This Row],[Date]],"mmm")</f>
        <v>Mar</v>
      </c>
      <c r="M1115">
        <f>YEAR(SalesData[[#This Row],[Date]])</f>
        <v>2023</v>
      </c>
      <c r="N1115">
        <f>WEEKNUM(SalesData[[#This Row],[Date]])</f>
        <v>11</v>
      </c>
      <c r="O1115" t="s">
        <v>2143</v>
      </c>
      <c r="P1115" t="s">
        <v>2523</v>
      </c>
      <c r="Q1115" t="s">
        <v>2525</v>
      </c>
    </row>
    <row r="1116" spans="1:17" x14ac:dyDescent="0.35">
      <c r="A1116" t="s">
        <v>1202</v>
      </c>
      <c r="B1116" s="3">
        <v>45037</v>
      </c>
      <c r="C1116" t="s">
        <v>2018</v>
      </c>
      <c r="D1116" t="s">
        <v>2026</v>
      </c>
      <c r="E1116" s="8">
        <v>2000</v>
      </c>
      <c r="F1116">
        <v>8</v>
      </c>
      <c r="G1116">
        <v>15</v>
      </c>
      <c r="H1116" s="8">
        <v>13600</v>
      </c>
      <c r="I1116">
        <v>1085.74</v>
      </c>
      <c r="J1116">
        <v>4914.1000000000004</v>
      </c>
      <c r="K1116" s="5">
        <f>IF(SalesData[[#This Row],[Total Revenue]]=0,0,SalesData[[#This Row],[Profit]]/SalesData[[#This Row],[Total Revenue]])</f>
        <v>0.3613308823529412</v>
      </c>
      <c r="L1116" s="5" t="str">
        <f>TEXT(SalesData[[#This Row],[Date]],"mmm")</f>
        <v>Apr</v>
      </c>
      <c r="M1116">
        <f>YEAR(SalesData[[#This Row],[Date]])</f>
        <v>2023</v>
      </c>
      <c r="N1116">
        <f>WEEKNUM(SalesData[[#This Row],[Date]])</f>
        <v>16</v>
      </c>
      <c r="O1116" t="s">
        <v>2060</v>
      </c>
      <c r="P1116" t="s">
        <v>2522</v>
      </c>
      <c r="Q1116" t="s">
        <v>2525</v>
      </c>
    </row>
    <row r="1117" spans="1:17" x14ac:dyDescent="0.35">
      <c r="A1117" t="s">
        <v>1389</v>
      </c>
      <c r="B1117" s="3">
        <v>45186</v>
      </c>
      <c r="C1117" t="s">
        <v>2015</v>
      </c>
      <c r="D1117" t="s">
        <v>2025</v>
      </c>
      <c r="E1117" s="8">
        <v>2047</v>
      </c>
      <c r="F1117">
        <v>7</v>
      </c>
      <c r="G1117">
        <v>5</v>
      </c>
      <c r="H1117" s="8">
        <v>13612.55</v>
      </c>
      <c r="I1117">
        <v>1240.92</v>
      </c>
      <c r="J1117">
        <v>4926.13</v>
      </c>
      <c r="K1117" s="5">
        <f>IF(SalesData[[#This Row],[Total Revenue]]=0,0,SalesData[[#This Row],[Profit]]/SalesData[[#This Row],[Total Revenue]])</f>
        <v>0.36188149905785472</v>
      </c>
      <c r="L1117" s="5" t="str">
        <f>TEXT(SalesData[[#This Row],[Date]],"mmm")</f>
        <v>Sep</v>
      </c>
      <c r="M1117">
        <f>YEAR(SalesData[[#This Row],[Date]])</f>
        <v>2023</v>
      </c>
      <c r="N1117">
        <f>WEEKNUM(SalesData[[#This Row],[Date]])</f>
        <v>38</v>
      </c>
      <c r="O1117" t="s">
        <v>2183</v>
      </c>
      <c r="P1117" t="s">
        <v>2522</v>
      </c>
      <c r="Q1117" t="s">
        <v>2524</v>
      </c>
    </row>
    <row r="1118" spans="1:17" x14ac:dyDescent="0.35">
      <c r="A1118" t="s">
        <v>1999</v>
      </c>
      <c r="B1118" s="3">
        <v>44958</v>
      </c>
      <c r="C1118" t="s">
        <v>2015</v>
      </c>
      <c r="D1118" t="s">
        <v>2025</v>
      </c>
      <c r="E1118" s="8">
        <v>3206</v>
      </c>
      <c r="F1118">
        <v>5</v>
      </c>
      <c r="G1118">
        <v>15</v>
      </c>
      <c r="H1118" s="8">
        <v>13625.5</v>
      </c>
      <c r="I1118">
        <v>2222.14</v>
      </c>
      <c r="J1118">
        <v>2514.81</v>
      </c>
      <c r="K1118" s="5">
        <f>IF(SalesData[[#This Row],[Total Revenue]]=0,0,SalesData[[#This Row],[Profit]]/SalesData[[#This Row],[Total Revenue]])</f>
        <v>0.18456643792888333</v>
      </c>
      <c r="L1118" s="5" t="str">
        <f>TEXT(SalesData[[#This Row],[Date]],"mmm")</f>
        <v>Feb</v>
      </c>
      <c r="M1118">
        <f>YEAR(SalesData[[#This Row],[Date]])</f>
        <v>2023</v>
      </c>
      <c r="N1118">
        <f>WEEKNUM(SalesData[[#This Row],[Date]])</f>
        <v>5</v>
      </c>
      <c r="O1118" t="s">
        <v>2286</v>
      </c>
      <c r="P1118" t="s">
        <v>2523</v>
      </c>
      <c r="Q1118" t="s">
        <v>2525</v>
      </c>
    </row>
    <row r="1119" spans="1:17" x14ac:dyDescent="0.35">
      <c r="A1119" t="s">
        <v>675</v>
      </c>
      <c r="B1119" s="3">
        <v>45016</v>
      </c>
      <c r="C1119" t="s">
        <v>2019</v>
      </c>
      <c r="D1119" t="s">
        <v>2027</v>
      </c>
      <c r="E1119" s="8">
        <v>1363</v>
      </c>
      <c r="F1119">
        <v>10</v>
      </c>
      <c r="G1119">
        <v>0</v>
      </c>
      <c r="H1119" s="8">
        <v>13630</v>
      </c>
      <c r="I1119">
        <v>1040.29</v>
      </c>
      <c r="J1119">
        <v>3227.12</v>
      </c>
      <c r="K1119" s="5">
        <f>IF(SalesData[[#This Row],[Total Revenue]]=0,0,SalesData[[#This Row],[Profit]]/SalesData[[#This Row],[Total Revenue]])</f>
        <v>0.23676595744680851</v>
      </c>
      <c r="L1119" s="5" t="str">
        <f>TEXT(SalesData[[#This Row],[Date]],"mmm")</f>
        <v>Mar</v>
      </c>
      <c r="M1119">
        <f>YEAR(SalesData[[#This Row],[Date]])</f>
        <v>2023</v>
      </c>
      <c r="N1119">
        <f>WEEKNUM(SalesData[[#This Row],[Date]])</f>
        <v>13</v>
      </c>
      <c r="O1119" t="s">
        <v>2321</v>
      </c>
      <c r="P1119" t="s">
        <v>2522</v>
      </c>
      <c r="Q1119" t="s">
        <v>2525</v>
      </c>
    </row>
    <row r="1120" spans="1:17" x14ac:dyDescent="0.35">
      <c r="A1120" t="s">
        <v>914</v>
      </c>
      <c r="B1120" s="3">
        <v>44928</v>
      </c>
      <c r="C1120" t="s">
        <v>2017</v>
      </c>
      <c r="D1120" t="s">
        <v>2026</v>
      </c>
      <c r="E1120" s="8">
        <v>1516</v>
      </c>
      <c r="F1120">
        <v>9</v>
      </c>
      <c r="G1120">
        <v>0</v>
      </c>
      <c r="H1120" s="8">
        <v>13644</v>
      </c>
      <c r="I1120">
        <v>1120.17</v>
      </c>
      <c r="J1120">
        <v>3562.45</v>
      </c>
      <c r="K1120" s="5">
        <f>IF(SalesData[[#This Row],[Total Revenue]]=0,0,SalesData[[#This Row],[Profit]]/SalesData[[#This Row],[Total Revenue]])</f>
        <v>0.26110011726766341</v>
      </c>
      <c r="L1120" s="5" t="str">
        <f>TEXT(SalesData[[#This Row],[Date]],"mmm")</f>
        <v>Jan</v>
      </c>
      <c r="M1120">
        <f>YEAR(SalesData[[#This Row],[Date]])</f>
        <v>2023</v>
      </c>
      <c r="N1120">
        <f>WEEKNUM(SalesData[[#This Row],[Date]])</f>
        <v>1</v>
      </c>
      <c r="O1120" t="s">
        <v>2042</v>
      </c>
      <c r="P1120" t="s">
        <v>2523</v>
      </c>
      <c r="Q1120" t="s">
        <v>2526</v>
      </c>
    </row>
    <row r="1121" spans="1:17" x14ac:dyDescent="0.35">
      <c r="A1121" t="s">
        <v>1410</v>
      </c>
      <c r="B1121" s="3">
        <v>45235</v>
      </c>
      <c r="C1121" t="s">
        <v>2015</v>
      </c>
      <c r="D1121" t="s">
        <v>2025</v>
      </c>
      <c r="E1121" s="8">
        <v>2680</v>
      </c>
      <c r="F1121">
        <v>6</v>
      </c>
      <c r="G1121">
        <v>15</v>
      </c>
      <c r="H1121" s="8">
        <v>13668</v>
      </c>
      <c r="I1121">
        <v>1755.41</v>
      </c>
      <c r="J1121">
        <v>3135.54</v>
      </c>
      <c r="K1121" s="5">
        <f>IF(SalesData[[#This Row],[Total Revenue]]=0,0,SalesData[[#This Row],[Profit]]/SalesData[[#This Row],[Total Revenue]])</f>
        <v>0.22940737489025462</v>
      </c>
      <c r="L1121" s="5" t="str">
        <f>TEXT(SalesData[[#This Row],[Date]],"mmm")</f>
        <v>Nov</v>
      </c>
      <c r="M1121">
        <f>YEAR(SalesData[[#This Row],[Date]])</f>
        <v>2023</v>
      </c>
      <c r="N1121">
        <f>WEEKNUM(SalesData[[#This Row],[Date]])</f>
        <v>45</v>
      </c>
      <c r="O1121" t="s">
        <v>2494</v>
      </c>
      <c r="P1121" t="s">
        <v>2523</v>
      </c>
      <c r="Q1121" t="s">
        <v>2527</v>
      </c>
    </row>
    <row r="1122" spans="1:17" x14ac:dyDescent="0.35">
      <c r="A1122" t="s">
        <v>239</v>
      </c>
      <c r="B1122" s="3">
        <v>45206</v>
      </c>
      <c r="C1122" t="s">
        <v>2017</v>
      </c>
      <c r="D1122" t="s">
        <v>2026</v>
      </c>
      <c r="E1122" s="8">
        <v>2535</v>
      </c>
      <c r="F1122">
        <v>6</v>
      </c>
      <c r="G1122">
        <v>10</v>
      </c>
      <c r="H1122" s="8">
        <v>13689</v>
      </c>
      <c r="I1122">
        <v>1492.59</v>
      </c>
      <c r="J1122">
        <v>4733.43</v>
      </c>
      <c r="K1122" s="5">
        <f>IF(SalesData[[#This Row],[Total Revenue]]=0,0,SalesData[[#This Row],[Profit]]/SalesData[[#This Row],[Total Revenue]])</f>
        <v>0.34578347578347579</v>
      </c>
      <c r="L1122" s="5" t="str">
        <f>TEXT(SalesData[[#This Row],[Date]],"mmm")</f>
        <v>Oct</v>
      </c>
      <c r="M1122">
        <f>YEAR(SalesData[[#This Row],[Date]])</f>
        <v>2023</v>
      </c>
      <c r="N1122">
        <f>WEEKNUM(SalesData[[#This Row],[Date]])</f>
        <v>40</v>
      </c>
      <c r="O1122" t="s">
        <v>2106</v>
      </c>
      <c r="P1122" t="s">
        <v>2522</v>
      </c>
      <c r="Q1122" t="s">
        <v>2526</v>
      </c>
    </row>
    <row r="1123" spans="1:17" x14ac:dyDescent="0.35">
      <c r="A1123" t="s">
        <v>1182</v>
      </c>
      <c r="B1123" s="3">
        <v>45283</v>
      </c>
      <c r="C1123" t="s">
        <v>2020</v>
      </c>
      <c r="D1123" t="s">
        <v>2028</v>
      </c>
      <c r="E1123" s="8">
        <v>1371</v>
      </c>
      <c r="F1123">
        <v>10</v>
      </c>
      <c r="G1123">
        <v>0</v>
      </c>
      <c r="H1123" s="8">
        <v>13710</v>
      </c>
      <c r="I1123">
        <v>969.84</v>
      </c>
      <c r="J1123">
        <v>4011.62</v>
      </c>
      <c r="K1123" s="5">
        <f>IF(SalesData[[#This Row],[Total Revenue]]=0,0,SalesData[[#This Row],[Profit]]/SalesData[[#This Row],[Total Revenue]])</f>
        <v>0.29260539752005832</v>
      </c>
      <c r="L1123" s="5" t="str">
        <f>TEXT(SalesData[[#This Row],[Date]],"mmm")</f>
        <v>Dec</v>
      </c>
      <c r="M1123">
        <f>YEAR(SalesData[[#This Row],[Date]])</f>
        <v>2023</v>
      </c>
      <c r="N1123">
        <f>WEEKNUM(SalesData[[#This Row],[Date]])</f>
        <v>51</v>
      </c>
      <c r="O1123" t="s">
        <v>2481</v>
      </c>
      <c r="P1123" t="s">
        <v>2523</v>
      </c>
      <c r="Q1123" t="s">
        <v>2526</v>
      </c>
    </row>
    <row r="1124" spans="1:17" x14ac:dyDescent="0.35">
      <c r="A1124" t="s">
        <v>169</v>
      </c>
      <c r="B1124" s="3">
        <v>45233</v>
      </c>
      <c r="C1124" t="s">
        <v>2019</v>
      </c>
      <c r="D1124" t="s">
        <v>2027</v>
      </c>
      <c r="E1124" s="8">
        <v>2406</v>
      </c>
      <c r="F1124">
        <v>6</v>
      </c>
      <c r="G1124">
        <v>5</v>
      </c>
      <c r="H1124" s="8">
        <v>13714.2</v>
      </c>
      <c r="I1124">
        <v>1772.33</v>
      </c>
      <c r="J1124">
        <v>3080.19</v>
      </c>
      <c r="K1124" s="5">
        <f>IF(SalesData[[#This Row],[Total Revenue]]=0,0,SalesData[[#This Row],[Profit]]/SalesData[[#This Row],[Total Revenue]])</f>
        <v>0.22459859124119524</v>
      </c>
      <c r="L1124" s="5" t="str">
        <f>TEXT(SalesData[[#This Row],[Date]],"mmm")</f>
        <v>Nov</v>
      </c>
      <c r="M1124">
        <f>YEAR(SalesData[[#This Row],[Date]])</f>
        <v>2023</v>
      </c>
      <c r="N1124">
        <f>WEEKNUM(SalesData[[#This Row],[Date]])</f>
        <v>44</v>
      </c>
      <c r="O1124" t="s">
        <v>2141</v>
      </c>
      <c r="P1124" t="s">
        <v>2522</v>
      </c>
      <c r="Q1124" t="s">
        <v>2526</v>
      </c>
    </row>
    <row r="1125" spans="1:17" x14ac:dyDescent="0.35">
      <c r="A1125" t="s">
        <v>1621</v>
      </c>
      <c r="B1125" s="3">
        <v>45226</v>
      </c>
      <c r="C1125" t="s">
        <v>2015</v>
      </c>
      <c r="D1125" t="s">
        <v>2025</v>
      </c>
      <c r="E1125" s="8">
        <v>1694</v>
      </c>
      <c r="F1125">
        <v>9</v>
      </c>
      <c r="G1125">
        <v>10</v>
      </c>
      <c r="H1125" s="8">
        <v>13721.4</v>
      </c>
      <c r="I1125">
        <v>1297.42</v>
      </c>
      <c r="J1125">
        <v>2044.63</v>
      </c>
      <c r="K1125" s="5">
        <f>IF(SalesData[[#This Row],[Total Revenue]]=0,0,SalesData[[#This Row],[Profit]]/SalesData[[#This Row],[Total Revenue]])</f>
        <v>0.14901030507091115</v>
      </c>
      <c r="L1125" s="5" t="str">
        <f>TEXT(SalesData[[#This Row],[Date]],"mmm")</f>
        <v>Oct</v>
      </c>
      <c r="M1125">
        <f>YEAR(SalesData[[#This Row],[Date]])</f>
        <v>2023</v>
      </c>
      <c r="N1125">
        <f>WEEKNUM(SalesData[[#This Row],[Date]])</f>
        <v>43</v>
      </c>
      <c r="O1125" t="s">
        <v>2035</v>
      </c>
      <c r="P1125" t="s">
        <v>2522</v>
      </c>
      <c r="Q1125" t="s">
        <v>2527</v>
      </c>
    </row>
    <row r="1126" spans="1:17" x14ac:dyDescent="0.35">
      <c r="A1126" t="s">
        <v>1096</v>
      </c>
      <c r="B1126" s="3">
        <v>45023</v>
      </c>
      <c r="C1126" t="s">
        <v>2013</v>
      </c>
      <c r="D1126" t="s">
        <v>2023</v>
      </c>
      <c r="E1126" s="8">
        <v>1961</v>
      </c>
      <c r="F1126">
        <v>7</v>
      </c>
      <c r="G1126">
        <v>0</v>
      </c>
      <c r="H1126" s="8">
        <v>13727</v>
      </c>
      <c r="I1126">
        <v>1360.93</v>
      </c>
      <c r="J1126">
        <v>4200.5200000000004</v>
      </c>
      <c r="K1126" s="5">
        <f>IF(SalesData[[#This Row],[Total Revenue]]=0,0,SalesData[[#This Row],[Profit]]/SalesData[[#This Row],[Total Revenue]])</f>
        <v>0.30600422524950832</v>
      </c>
      <c r="L1126" s="5" t="str">
        <f>TEXT(SalesData[[#This Row],[Date]],"mmm")</f>
        <v>Apr</v>
      </c>
      <c r="M1126">
        <f>YEAR(SalesData[[#This Row],[Date]])</f>
        <v>2023</v>
      </c>
      <c r="N1126">
        <f>WEEKNUM(SalesData[[#This Row],[Date]])</f>
        <v>14</v>
      </c>
      <c r="O1126" t="s">
        <v>2469</v>
      </c>
      <c r="P1126" t="s">
        <v>2523</v>
      </c>
      <c r="Q1126" t="s">
        <v>2527</v>
      </c>
    </row>
    <row r="1127" spans="1:17" x14ac:dyDescent="0.35">
      <c r="A1127" t="s">
        <v>723</v>
      </c>
      <c r="B1127" s="3">
        <v>45270</v>
      </c>
      <c r="C1127" t="s">
        <v>2014</v>
      </c>
      <c r="D1127" t="s">
        <v>2024</v>
      </c>
      <c r="E1127" s="8">
        <v>4824</v>
      </c>
      <c r="F1127">
        <v>3</v>
      </c>
      <c r="G1127">
        <v>5</v>
      </c>
      <c r="H1127" s="8">
        <v>13748.4</v>
      </c>
      <c r="I1127">
        <v>3815.42</v>
      </c>
      <c r="J1127">
        <v>2302.14</v>
      </c>
      <c r="K1127" s="5">
        <f>IF(SalesData[[#This Row],[Total Revenue]]=0,0,SalesData[[#This Row],[Profit]]/SalesData[[#This Row],[Total Revenue]])</f>
        <v>0.16744784847691369</v>
      </c>
      <c r="L1127" s="5" t="str">
        <f>TEXT(SalesData[[#This Row],[Date]],"mmm")</f>
        <v>Dec</v>
      </c>
      <c r="M1127">
        <f>YEAR(SalesData[[#This Row],[Date]])</f>
        <v>2023</v>
      </c>
      <c r="N1127">
        <f>WEEKNUM(SalesData[[#This Row],[Date]])</f>
        <v>50</v>
      </c>
      <c r="O1127" t="s">
        <v>2228</v>
      </c>
      <c r="P1127" t="s">
        <v>2522</v>
      </c>
      <c r="Q1127" t="s">
        <v>2524</v>
      </c>
    </row>
    <row r="1128" spans="1:17" x14ac:dyDescent="0.35">
      <c r="A1128" t="s">
        <v>1839</v>
      </c>
      <c r="B1128" s="3">
        <v>45091</v>
      </c>
      <c r="C1128" t="s">
        <v>2013</v>
      </c>
      <c r="D1128" t="s">
        <v>2023</v>
      </c>
      <c r="E1128" s="8">
        <v>2696</v>
      </c>
      <c r="F1128">
        <v>6</v>
      </c>
      <c r="G1128">
        <v>15</v>
      </c>
      <c r="H1128" s="8">
        <v>13749.6</v>
      </c>
      <c r="I1128">
        <v>1862.43</v>
      </c>
      <c r="J1128">
        <v>2575.02</v>
      </c>
      <c r="K1128" s="5">
        <f>IF(SalesData[[#This Row],[Total Revenue]]=0,0,SalesData[[#This Row],[Profit]]/SalesData[[#This Row],[Total Revenue]])</f>
        <v>0.18727962995287134</v>
      </c>
      <c r="L1128" s="5" t="str">
        <f>TEXT(SalesData[[#This Row],[Date]],"mmm")</f>
        <v>Jun</v>
      </c>
      <c r="M1128">
        <f>YEAR(SalesData[[#This Row],[Date]])</f>
        <v>2023</v>
      </c>
      <c r="N1128">
        <f>WEEKNUM(SalesData[[#This Row],[Date]])</f>
        <v>24</v>
      </c>
      <c r="O1128" t="s">
        <v>2492</v>
      </c>
      <c r="P1128" t="s">
        <v>2523</v>
      </c>
      <c r="Q1128" t="s">
        <v>2525</v>
      </c>
    </row>
    <row r="1129" spans="1:17" x14ac:dyDescent="0.35">
      <c r="A1129" t="s">
        <v>1359</v>
      </c>
      <c r="B1129" s="3">
        <v>45245</v>
      </c>
      <c r="C1129" t="s">
        <v>2019</v>
      </c>
      <c r="D1129" t="s">
        <v>2027</v>
      </c>
      <c r="E1129" s="8">
        <v>2753</v>
      </c>
      <c r="F1129">
        <v>5</v>
      </c>
      <c r="G1129">
        <v>0</v>
      </c>
      <c r="H1129" s="8">
        <v>13765</v>
      </c>
      <c r="I1129">
        <v>1675.24</v>
      </c>
      <c r="J1129">
        <v>5388.79</v>
      </c>
      <c r="K1129" s="5">
        <f>IF(SalesData[[#This Row],[Total Revenue]]=0,0,SalesData[[#This Row],[Profit]]/SalesData[[#This Row],[Total Revenue]])</f>
        <v>0.39148492553577913</v>
      </c>
      <c r="L1129" s="5" t="str">
        <f>TEXT(SalesData[[#This Row],[Date]],"mmm")</f>
        <v>Nov</v>
      </c>
      <c r="M1129">
        <f>YEAR(SalesData[[#This Row],[Date]])</f>
        <v>2023</v>
      </c>
      <c r="N1129">
        <f>WEEKNUM(SalesData[[#This Row],[Date]])</f>
        <v>46</v>
      </c>
      <c r="O1129" t="s">
        <v>2501</v>
      </c>
      <c r="P1129" t="s">
        <v>2523</v>
      </c>
      <c r="Q1129" t="s">
        <v>2526</v>
      </c>
    </row>
    <row r="1130" spans="1:17" x14ac:dyDescent="0.35">
      <c r="A1130" t="s">
        <v>1394</v>
      </c>
      <c r="B1130" s="3">
        <v>45052</v>
      </c>
      <c r="C1130" t="s">
        <v>2014</v>
      </c>
      <c r="D1130" t="s">
        <v>2024</v>
      </c>
      <c r="E1130" s="8">
        <v>1530</v>
      </c>
      <c r="F1130">
        <v>10</v>
      </c>
      <c r="G1130">
        <v>10</v>
      </c>
      <c r="H1130" s="8">
        <v>13770</v>
      </c>
      <c r="I1130">
        <v>767.67</v>
      </c>
      <c r="J1130">
        <v>6093.33</v>
      </c>
      <c r="K1130" s="5">
        <f>IF(SalesData[[#This Row],[Total Revenue]]=0,0,SalesData[[#This Row],[Profit]]/SalesData[[#This Row],[Total Revenue]])</f>
        <v>0.44250762527233117</v>
      </c>
      <c r="L1130" s="5" t="str">
        <f>TEXT(SalesData[[#This Row],[Date]],"mmm")</f>
        <v>May</v>
      </c>
      <c r="M1130">
        <f>YEAR(SalesData[[#This Row],[Date]])</f>
        <v>2023</v>
      </c>
      <c r="N1130">
        <f>WEEKNUM(SalesData[[#This Row],[Date]])</f>
        <v>18</v>
      </c>
      <c r="O1130" t="s">
        <v>2177</v>
      </c>
      <c r="P1130" t="s">
        <v>2523</v>
      </c>
      <c r="Q1130" t="s">
        <v>2525</v>
      </c>
    </row>
    <row r="1131" spans="1:17" x14ac:dyDescent="0.35">
      <c r="A1131" t="s">
        <v>610</v>
      </c>
      <c r="B1131" s="3">
        <v>45049</v>
      </c>
      <c r="C1131" t="s">
        <v>2021</v>
      </c>
      <c r="D1131" t="s">
        <v>2028</v>
      </c>
      <c r="E1131" s="8">
        <v>4053</v>
      </c>
      <c r="F1131">
        <v>4</v>
      </c>
      <c r="G1131">
        <v>15</v>
      </c>
      <c r="H1131" s="8">
        <v>13780.2</v>
      </c>
      <c r="I1131">
        <v>3123.14</v>
      </c>
      <c r="J1131">
        <v>1287.6500000000001</v>
      </c>
      <c r="K1131" s="5">
        <f>IF(SalesData[[#This Row],[Total Revenue]]=0,0,SalesData[[#This Row],[Profit]]/SalesData[[#This Row],[Total Revenue]])</f>
        <v>9.344204002844661E-2</v>
      </c>
      <c r="L1131" s="5" t="str">
        <f>TEXT(SalesData[[#This Row],[Date]],"mmm")</f>
        <v>May</v>
      </c>
      <c r="M1131">
        <f>YEAR(SalesData[[#This Row],[Date]])</f>
        <v>2023</v>
      </c>
      <c r="N1131">
        <f>WEEKNUM(SalesData[[#This Row],[Date]])</f>
        <v>18</v>
      </c>
      <c r="O1131" t="s">
        <v>2373</v>
      </c>
      <c r="P1131" t="s">
        <v>2522</v>
      </c>
      <c r="Q1131" t="s">
        <v>2525</v>
      </c>
    </row>
    <row r="1132" spans="1:17" x14ac:dyDescent="0.35">
      <c r="A1132" t="s">
        <v>1482</v>
      </c>
      <c r="B1132" s="3">
        <v>45275</v>
      </c>
      <c r="C1132" t="s">
        <v>2017</v>
      </c>
      <c r="D1132" t="s">
        <v>2026</v>
      </c>
      <c r="E1132" s="8">
        <v>1916</v>
      </c>
      <c r="F1132">
        <v>8</v>
      </c>
      <c r="G1132">
        <v>10</v>
      </c>
      <c r="H1132" s="8">
        <v>13795.2</v>
      </c>
      <c r="I1132">
        <v>1503.61</v>
      </c>
      <c r="J1132">
        <v>1766.29</v>
      </c>
      <c r="K1132" s="5">
        <f>IF(SalesData[[#This Row],[Total Revenue]]=0,0,SalesData[[#This Row],[Profit]]/SalesData[[#This Row],[Total Revenue]])</f>
        <v>0.12803656344235675</v>
      </c>
      <c r="L1132" s="5" t="str">
        <f>TEXT(SalesData[[#This Row],[Date]],"mmm")</f>
        <v>Dec</v>
      </c>
      <c r="M1132">
        <f>YEAR(SalesData[[#This Row],[Date]])</f>
        <v>2023</v>
      </c>
      <c r="N1132">
        <f>WEEKNUM(SalesData[[#This Row],[Date]])</f>
        <v>50</v>
      </c>
      <c r="O1132" t="s">
        <v>2360</v>
      </c>
      <c r="P1132" t="s">
        <v>2523</v>
      </c>
      <c r="Q1132" t="s">
        <v>2527</v>
      </c>
    </row>
    <row r="1133" spans="1:17" x14ac:dyDescent="0.35">
      <c r="A1133" t="s">
        <v>843</v>
      </c>
      <c r="B1133" s="3">
        <v>45163</v>
      </c>
      <c r="C1133" t="s">
        <v>2019</v>
      </c>
      <c r="D1133" t="s">
        <v>2027</v>
      </c>
      <c r="E1133" s="8">
        <v>1805</v>
      </c>
      <c r="F1133">
        <v>9</v>
      </c>
      <c r="G1133">
        <v>15</v>
      </c>
      <c r="H1133" s="8">
        <v>13808.25</v>
      </c>
      <c r="I1133">
        <v>952.04</v>
      </c>
      <c r="J1133">
        <v>5239.88</v>
      </c>
      <c r="K1133" s="5">
        <f>IF(SalesData[[#This Row],[Total Revenue]]=0,0,SalesData[[#This Row],[Profit]]/SalesData[[#This Row],[Total Revenue]])</f>
        <v>0.37947458946644219</v>
      </c>
      <c r="L1133" s="5" t="str">
        <f>TEXT(SalesData[[#This Row],[Date]],"mmm")</f>
        <v>Aug</v>
      </c>
      <c r="M1133">
        <f>YEAR(SalesData[[#This Row],[Date]])</f>
        <v>2023</v>
      </c>
      <c r="N1133">
        <f>WEEKNUM(SalesData[[#This Row],[Date]])</f>
        <v>34</v>
      </c>
      <c r="O1133" t="s">
        <v>2240</v>
      </c>
      <c r="P1133" t="s">
        <v>2522</v>
      </c>
      <c r="Q1133" t="s">
        <v>2527</v>
      </c>
    </row>
    <row r="1134" spans="1:17" x14ac:dyDescent="0.35">
      <c r="A1134" t="s">
        <v>350</v>
      </c>
      <c r="B1134" s="3">
        <v>44936</v>
      </c>
      <c r="C1134" t="s">
        <v>2020</v>
      </c>
      <c r="D1134" t="s">
        <v>2028</v>
      </c>
      <c r="E1134" s="8">
        <v>1381</v>
      </c>
      <c r="F1134">
        <v>10</v>
      </c>
      <c r="G1134">
        <v>0</v>
      </c>
      <c r="H1134" s="8">
        <v>13810</v>
      </c>
      <c r="I1134">
        <v>830.22</v>
      </c>
      <c r="J1134">
        <v>5507.77</v>
      </c>
      <c r="K1134" s="5">
        <f>IF(SalesData[[#This Row],[Total Revenue]]=0,0,SalesData[[#This Row],[Profit]]/SalesData[[#This Row],[Total Revenue]])</f>
        <v>0.39882476466328748</v>
      </c>
      <c r="L1134" s="5" t="str">
        <f>TEXT(SalesData[[#This Row],[Date]],"mmm")</f>
        <v>Jan</v>
      </c>
      <c r="M1134">
        <f>YEAR(SalesData[[#This Row],[Date]])</f>
        <v>2023</v>
      </c>
      <c r="N1134">
        <f>WEEKNUM(SalesData[[#This Row],[Date]])</f>
        <v>2</v>
      </c>
      <c r="O1134" t="s">
        <v>2274</v>
      </c>
      <c r="P1134" t="s">
        <v>2522</v>
      </c>
      <c r="Q1134" t="s">
        <v>2524</v>
      </c>
    </row>
    <row r="1135" spans="1:17" x14ac:dyDescent="0.35">
      <c r="A1135" t="s">
        <v>683</v>
      </c>
      <c r="B1135" s="3">
        <v>44942</v>
      </c>
      <c r="C1135" t="s">
        <v>2016</v>
      </c>
      <c r="D1135" t="s">
        <v>2025</v>
      </c>
      <c r="E1135" s="8">
        <v>2304</v>
      </c>
      <c r="F1135">
        <v>6</v>
      </c>
      <c r="G1135">
        <v>0</v>
      </c>
      <c r="H1135" s="8">
        <v>13824</v>
      </c>
      <c r="I1135">
        <v>1545.64</v>
      </c>
      <c r="J1135">
        <v>4550.1899999999996</v>
      </c>
      <c r="K1135" s="5">
        <f>IF(SalesData[[#This Row],[Total Revenue]]=0,0,SalesData[[#This Row],[Profit]]/SalesData[[#This Row],[Total Revenue]])</f>
        <v>0.32915147569444442</v>
      </c>
      <c r="L1135" s="5" t="str">
        <f>TEXT(SalesData[[#This Row],[Date]],"mmm")</f>
        <v>Jan</v>
      </c>
      <c r="M1135">
        <f>YEAR(SalesData[[#This Row],[Date]])</f>
        <v>2023</v>
      </c>
      <c r="N1135">
        <f>WEEKNUM(SalesData[[#This Row],[Date]])</f>
        <v>3</v>
      </c>
      <c r="O1135" t="s">
        <v>2360</v>
      </c>
      <c r="P1135" t="s">
        <v>2523</v>
      </c>
      <c r="Q1135" t="s">
        <v>2526</v>
      </c>
    </row>
    <row r="1136" spans="1:17" x14ac:dyDescent="0.35">
      <c r="A1136" t="s">
        <v>600</v>
      </c>
      <c r="B1136" s="3">
        <v>45092</v>
      </c>
      <c r="C1136" t="s">
        <v>2015</v>
      </c>
      <c r="D1136" t="s">
        <v>2025</v>
      </c>
      <c r="E1136" s="8">
        <v>2920</v>
      </c>
      <c r="F1136">
        <v>5</v>
      </c>
      <c r="G1136">
        <v>5</v>
      </c>
      <c r="H1136" s="8">
        <v>13870</v>
      </c>
      <c r="I1136">
        <v>1855.7</v>
      </c>
      <c r="J1136">
        <v>4591.49</v>
      </c>
      <c r="K1136" s="5">
        <f>IF(SalesData[[#This Row],[Total Revenue]]=0,0,SalesData[[#This Row],[Profit]]/SalesData[[#This Row],[Total Revenue]])</f>
        <v>0.33103749098774332</v>
      </c>
      <c r="L1136" s="5" t="str">
        <f>TEXT(SalesData[[#This Row],[Date]],"mmm")</f>
        <v>Jun</v>
      </c>
      <c r="M1136">
        <f>YEAR(SalesData[[#This Row],[Date]])</f>
        <v>2023</v>
      </c>
      <c r="N1136">
        <f>WEEKNUM(SalesData[[#This Row],[Date]])</f>
        <v>24</v>
      </c>
      <c r="O1136" t="s">
        <v>2127</v>
      </c>
      <c r="P1136" t="s">
        <v>2523</v>
      </c>
      <c r="Q1136" t="s">
        <v>2526</v>
      </c>
    </row>
    <row r="1137" spans="1:17" x14ac:dyDescent="0.35">
      <c r="A1137" t="s">
        <v>74</v>
      </c>
      <c r="B1137" s="3">
        <v>45267</v>
      </c>
      <c r="C1137" t="s">
        <v>2016</v>
      </c>
      <c r="D1137" t="s">
        <v>2025</v>
      </c>
      <c r="E1137" s="8">
        <v>1546</v>
      </c>
      <c r="F1137">
        <v>9</v>
      </c>
      <c r="G1137">
        <v>0</v>
      </c>
      <c r="H1137" s="8">
        <v>13914</v>
      </c>
      <c r="I1137">
        <v>1117.5999999999999</v>
      </c>
      <c r="J1137">
        <v>3855.59</v>
      </c>
      <c r="K1137" s="5">
        <f>IF(SalesData[[#This Row],[Total Revenue]]=0,0,SalesData[[#This Row],[Profit]]/SalesData[[#This Row],[Total Revenue]])</f>
        <v>0.27710148052321404</v>
      </c>
      <c r="L1137" s="5" t="str">
        <f>TEXT(SalesData[[#This Row],[Date]],"mmm")</f>
        <v>Dec</v>
      </c>
      <c r="M1137">
        <f>YEAR(SalesData[[#This Row],[Date]])</f>
        <v>2023</v>
      </c>
      <c r="N1137">
        <f>WEEKNUM(SalesData[[#This Row],[Date]])</f>
        <v>49</v>
      </c>
      <c r="O1137" t="s">
        <v>2083</v>
      </c>
      <c r="P1137" t="s">
        <v>2522</v>
      </c>
      <c r="Q1137" t="s">
        <v>2527</v>
      </c>
    </row>
    <row r="1138" spans="1:17" x14ac:dyDescent="0.35">
      <c r="A1138" t="s">
        <v>1320</v>
      </c>
      <c r="B1138" s="3">
        <v>45098</v>
      </c>
      <c r="C1138" t="s">
        <v>2014</v>
      </c>
      <c r="D1138" t="s">
        <v>2024</v>
      </c>
      <c r="E1138" s="8">
        <v>4883</v>
      </c>
      <c r="F1138">
        <v>3</v>
      </c>
      <c r="G1138">
        <v>5</v>
      </c>
      <c r="H1138" s="8">
        <v>13916.55</v>
      </c>
      <c r="I1138">
        <v>3853.33</v>
      </c>
      <c r="J1138">
        <v>2356.5500000000002</v>
      </c>
      <c r="K1138" s="5">
        <f>IF(SalesData[[#This Row],[Total Revenue]]=0,0,SalesData[[#This Row],[Profit]]/SalesData[[#This Row],[Total Revenue]])</f>
        <v>0.16933435370116878</v>
      </c>
      <c r="L1138" s="5" t="str">
        <f>TEXT(SalesData[[#This Row],[Date]],"mmm")</f>
        <v>Jun</v>
      </c>
      <c r="M1138">
        <f>YEAR(SalesData[[#This Row],[Date]])</f>
        <v>2023</v>
      </c>
      <c r="N1138">
        <f>WEEKNUM(SalesData[[#This Row],[Date]])</f>
        <v>25</v>
      </c>
      <c r="O1138" t="s">
        <v>2485</v>
      </c>
      <c r="P1138" t="s">
        <v>2522</v>
      </c>
      <c r="Q1138" t="s">
        <v>2527</v>
      </c>
    </row>
    <row r="1139" spans="1:17" x14ac:dyDescent="0.35">
      <c r="A1139" t="s">
        <v>789</v>
      </c>
      <c r="B1139" s="3">
        <v>45249</v>
      </c>
      <c r="C1139" t="s">
        <v>2019</v>
      </c>
      <c r="D1139" t="s">
        <v>2027</v>
      </c>
      <c r="E1139" s="8">
        <v>1934</v>
      </c>
      <c r="F1139">
        <v>8</v>
      </c>
      <c r="G1139">
        <v>10</v>
      </c>
      <c r="H1139" s="8">
        <v>13924.8</v>
      </c>
      <c r="I1139">
        <v>1344.14</v>
      </c>
      <c r="J1139">
        <v>3171.67</v>
      </c>
      <c r="K1139" s="5">
        <f>IF(SalesData[[#This Row],[Total Revenue]]=0,0,SalesData[[#This Row],[Profit]]/SalesData[[#This Row],[Total Revenue]])</f>
        <v>0.22777131448925658</v>
      </c>
      <c r="L1139" s="5" t="str">
        <f>TEXT(SalesData[[#This Row],[Date]],"mmm")</f>
        <v>Nov</v>
      </c>
      <c r="M1139">
        <f>YEAR(SalesData[[#This Row],[Date]])</f>
        <v>2023</v>
      </c>
      <c r="N1139">
        <f>WEEKNUM(SalesData[[#This Row],[Date]])</f>
        <v>47</v>
      </c>
      <c r="O1139" t="s">
        <v>2264</v>
      </c>
      <c r="P1139" t="s">
        <v>2523</v>
      </c>
      <c r="Q1139" t="s">
        <v>2525</v>
      </c>
    </row>
    <row r="1140" spans="1:17" x14ac:dyDescent="0.35">
      <c r="A1140" t="s">
        <v>1405</v>
      </c>
      <c r="B1140" s="3">
        <v>45096</v>
      </c>
      <c r="C1140" t="s">
        <v>2013</v>
      </c>
      <c r="D1140" t="s">
        <v>2023</v>
      </c>
      <c r="E1140" s="8">
        <v>1549</v>
      </c>
      <c r="F1140">
        <v>10</v>
      </c>
      <c r="G1140">
        <v>10</v>
      </c>
      <c r="H1140" s="8">
        <v>13941</v>
      </c>
      <c r="I1140">
        <v>886.18</v>
      </c>
      <c r="J1140">
        <v>5079.2</v>
      </c>
      <c r="K1140" s="5">
        <f>IF(SalesData[[#This Row],[Total Revenue]]=0,0,SalesData[[#This Row],[Profit]]/SalesData[[#This Row],[Total Revenue]])</f>
        <v>0.36433541352844129</v>
      </c>
      <c r="L1140" s="5" t="str">
        <f>TEXT(SalesData[[#This Row],[Date]],"mmm")</f>
        <v>Jun</v>
      </c>
      <c r="M1140">
        <f>YEAR(SalesData[[#This Row],[Date]])</f>
        <v>2023</v>
      </c>
      <c r="N1140">
        <f>WEEKNUM(SalesData[[#This Row],[Date]])</f>
        <v>25</v>
      </c>
      <c r="O1140" t="s">
        <v>2149</v>
      </c>
      <c r="P1140" t="s">
        <v>2523</v>
      </c>
      <c r="Q1140" t="s">
        <v>2527</v>
      </c>
    </row>
    <row r="1141" spans="1:17" x14ac:dyDescent="0.35">
      <c r="A1141" t="s">
        <v>1745</v>
      </c>
      <c r="B1141" s="3">
        <v>45281</v>
      </c>
      <c r="C1141" t="s">
        <v>2015</v>
      </c>
      <c r="D1141" t="s">
        <v>2025</v>
      </c>
      <c r="E1141" s="8">
        <v>1631</v>
      </c>
      <c r="F1141">
        <v>9</v>
      </c>
      <c r="G1141">
        <v>5</v>
      </c>
      <c r="H1141" s="8">
        <v>13945.05</v>
      </c>
      <c r="I1141">
        <v>1220.8599999999999</v>
      </c>
      <c r="J1141">
        <v>2957.34</v>
      </c>
      <c r="K1141" s="5">
        <f>IF(SalesData[[#This Row],[Total Revenue]]=0,0,SalesData[[#This Row],[Profit]]/SalesData[[#This Row],[Total Revenue]])</f>
        <v>0.21207094990695624</v>
      </c>
      <c r="L1141" s="5" t="str">
        <f>TEXT(SalesData[[#This Row],[Date]],"mmm")</f>
        <v>Dec</v>
      </c>
      <c r="M1141">
        <f>YEAR(SalesData[[#This Row],[Date]])</f>
        <v>2023</v>
      </c>
      <c r="N1141">
        <f>WEEKNUM(SalesData[[#This Row],[Date]])</f>
        <v>51</v>
      </c>
      <c r="O1141" t="s">
        <v>2312</v>
      </c>
      <c r="P1141" t="s">
        <v>2522</v>
      </c>
      <c r="Q1141" t="s">
        <v>2526</v>
      </c>
    </row>
    <row r="1142" spans="1:17" x14ac:dyDescent="0.35">
      <c r="A1142" t="s">
        <v>1606</v>
      </c>
      <c r="B1142" s="3">
        <v>45170</v>
      </c>
      <c r="C1142" t="s">
        <v>2018</v>
      </c>
      <c r="D1142" t="s">
        <v>2026</v>
      </c>
      <c r="E1142" s="8">
        <v>2346</v>
      </c>
      <c r="F1142">
        <v>7</v>
      </c>
      <c r="G1142">
        <v>15</v>
      </c>
      <c r="H1142" s="8">
        <v>13958.7</v>
      </c>
      <c r="I1142">
        <v>1868.49</v>
      </c>
      <c r="J1142">
        <v>879.26</v>
      </c>
      <c r="K1142" s="5">
        <f>IF(SalesData[[#This Row],[Total Revenue]]=0,0,SalesData[[#This Row],[Profit]]/SalesData[[#This Row],[Total Revenue]])</f>
        <v>6.299010652854492E-2</v>
      </c>
      <c r="L1142" s="5" t="str">
        <f>TEXT(SalesData[[#This Row],[Date]],"mmm")</f>
        <v>Sep</v>
      </c>
      <c r="M1142">
        <f>YEAR(SalesData[[#This Row],[Date]])</f>
        <v>2023</v>
      </c>
      <c r="N1142">
        <f>WEEKNUM(SalesData[[#This Row],[Date]])</f>
        <v>35</v>
      </c>
      <c r="O1142" t="s">
        <v>2158</v>
      </c>
      <c r="P1142" t="s">
        <v>2522</v>
      </c>
      <c r="Q1142" t="s">
        <v>2524</v>
      </c>
    </row>
    <row r="1143" spans="1:17" x14ac:dyDescent="0.35">
      <c r="A1143" t="s">
        <v>1623</v>
      </c>
      <c r="B1143" s="3">
        <v>45246</v>
      </c>
      <c r="C1143" t="s">
        <v>2021</v>
      </c>
      <c r="D1143" t="s">
        <v>2028</v>
      </c>
      <c r="E1143" s="8">
        <v>3684</v>
      </c>
      <c r="F1143">
        <v>4</v>
      </c>
      <c r="G1143">
        <v>5</v>
      </c>
      <c r="H1143" s="8">
        <v>13999.2</v>
      </c>
      <c r="I1143">
        <v>2134.9699999999998</v>
      </c>
      <c r="J1143">
        <v>5459.31</v>
      </c>
      <c r="K1143" s="5">
        <f>IF(SalesData[[#This Row],[Total Revenue]]=0,0,SalesData[[#This Row],[Profit]]/SalesData[[#This Row],[Total Revenue]])</f>
        <v>0.38997299845705469</v>
      </c>
      <c r="L1143" s="5" t="str">
        <f>TEXT(SalesData[[#This Row],[Date]],"mmm")</f>
        <v>Nov</v>
      </c>
      <c r="M1143">
        <f>YEAR(SalesData[[#This Row],[Date]])</f>
        <v>2023</v>
      </c>
      <c r="N1143">
        <f>WEEKNUM(SalesData[[#This Row],[Date]])</f>
        <v>46</v>
      </c>
      <c r="O1143" t="s">
        <v>2099</v>
      </c>
      <c r="P1143" t="s">
        <v>2522</v>
      </c>
      <c r="Q1143" t="s">
        <v>2526</v>
      </c>
    </row>
    <row r="1144" spans="1:17" x14ac:dyDescent="0.35">
      <c r="A1144" t="s">
        <v>764</v>
      </c>
      <c r="B1144" s="3">
        <v>45005</v>
      </c>
      <c r="C1144" t="s">
        <v>2013</v>
      </c>
      <c r="D1144" t="s">
        <v>2023</v>
      </c>
      <c r="E1144" s="8">
        <v>1845</v>
      </c>
      <c r="F1144">
        <v>8</v>
      </c>
      <c r="G1144">
        <v>5</v>
      </c>
      <c r="H1144" s="8">
        <v>14022</v>
      </c>
      <c r="I1144">
        <v>1012.97</v>
      </c>
      <c r="J1144">
        <v>5918.21</v>
      </c>
      <c r="K1144" s="5">
        <f>IF(SalesData[[#This Row],[Total Revenue]]=0,0,SalesData[[#This Row],[Profit]]/SalesData[[#This Row],[Total Revenue]])</f>
        <v>0.42206603908144347</v>
      </c>
      <c r="L1144" s="5" t="str">
        <f>TEXT(SalesData[[#This Row],[Date]],"mmm")</f>
        <v>Mar</v>
      </c>
      <c r="M1144">
        <f>YEAR(SalesData[[#This Row],[Date]])</f>
        <v>2023</v>
      </c>
      <c r="N1144">
        <f>WEEKNUM(SalesData[[#This Row],[Date]])</f>
        <v>12</v>
      </c>
      <c r="O1144" t="s">
        <v>2121</v>
      </c>
      <c r="P1144" t="s">
        <v>2523</v>
      </c>
      <c r="Q1144" t="s">
        <v>2526</v>
      </c>
    </row>
    <row r="1145" spans="1:17" x14ac:dyDescent="0.35">
      <c r="A1145" t="s">
        <v>674</v>
      </c>
      <c r="B1145" s="3">
        <v>45124</v>
      </c>
      <c r="C1145" t="s">
        <v>2020</v>
      </c>
      <c r="D1145" t="s">
        <v>2028</v>
      </c>
      <c r="E1145" s="8">
        <v>4927</v>
      </c>
      <c r="F1145">
        <v>3</v>
      </c>
      <c r="G1145">
        <v>5</v>
      </c>
      <c r="H1145" s="8">
        <v>14041.95</v>
      </c>
      <c r="I1145">
        <v>3107.05</v>
      </c>
      <c r="J1145">
        <v>4720.8100000000004</v>
      </c>
      <c r="K1145" s="5">
        <f>IF(SalesData[[#This Row],[Total Revenue]]=0,0,SalesData[[#This Row],[Profit]]/SalesData[[#This Row],[Total Revenue]])</f>
        <v>0.33619333497128251</v>
      </c>
      <c r="L1145" s="5" t="str">
        <f>TEXT(SalesData[[#This Row],[Date]],"mmm")</f>
        <v>Jul</v>
      </c>
      <c r="M1145">
        <f>YEAR(SalesData[[#This Row],[Date]])</f>
        <v>2023</v>
      </c>
      <c r="N1145">
        <f>WEEKNUM(SalesData[[#This Row],[Date]])</f>
        <v>29</v>
      </c>
      <c r="O1145" t="s">
        <v>2372</v>
      </c>
      <c r="P1145" t="s">
        <v>2522</v>
      </c>
      <c r="Q1145" t="s">
        <v>2527</v>
      </c>
    </row>
    <row r="1146" spans="1:17" x14ac:dyDescent="0.35">
      <c r="A1146" t="s">
        <v>411</v>
      </c>
      <c r="B1146" s="3">
        <v>44952</v>
      </c>
      <c r="C1146" t="s">
        <v>2020</v>
      </c>
      <c r="D1146" t="s">
        <v>2028</v>
      </c>
      <c r="E1146" s="8">
        <v>4930</v>
      </c>
      <c r="F1146">
        <v>3</v>
      </c>
      <c r="G1146">
        <v>5</v>
      </c>
      <c r="H1146" s="8">
        <v>14050.5</v>
      </c>
      <c r="I1146">
        <v>3444.29</v>
      </c>
      <c r="J1146">
        <v>3717.63</v>
      </c>
      <c r="K1146" s="5">
        <f>IF(SalesData[[#This Row],[Total Revenue]]=0,0,SalesData[[#This Row],[Profit]]/SalesData[[#This Row],[Total Revenue]])</f>
        <v>0.26459058396498347</v>
      </c>
      <c r="L1146" s="5" t="str">
        <f>TEXT(SalesData[[#This Row],[Date]],"mmm")</f>
        <v>Jan</v>
      </c>
      <c r="M1146">
        <f>YEAR(SalesData[[#This Row],[Date]])</f>
        <v>2023</v>
      </c>
      <c r="N1146">
        <f>WEEKNUM(SalesData[[#This Row],[Date]])</f>
        <v>4</v>
      </c>
      <c r="O1146" t="s">
        <v>2300</v>
      </c>
      <c r="P1146" t="s">
        <v>2522</v>
      </c>
      <c r="Q1146" t="s">
        <v>2525</v>
      </c>
    </row>
    <row r="1147" spans="1:17" x14ac:dyDescent="0.35">
      <c r="A1147" t="s">
        <v>1012</v>
      </c>
      <c r="B1147" s="3">
        <v>44970</v>
      </c>
      <c r="C1147" t="s">
        <v>2015</v>
      </c>
      <c r="D1147" t="s">
        <v>2025</v>
      </c>
      <c r="E1147" s="8">
        <v>3903</v>
      </c>
      <c r="F1147">
        <v>4</v>
      </c>
      <c r="G1147">
        <v>10</v>
      </c>
      <c r="H1147" s="8">
        <v>14050.8</v>
      </c>
      <c r="I1147">
        <v>2560.92</v>
      </c>
      <c r="J1147">
        <v>3807.1</v>
      </c>
      <c r="K1147" s="5">
        <f>IF(SalesData[[#This Row],[Total Revenue]]=0,0,SalesData[[#This Row],[Profit]]/SalesData[[#This Row],[Total Revenue]])</f>
        <v>0.27095254362740911</v>
      </c>
      <c r="L1147" s="5" t="str">
        <f>TEXT(SalesData[[#This Row],[Date]],"mmm")</f>
        <v>Feb</v>
      </c>
      <c r="M1147">
        <f>YEAR(SalesData[[#This Row],[Date]])</f>
        <v>2023</v>
      </c>
      <c r="N1147">
        <f>WEEKNUM(SalesData[[#This Row],[Date]])</f>
        <v>7</v>
      </c>
      <c r="O1147" t="s">
        <v>2400</v>
      </c>
      <c r="P1147" t="s">
        <v>2523</v>
      </c>
      <c r="Q1147" t="s">
        <v>2526</v>
      </c>
    </row>
    <row r="1148" spans="1:17" x14ac:dyDescent="0.35">
      <c r="A1148" t="s">
        <v>1289</v>
      </c>
      <c r="B1148" s="3">
        <v>45011</v>
      </c>
      <c r="C1148" t="s">
        <v>2021</v>
      </c>
      <c r="D1148" t="s">
        <v>2028</v>
      </c>
      <c r="E1148" s="8">
        <v>4693</v>
      </c>
      <c r="F1148">
        <v>3</v>
      </c>
      <c r="G1148">
        <v>0</v>
      </c>
      <c r="H1148" s="8">
        <v>14079</v>
      </c>
      <c r="I1148">
        <v>3376.01</v>
      </c>
      <c r="J1148">
        <v>3950.97</v>
      </c>
      <c r="K1148" s="5">
        <f>IF(SalesData[[#This Row],[Total Revenue]]=0,0,SalesData[[#This Row],[Profit]]/SalesData[[#This Row],[Total Revenue]])</f>
        <v>0.28062859578095034</v>
      </c>
      <c r="L1148" s="5" t="str">
        <f>TEXT(SalesData[[#This Row],[Date]],"mmm")</f>
        <v>Mar</v>
      </c>
      <c r="M1148">
        <f>YEAR(SalesData[[#This Row],[Date]])</f>
        <v>2023</v>
      </c>
      <c r="N1148">
        <f>WEEKNUM(SalesData[[#This Row],[Date]])</f>
        <v>13</v>
      </c>
      <c r="O1148" t="s">
        <v>2288</v>
      </c>
      <c r="P1148" t="s">
        <v>2523</v>
      </c>
      <c r="Q1148" t="s">
        <v>2524</v>
      </c>
    </row>
    <row r="1149" spans="1:17" x14ac:dyDescent="0.35">
      <c r="A1149" t="s">
        <v>1818</v>
      </c>
      <c r="B1149" s="3">
        <v>44953</v>
      </c>
      <c r="C1149" t="s">
        <v>2020</v>
      </c>
      <c r="D1149" t="s">
        <v>2028</v>
      </c>
      <c r="E1149" s="8">
        <v>2765</v>
      </c>
      <c r="F1149">
        <v>6</v>
      </c>
      <c r="G1149">
        <v>15</v>
      </c>
      <c r="H1149" s="8">
        <v>14101.5</v>
      </c>
      <c r="I1149">
        <v>1847.62</v>
      </c>
      <c r="J1149">
        <v>3015.75</v>
      </c>
      <c r="K1149" s="5">
        <f>IF(SalesData[[#This Row],[Total Revenue]]=0,0,SalesData[[#This Row],[Profit]]/SalesData[[#This Row],[Total Revenue]])</f>
        <v>0.21386022763535795</v>
      </c>
      <c r="L1149" s="5" t="str">
        <f>TEXT(SalesData[[#This Row],[Date]],"mmm")</f>
        <v>Jan</v>
      </c>
      <c r="M1149">
        <f>YEAR(SalesData[[#This Row],[Date]])</f>
        <v>2023</v>
      </c>
      <c r="N1149">
        <f>WEEKNUM(SalesData[[#This Row],[Date]])</f>
        <v>4</v>
      </c>
      <c r="O1149" t="s">
        <v>2179</v>
      </c>
      <c r="P1149" t="s">
        <v>2522</v>
      </c>
      <c r="Q1149" t="s">
        <v>2524</v>
      </c>
    </row>
    <row r="1150" spans="1:17" x14ac:dyDescent="0.35">
      <c r="A1150" t="s">
        <v>768</v>
      </c>
      <c r="B1150" s="3">
        <v>45048</v>
      </c>
      <c r="C1150" t="s">
        <v>2017</v>
      </c>
      <c r="D1150" t="s">
        <v>2026</v>
      </c>
      <c r="E1150" s="8">
        <v>2970</v>
      </c>
      <c r="F1150">
        <v>5</v>
      </c>
      <c r="G1150">
        <v>5</v>
      </c>
      <c r="H1150" s="8">
        <v>14107.5</v>
      </c>
      <c r="I1150">
        <v>1652.13</v>
      </c>
      <c r="J1150">
        <v>5846.87</v>
      </c>
      <c r="K1150" s="5">
        <f>IF(SalesData[[#This Row],[Total Revenue]]=0,0,SalesData[[#This Row],[Profit]]/SalesData[[#This Row],[Total Revenue]])</f>
        <v>0.41445117845117846</v>
      </c>
      <c r="L1150" s="5" t="str">
        <f>TEXT(SalesData[[#This Row],[Date]],"mmm")</f>
        <v>May</v>
      </c>
      <c r="M1150">
        <f>YEAR(SalesData[[#This Row],[Date]])</f>
        <v>2023</v>
      </c>
      <c r="N1150">
        <f>WEEKNUM(SalesData[[#This Row],[Date]])</f>
        <v>18</v>
      </c>
      <c r="O1150" t="s">
        <v>2418</v>
      </c>
      <c r="P1150" t="s">
        <v>2523</v>
      </c>
      <c r="Q1150" t="s">
        <v>2524</v>
      </c>
    </row>
    <row r="1151" spans="1:17" x14ac:dyDescent="0.35">
      <c r="A1151" t="s">
        <v>705</v>
      </c>
      <c r="B1151" s="3">
        <v>45204</v>
      </c>
      <c r="C1151" t="s">
        <v>2013</v>
      </c>
      <c r="D1151" t="s">
        <v>2023</v>
      </c>
      <c r="E1151" s="8">
        <v>2476</v>
      </c>
      <c r="F1151">
        <v>6</v>
      </c>
      <c r="G1151">
        <v>5</v>
      </c>
      <c r="H1151" s="8">
        <v>14113.2</v>
      </c>
      <c r="I1151">
        <v>1274.57</v>
      </c>
      <c r="J1151">
        <v>6465.78</v>
      </c>
      <c r="K1151" s="5">
        <f>IF(SalesData[[#This Row],[Total Revenue]]=0,0,SalesData[[#This Row],[Profit]]/SalesData[[#This Row],[Total Revenue]])</f>
        <v>0.45813706317490005</v>
      </c>
      <c r="L1151" s="5" t="str">
        <f>TEXT(SalesData[[#This Row],[Date]],"mmm")</f>
        <v>Oct</v>
      </c>
      <c r="M1151">
        <f>YEAR(SalesData[[#This Row],[Date]])</f>
        <v>2023</v>
      </c>
      <c r="N1151">
        <f>WEEKNUM(SalesData[[#This Row],[Date]])</f>
        <v>40</v>
      </c>
      <c r="O1151" t="s">
        <v>2037</v>
      </c>
      <c r="P1151" t="s">
        <v>2522</v>
      </c>
      <c r="Q1151" t="s">
        <v>2524</v>
      </c>
    </row>
    <row r="1152" spans="1:17" x14ac:dyDescent="0.35">
      <c r="A1152" t="s">
        <v>318</v>
      </c>
      <c r="B1152" s="3">
        <v>45162</v>
      </c>
      <c r="C1152" t="s">
        <v>2020</v>
      </c>
      <c r="D1152" t="s">
        <v>2028</v>
      </c>
      <c r="E1152" s="8">
        <v>3718</v>
      </c>
      <c r="F1152">
        <v>4</v>
      </c>
      <c r="G1152">
        <v>5</v>
      </c>
      <c r="H1152" s="8">
        <v>14128.4</v>
      </c>
      <c r="I1152">
        <v>2850.8</v>
      </c>
      <c r="J1152">
        <v>2725.19</v>
      </c>
      <c r="K1152" s="5">
        <f>IF(SalesData[[#This Row],[Total Revenue]]=0,0,SalesData[[#This Row],[Profit]]/SalesData[[#This Row],[Total Revenue]])</f>
        <v>0.19288737578211262</v>
      </c>
      <c r="L1152" s="5" t="str">
        <f>TEXT(SalesData[[#This Row],[Date]],"mmm")</f>
        <v>Aug</v>
      </c>
      <c r="M1152">
        <f>YEAR(SalesData[[#This Row],[Date]])</f>
        <v>2023</v>
      </c>
      <c r="N1152">
        <f>WEEKNUM(SalesData[[#This Row],[Date]])</f>
        <v>34</v>
      </c>
      <c r="O1152" t="s">
        <v>2256</v>
      </c>
      <c r="P1152" t="s">
        <v>2523</v>
      </c>
      <c r="Q1152" t="s">
        <v>2526</v>
      </c>
    </row>
    <row r="1153" spans="1:17" x14ac:dyDescent="0.35">
      <c r="A1153" t="s">
        <v>62</v>
      </c>
      <c r="B1153" s="3">
        <v>45152</v>
      </c>
      <c r="C1153" t="s">
        <v>2016</v>
      </c>
      <c r="D1153" t="s">
        <v>2025</v>
      </c>
      <c r="E1153" s="8">
        <v>2978</v>
      </c>
      <c r="F1153">
        <v>5</v>
      </c>
      <c r="G1153">
        <v>5</v>
      </c>
      <c r="H1153" s="8">
        <v>14145.5</v>
      </c>
      <c r="I1153">
        <v>2156.41</v>
      </c>
      <c r="J1153">
        <v>3363.44</v>
      </c>
      <c r="K1153" s="5">
        <f>IF(SalesData[[#This Row],[Total Revenue]]=0,0,SalesData[[#This Row],[Profit]]/SalesData[[#This Row],[Total Revenue]])</f>
        <v>0.23777455727970026</v>
      </c>
      <c r="L1153" s="5" t="str">
        <f>TEXT(SalesData[[#This Row],[Date]],"mmm")</f>
        <v>Aug</v>
      </c>
      <c r="M1153">
        <f>YEAR(SalesData[[#This Row],[Date]])</f>
        <v>2023</v>
      </c>
      <c r="N1153">
        <f>WEEKNUM(SalesData[[#This Row],[Date]])</f>
        <v>33</v>
      </c>
      <c r="O1153" t="s">
        <v>2073</v>
      </c>
      <c r="P1153" t="s">
        <v>2522</v>
      </c>
      <c r="Q1153" t="s">
        <v>2527</v>
      </c>
    </row>
    <row r="1154" spans="1:17" x14ac:dyDescent="0.35">
      <c r="A1154" t="s">
        <v>1984</v>
      </c>
      <c r="B1154" s="3">
        <v>44993</v>
      </c>
      <c r="C1154" t="s">
        <v>2022</v>
      </c>
      <c r="D1154" t="s">
        <v>2024</v>
      </c>
      <c r="E1154" s="8">
        <v>2981</v>
      </c>
      <c r="F1154">
        <v>5</v>
      </c>
      <c r="G1154">
        <v>5</v>
      </c>
      <c r="H1154" s="8">
        <v>14159.75</v>
      </c>
      <c r="I1154">
        <v>1596.68</v>
      </c>
      <c r="J1154">
        <v>6176.36</v>
      </c>
      <c r="K1154" s="5">
        <f>IF(SalesData[[#This Row],[Total Revenue]]=0,0,SalesData[[#This Row],[Profit]]/SalesData[[#This Row],[Total Revenue]])</f>
        <v>0.43619131693709279</v>
      </c>
      <c r="L1154" s="5" t="str">
        <f>TEXT(SalesData[[#This Row],[Date]],"mmm")</f>
        <v>Mar</v>
      </c>
      <c r="M1154">
        <f>YEAR(SalesData[[#This Row],[Date]])</f>
        <v>2023</v>
      </c>
      <c r="N1154">
        <f>WEEKNUM(SalesData[[#This Row],[Date]])</f>
        <v>10</v>
      </c>
      <c r="O1154" t="s">
        <v>2126</v>
      </c>
      <c r="P1154" t="s">
        <v>2522</v>
      </c>
      <c r="Q1154" t="s">
        <v>2526</v>
      </c>
    </row>
    <row r="1155" spans="1:17" x14ac:dyDescent="0.35">
      <c r="A1155" t="s">
        <v>1428</v>
      </c>
      <c r="B1155" s="3">
        <v>44952</v>
      </c>
      <c r="C1155" t="s">
        <v>2015</v>
      </c>
      <c r="D1155" t="s">
        <v>2025</v>
      </c>
      <c r="E1155" s="8">
        <v>1417</v>
      </c>
      <c r="F1155">
        <v>10</v>
      </c>
      <c r="G1155">
        <v>0</v>
      </c>
      <c r="H1155" s="8">
        <v>14170</v>
      </c>
      <c r="I1155">
        <v>952.8</v>
      </c>
      <c r="J1155">
        <v>4642.04</v>
      </c>
      <c r="K1155" s="5">
        <f>IF(SalesData[[#This Row],[Total Revenue]]=0,0,SalesData[[#This Row],[Profit]]/SalesData[[#This Row],[Total Revenue]])</f>
        <v>0.32759633027522933</v>
      </c>
      <c r="L1155" s="5" t="str">
        <f>TEXT(SalesData[[#This Row],[Date]],"mmm")</f>
        <v>Jan</v>
      </c>
      <c r="M1155">
        <f>YEAR(SalesData[[#This Row],[Date]])</f>
        <v>2023</v>
      </c>
      <c r="N1155">
        <f>WEEKNUM(SalesData[[#This Row],[Date]])</f>
        <v>4</v>
      </c>
      <c r="O1155" t="s">
        <v>2170</v>
      </c>
      <c r="P1155" t="s">
        <v>2522</v>
      </c>
      <c r="Q1155" t="s">
        <v>2526</v>
      </c>
    </row>
    <row r="1156" spans="1:17" x14ac:dyDescent="0.35">
      <c r="A1156" t="s">
        <v>1810</v>
      </c>
      <c r="B1156" s="3">
        <v>45158</v>
      </c>
      <c r="C1156" t="s">
        <v>2014</v>
      </c>
      <c r="D1156" t="s">
        <v>2024</v>
      </c>
      <c r="E1156" s="8">
        <v>4170</v>
      </c>
      <c r="F1156">
        <v>4</v>
      </c>
      <c r="G1156">
        <v>15</v>
      </c>
      <c r="H1156" s="8">
        <v>14178</v>
      </c>
      <c r="I1156">
        <v>2391.7199999999998</v>
      </c>
      <c r="J1156">
        <v>4611.1099999999997</v>
      </c>
      <c r="K1156" s="5">
        <f>IF(SalesData[[#This Row],[Total Revenue]]=0,0,SalesData[[#This Row],[Profit]]/SalesData[[#This Row],[Total Revenue]])</f>
        <v>0.32522993370009873</v>
      </c>
      <c r="L1156" s="5" t="str">
        <f>TEXT(SalesData[[#This Row],[Date]],"mmm")</f>
        <v>Aug</v>
      </c>
      <c r="M1156">
        <f>YEAR(SalesData[[#This Row],[Date]])</f>
        <v>2023</v>
      </c>
      <c r="N1156">
        <f>WEEKNUM(SalesData[[#This Row],[Date]])</f>
        <v>34</v>
      </c>
      <c r="O1156" t="s">
        <v>2498</v>
      </c>
      <c r="P1156" t="s">
        <v>2523</v>
      </c>
      <c r="Q1156" t="s">
        <v>2524</v>
      </c>
    </row>
    <row r="1157" spans="1:17" x14ac:dyDescent="0.35">
      <c r="A1157" t="s">
        <v>836</v>
      </c>
      <c r="B1157" s="3">
        <v>45046</v>
      </c>
      <c r="C1157" t="s">
        <v>2021</v>
      </c>
      <c r="D1157" t="s">
        <v>2028</v>
      </c>
      <c r="E1157" s="8">
        <v>4181</v>
      </c>
      <c r="F1157">
        <v>4</v>
      </c>
      <c r="G1157">
        <v>15</v>
      </c>
      <c r="H1157" s="8">
        <v>14215.4</v>
      </c>
      <c r="I1157">
        <v>3210.8</v>
      </c>
      <c r="J1157">
        <v>1372.18</v>
      </c>
      <c r="K1157" s="5">
        <f>IF(SalesData[[#This Row],[Total Revenue]]=0,0,SalesData[[#This Row],[Profit]]/SalesData[[#This Row],[Total Revenue]])</f>
        <v>9.6527709385595906E-2</v>
      </c>
      <c r="L1157" s="5" t="str">
        <f>TEXT(SalesData[[#This Row],[Date]],"mmm")</f>
        <v>Apr</v>
      </c>
      <c r="M1157">
        <f>YEAR(SalesData[[#This Row],[Date]])</f>
        <v>2023</v>
      </c>
      <c r="N1157">
        <f>WEEKNUM(SalesData[[#This Row],[Date]])</f>
        <v>18</v>
      </c>
      <c r="O1157" t="s">
        <v>2081</v>
      </c>
      <c r="P1157" t="s">
        <v>2522</v>
      </c>
      <c r="Q1157" t="s">
        <v>2525</v>
      </c>
    </row>
    <row r="1158" spans="1:17" x14ac:dyDescent="0.35">
      <c r="A1158" t="s">
        <v>465</v>
      </c>
      <c r="B1158" s="3">
        <v>45098</v>
      </c>
      <c r="C1158" t="s">
        <v>2019</v>
      </c>
      <c r="D1158" t="s">
        <v>2027</v>
      </c>
      <c r="E1158" s="8">
        <v>2495</v>
      </c>
      <c r="F1158">
        <v>6</v>
      </c>
      <c r="G1158">
        <v>5</v>
      </c>
      <c r="H1158" s="8">
        <v>14221.5</v>
      </c>
      <c r="I1158">
        <v>1589.99</v>
      </c>
      <c r="J1158">
        <v>4681.57</v>
      </c>
      <c r="K1158" s="5">
        <f>IF(SalesData[[#This Row],[Total Revenue]]=0,0,SalesData[[#This Row],[Profit]]/SalesData[[#This Row],[Total Revenue]])</f>
        <v>0.32918960728474489</v>
      </c>
      <c r="L1158" s="5" t="str">
        <f>TEXT(SalesData[[#This Row],[Date]],"mmm")</f>
        <v>Jun</v>
      </c>
      <c r="M1158">
        <f>YEAR(SalesData[[#This Row],[Date]])</f>
        <v>2023</v>
      </c>
      <c r="N1158">
        <f>WEEKNUM(SalesData[[#This Row],[Date]])</f>
        <v>25</v>
      </c>
      <c r="O1158" t="s">
        <v>2322</v>
      </c>
      <c r="P1158" t="s">
        <v>2522</v>
      </c>
      <c r="Q1158" t="s">
        <v>2525</v>
      </c>
    </row>
    <row r="1159" spans="1:17" x14ac:dyDescent="0.35">
      <c r="A1159" t="s">
        <v>443</v>
      </c>
      <c r="B1159" s="3">
        <v>45232</v>
      </c>
      <c r="C1159" t="s">
        <v>2022</v>
      </c>
      <c r="D1159" t="s">
        <v>2024</v>
      </c>
      <c r="E1159" s="8">
        <v>2140</v>
      </c>
      <c r="F1159">
        <v>7</v>
      </c>
      <c r="G1159">
        <v>5</v>
      </c>
      <c r="H1159" s="8">
        <v>14231</v>
      </c>
      <c r="I1159">
        <v>1610.09</v>
      </c>
      <c r="J1159">
        <v>2960.39</v>
      </c>
      <c r="K1159" s="5">
        <f>IF(SalesData[[#This Row],[Total Revenue]]=0,0,SalesData[[#This Row],[Profit]]/SalesData[[#This Row],[Total Revenue]])</f>
        <v>0.20802403204272363</v>
      </c>
      <c r="L1159" s="5" t="str">
        <f>TEXT(SalesData[[#This Row],[Date]],"mmm")</f>
        <v>Nov</v>
      </c>
      <c r="M1159">
        <f>YEAR(SalesData[[#This Row],[Date]])</f>
        <v>2023</v>
      </c>
      <c r="N1159">
        <f>WEEKNUM(SalesData[[#This Row],[Date]])</f>
        <v>44</v>
      </c>
      <c r="O1159" t="s">
        <v>2300</v>
      </c>
      <c r="P1159" t="s">
        <v>2522</v>
      </c>
      <c r="Q1159" t="s">
        <v>2526</v>
      </c>
    </row>
    <row r="1160" spans="1:17" x14ac:dyDescent="0.35">
      <c r="A1160" t="s">
        <v>124</v>
      </c>
      <c r="B1160" s="3">
        <v>45258</v>
      </c>
      <c r="C1160" t="s">
        <v>2016</v>
      </c>
      <c r="D1160" t="s">
        <v>2025</v>
      </c>
      <c r="E1160" s="8">
        <v>3749</v>
      </c>
      <c r="F1160">
        <v>4</v>
      </c>
      <c r="G1160">
        <v>5</v>
      </c>
      <c r="H1160" s="8">
        <v>14246.2</v>
      </c>
      <c r="I1160">
        <v>2633.63</v>
      </c>
      <c r="J1160">
        <v>3711.66</v>
      </c>
      <c r="K1160" s="5">
        <f>IF(SalesData[[#This Row],[Total Revenue]]=0,0,SalesData[[#This Row],[Profit]]/SalesData[[#This Row],[Total Revenue]])</f>
        <v>0.26053684491302942</v>
      </c>
      <c r="L1160" s="5" t="str">
        <f>TEXT(SalesData[[#This Row],[Date]],"mmm")</f>
        <v>Nov</v>
      </c>
      <c r="M1160">
        <f>YEAR(SalesData[[#This Row],[Date]])</f>
        <v>2023</v>
      </c>
      <c r="N1160">
        <f>WEEKNUM(SalesData[[#This Row],[Date]])</f>
        <v>48</v>
      </c>
      <c r="O1160" t="s">
        <v>2095</v>
      </c>
      <c r="P1160" t="s">
        <v>2522</v>
      </c>
      <c r="Q1160" t="s">
        <v>2527</v>
      </c>
    </row>
    <row r="1161" spans="1:17" x14ac:dyDescent="0.35">
      <c r="A1161" t="s">
        <v>377</v>
      </c>
      <c r="B1161" s="3">
        <v>45154</v>
      </c>
      <c r="C1161" t="s">
        <v>2020</v>
      </c>
      <c r="D1161" t="s">
        <v>2028</v>
      </c>
      <c r="E1161" s="8">
        <v>1759</v>
      </c>
      <c r="F1161">
        <v>9</v>
      </c>
      <c r="G1161">
        <v>10</v>
      </c>
      <c r="H1161" s="8">
        <v>14247.9</v>
      </c>
      <c r="I1161">
        <v>918.73</v>
      </c>
      <c r="J1161">
        <v>5979.35</v>
      </c>
      <c r="K1161" s="5">
        <f>IF(SalesData[[#This Row],[Total Revenue]]=0,0,SalesData[[#This Row],[Profit]]/SalesData[[#This Row],[Total Revenue]])</f>
        <v>0.41966535419254769</v>
      </c>
      <c r="L1161" s="5" t="str">
        <f>TEXT(SalesData[[#This Row],[Date]],"mmm")</f>
        <v>Aug</v>
      </c>
      <c r="M1161">
        <f>YEAR(SalesData[[#This Row],[Date]])</f>
        <v>2023</v>
      </c>
      <c r="N1161">
        <f>WEEKNUM(SalesData[[#This Row],[Date]])</f>
        <v>33</v>
      </c>
      <c r="O1161" t="s">
        <v>2286</v>
      </c>
      <c r="P1161" t="s">
        <v>2523</v>
      </c>
      <c r="Q1161" t="s">
        <v>2524</v>
      </c>
    </row>
    <row r="1162" spans="1:17" x14ac:dyDescent="0.35">
      <c r="A1162" t="s">
        <v>737</v>
      </c>
      <c r="B1162" s="3">
        <v>45084</v>
      </c>
      <c r="C1162" t="s">
        <v>2017</v>
      </c>
      <c r="D1162" t="s">
        <v>2026</v>
      </c>
      <c r="E1162" s="8">
        <v>3564</v>
      </c>
      <c r="F1162">
        <v>4</v>
      </c>
      <c r="G1162">
        <v>0</v>
      </c>
      <c r="H1162" s="8">
        <v>14256</v>
      </c>
      <c r="I1162">
        <v>2797.69</v>
      </c>
      <c r="J1162">
        <v>3065.23</v>
      </c>
      <c r="K1162" s="5">
        <f>IF(SalesData[[#This Row],[Total Revenue]]=0,0,SalesData[[#This Row],[Profit]]/SalesData[[#This Row],[Total Revenue]])</f>
        <v>0.21501332772166107</v>
      </c>
      <c r="L1162" s="5" t="str">
        <f>TEXT(SalesData[[#This Row],[Date]],"mmm")</f>
        <v>Jun</v>
      </c>
      <c r="M1162">
        <f>YEAR(SalesData[[#This Row],[Date]])</f>
        <v>2023</v>
      </c>
      <c r="N1162">
        <f>WEEKNUM(SalesData[[#This Row],[Date]])</f>
        <v>23</v>
      </c>
      <c r="O1162" t="s">
        <v>2372</v>
      </c>
      <c r="P1162" t="s">
        <v>2523</v>
      </c>
      <c r="Q1162" t="s">
        <v>2527</v>
      </c>
    </row>
    <row r="1163" spans="1:17" x14ac:dyDescent="0.35">
      <c r="A1163" t="s">
        <v>22</v>
      </c>
      <c r="B1163" s="3">
        <v>45154</v>
      </c>
      <c r="C1163" t="s">
        <v>2016</v>
      </c>
      <c r="D1163" t="s">
        <v>2025</v>
      </c>
      <c r="E1163" s="8">
        <v>4197</v>
      </c>
      <c r="F1163">
        <v>4</v>
      </c>
      <c r="G1163">
        <v>15</v>
      </c>
      <c r="H1163" s="8">
        <v>14269.8</v>
      </c>
      <c r="I1163">
        <v>2145.54</v>
      </c>
      <c r="J1163">
        <v>5687.63</v>
      </c>
      <c r="K1163" s="5">
        <f>IF(SalesData[[#This Row],[Total Revenue]]=0,0,SalesData[[#This Row],[Profit]]/SalesData[[#This Row],[Total Revenue]])</f>
        <v>0.39857811602124771</v>
      </c>
      <c r="L1163" s="5" t="str">
        <f>TEXT(SalesData[[#This Row],[Date]],"mmm")</f>
        <v>Aug</v>
      </c>
      <c r="M1163">
        <f>YEAR(SalesData[[#This Row],[Date]])</f>
        <v>2023</v>
      </c>
      <c r="N1163">
        <f>WEEKNUM(SalesData[[#This Row],[Date]])</f>
        <v>33</v>
      </c>
      <c r="O1163" t="s">
        <v>2038</v>
      </c>
      <c r="P1163" t="s">
        <v>2523</v>
      </c>
      <c r="Q1163" t="s">
        <v>2527</v>
      </c>
    </row>
    <row r="1164" spans="1:17" x14ac:dyDescent="0.35">
      <c r="A1164" t="s">
        <v>616</v>
      </c>
      <c r="B1164" s="3">
        <v>44946</v>
      </c>
      <c r="C1164" t="s">
        <v>2022</v>
      </c>
      <c r="D1164" t="s">
        <v>2024</v>
      </c>
      <c r="E1164" s="8">
        <v>4761</v>
      </c>
      <c r="F1164">
        <v>3</v>
      </c>
      <c r="G1164">
        <v>0</v>
      </c>
      <c r="H1164" s="8">
        <v>14283</v>
      </c>
      <c r="I1164">
        <v>2644.2</v>
      </c>
      <c r="J1164">
        <v>6350.39</v>
      </c>
      <c r="K1164" s="5">
        <f>IF(SalesData[[#This Row],[Total Revenue]]=0,0,SalesData[[#This Row],[Profit]]/SalesData[[#This Row],[Total Revenue]])</f>
        <v>0.44461177623748516</v>
      </c>
      <c r="L1164" s="5" t="str">
        <f>TEXT(SalesData[[#This Row],[Date]],"mmm")</f>
        <v>Jan</v>
      </c>
      <c r="M1164">
        <f>YEAR(SalesData[[#This Row],[Date]])</f>
        <v>2023</v>
      </c>
      <c r="N1164">
        <f>WEEKNUM(SalesData[[#This Row],[Date]])</f>
        <v>3</v>
      </c>
      <c r="O1164" t="s">
        <v>2349</v>
      </c>
      <c r="P1164" t="s">
        <v>2522</v>
      </c>
      <c r="Q1164" t="s">
        <v>2524</v>
      </c>
    </row>
    <row r="1165" spans="1:17" x14ac:dyDescent="0.35">
      <c r="A1165" t="s">
        <v>1384</v>
      </c>
      <c r="B1165" s="3">
        <v>44973</v>
      </c>
      <c r="C1165" t="s">
        <v>2019</v>
      </c>
      <c r="D1165" t="s">
        <v>2027</v>
      </c>
      <c r="E1165" s="8">
        <v>1587</v>
      </c>
      <c r="F1165">
        <v>10</v>
      </c>
      <c r="G1165">
        <v>10</v>
      </c>
      <c r="H1165" s="8">
        <v>14283</v>
      </c>
      <c r="I1165">
        <v>1194.04</v>
      </c>
      <c r="J1165">
        <v>2342.56</v>
      </c>
      <c r="K1165" s="5">
        <f>IF(SalesData[[#This Row],[Total Revenue]]=0,0,SalesData[[#This Row],[Profit]]/SalesData[[#This Row],[Total Revenue]])</f>
        <v>0.16401036196877405</v>
      </c>
      <c r="L1165" s="5" t="str">
        <f>TEXT(SalesData[[#This Row],[Date]],"mmm")</f>
        <v>Feb</v>
      </c>
      <c r="M1165">
        <f>YEAR(SalesData[[#This Row],[Date]])</f>
        <v>2023</v>
      </c>
      <c r="N1165">
        <f>WEEKNUM(SalesData[[#This Row],[Date]])</f>
        <v>7</v>
      </c>
      <c r="O1165" t="s">
        <v>2469</v>
      </c>
      <c r="P1165" t="s">
        <v>2522</v>
      </c>
      <c r="Q1165" t="s">
        <v>2525</v>
      </c>
    </row>
    <row r="1166" spans="1:17" x14ac:dyDescent="0.35">
      <c r="A1166" t="s">
        <v>1448</v>
      </c>
      <c r="B1166" s="3">
        <v>45051</v>
      </c>
      <c r="C1166" t="s">
        <v>2022</v>
      </c>
      <c r="D1166" t="s">
        <v>2024</v>
      </c>
      <c r="E1166" s="8">
        <v>1588</v>
      </c>
      <c r="F1166">
        <v>10</v>
      </c>
      <c r="G1166">
        <v>10</v>
      </c>
      <c r="H1166" s="8">
        <v>14292</v>
      </c>
      <c r="I1166">
        <v>1145.55</v>
      </c>
      <c r="J1166">
        <v>2836.46</v>
      </c>
      <c r="K1166" s="5">
        <f>IF(SalesData[[#This Row],[Total Revenue]]=0,0,SalesData[[#This Row],[Profit]]/SalesData[[#This Row],[Total Revenue]])</f>
        <v>0.19846487545479988</v>
      </c>
      <c r="L1166" s="5" t="str">
        <f>TEXT(SalesData[[#This Row],[Date]],"mmm")</f>
        <v>May</v>
      </c>
      <c r="M1166">
        <f>YEAR(SalesData[[#This Row],[Date]])</f>
        <v>2023</v>
      </c>
      <c r="N1166">
        <f>WEEKNUM(SalesData[[#This Row],[Date]])</f>
        <v>18</v>
      </c>
      <c r="O1166" t="s">
        <v>2194</v>
      </c>
      <c r="P1166" t="s">
        <v>2523</v>
      </c>
      <c r="Q1166" t="s">
        <v>2527</v>
      </c>
    </row>
    <row r="1167" spans="1:17" x14ac:dyDescent="0.35">
      <c r="A1167" t="s">
        <v>607</v>
      </c>
      <c r="B1167" s="3">
        <v>44964</v>
      </c>
      <c r="C1167" t="s">
        <v>2017</v>
      </c>
      <c r="D1167" t="s">
        <v>2026</v>
      </c>
      <c r="E1167" s="8">
        <v>3185</v>
      </c>
      <c r="F1167">
        <v>5</v>
      </c>
      <c r="G1167">
        <v>10</v>
      </c>
      <c r="H1167" s="8">
        <v>14332.5</v>
      </c>
      <c r="I1167">
        <v>1626.76</v>
      </c>
      <c r="J1167">
        <v>6198.69</v>
      </c>
      <c r="K1167" s="5">
        <f>IF(SalesData[[#This Row],[Total Revenue]]=0,0,SalesData[[#This Row],[Profit]]/SalesData[[#This Row],[Total Revenue]])</f>
        <v>0.43249188906331759</v>
      </c>
      <c r="L1167" s="5" t="str">
        <f>TEXT(SalesData[[#This Row],[Date]],"mmm")</f>
        <v>Feb</v>
      </c>
      <c r="M1167">
        <f>YEAR(SalesData[[#This Row],[Date]])</f>
        <v>2023</v>
      </c>
      <c r="N1167">
        <f>WEEKNUM(SalesData[[#This Row],[Date]])</f>
        <v>6</v>
      </c>
      <c r="O1167" t="s">
        <v>2372</v>
      </c>
      <c r="P1167" t="s">
        <v>2523</v>
      </c>
      <c r="Q1167" t="s">
        <v>2525</v>
      </c>
    </row>
    <row r="1168" spans="1:17" x14ac:dyDescent="0.35">
      <c r="A1168" t="s">
        <v>1576</v>
      </c>
      <c r="B1168" s="3">
        <v>45110</v>
      </c>
      <c r="C1168" t="s">
        <v>2014</v>
      </c>
      <c r="D1168" t="s">
        <v>2024</v>
      </c>
      <c r="E1168" s="8">
        <v>1434</v>
      </c>
      <c r="F1168">
        <v>10</v>
      </c>
      <c r="G1168">
        <v>0</v>
      </c>
      <c r="H1168" s="8">
        <v>14340</v>
      </c>
      <c r="I1168">
        <v>799.45</v>
      </c>
      <c r="J1168">
        <v>6345.51</v>
      </c>
      <c r="K1168" s="5">
        <f>IF(SalesData[[#This Row],[Total Revenue]]=0,0,SalesData[[#This Row],[Profit]]/SalesData[[#This Row],[Total Revenue]])</f>
        <v>0.44250418410041842</v>
      </c>
      <c r="L1168" s="5" t="str">
        <f>TEXT(SalesData[[#This Row],[Date]],"mmm")</f>
        <v>Jul</v>
      </c>
      <c r="M1168">
        <f>YEAR(SalesData[[#This Row],[Date]])</f>
        <v>2023</v>
      </c>
      <c r="N1168">
        <f>WEEKNUM(SalesData[[#This Row],[Date]])</f>
        <v>27</v>
      </c>
      <c r="O1168" t="s">
        <v>2081</v>
      </c>
      <c r="P1168" t="s">
        <v>2523</v>
      </c>
      <c r="Q1168" t="s">
        <v>2526</v>
      </c>
    </row>
    <row r="1169" spans="1:17" x14ac:dyDescent="0.35">
      <c r="A1169" t="s">
        <v>1250</v>
      </c>
      <c r="B1169" s="3">
        <v>45212</v>
      </c>
      <c r="C1169" t="s">
        <v>2015</v>
      </c>
      <c r="D1169" t="s">
        <v>2025</v>
      </c>
      <c r="E1169" s="8">
        <v>2868</v>
      </c>
      <c r="F1169">
        <v>5</v>
      </c>
      <c r="G1169">
        <v>0</v>
      </c>
      <c r="H1169" s="8">
        <v>14340</v>
      </c>
      <c r="I1169">
        <v>1859.62</v>
      </c>
      <c r="J1169">
        <v>5041.8900000000003</v>
      </c>
      <c r="K1169" s="5">
        <f>IF(SalesData[[#This Row],[Total Revenue]]=0,0,SalesData[[#This Row],[Profit]]/SalesData[[#This Row],[Total Revenue]])</f>
        <v>0.35159623430962345</v>
      </c>
      <c r="L1169" s="5" t="str">
        <f>TEXT(SalesData[[#This Row],[Date]],"mmm")</f>
        <v>Oct</v>
      </c>
      <c r="M1169">
        <f>YEAR(SalesData[[#This Row],[Date]])</f>
        <v>2023</v>
      </c>
      <c r="N1169">
        <f>WEEKNUM(SalesData[[#This Row],[Date]])</f>
        <v>41</v>
      </c>
      <c r="O1169" t="s">
        <v>2488</v>
      </c>
      <c r="P1169" t="s">
        <v>2523</v>
      </c>
      <c r="Q1169" t="s">
        <v>2525</v>
      </c>
    </row>
    <row r="1170" spans="1:17" x14ac:dyDescent="0.35">
      <c r="A1170" t="s">
        <v>1887</v>
      </c>
      <c r="B1170" s="3">
        <v>44931</v>
      </c>
      <c r="C1170" t="s">
        <v>2020</v>
      </c>
      <c r="D1170" t="s">
        <v>2028</v>
      </c>
      <c r="E1170" s="8">
        <v>3775</v>
      </c>
      <c r="F1170">
        <v>4</v>
      </c>
      <c r="G1170">
        <v>5</v>
      </c>
      <c r="H1170" s="8">
        <v>14345</v>
      </c>
      <c r="I1170">
        <v>2214.84</v>
      </c>
      <c r="J1170">
        <v>5485.64</v>
      </c>
      <c r="K1170" s="5">
        <f>IF(SalesData[[#This Row],[Total Revenue]]=0,0,SalesData[[#This Row],[Profit]]/SalesData[[#This Row],[Total Revenue]])</f>
        <v>0.38240780759846638</v>
      </c>
      <c r="L1170" s="5" t="str">
        <f>TEXT(SalesData[[#This Row],[Date]],"mmm")</f>
        <v>Jan</v>
      </c>
      <c r="M1170">
        <f>YEAR(SalesData[[#This Row],[Date]])</f>
        <v>2023</v>
      </c>
      <c r="N1170">
        <f>WEEKNUM(SalesData[[#This Row],[Date]])</f>
        <v>1</v>
      </c>
      <c r="O1170" t="s">
        <v>2338</v>
      </c>
      <c r="P1170" t="s">
        <v>2523</v>
      </c>
      <c r="Q1170" t="s">
        <v>2526</v>
      </c>
    </row>
    <row r="1171" spans="1:17" x14ac:dyDescent="0.35">
      <c r="A1171" t="s">
        <v>1673</v>
      </c>
      <c r="B1171" s="3">
        <v>44976</v>
      </c>
      <c r="C1171" t="s">
        <v>2013</v>
      </c>
      <c r="D1171" t="s">
        <v>2023</v>
      </c>
      <c r="E1171" s="8">
        <v>2874</v>
      </c>
      <c r="F1171">
        <v>5</v>
      </c>
      <c r="G1171">
        <v>0</v>
      </c>
      <c r="H1171" s="8">
        <v>14370</v>
      </c>
      <c r="I1171">
        <v>1642.15</v>
      </c>
      <c r="J1171">
        <v>6159.26</v>
      </c>
      <c r="K1171" s="5">
        <f>IF(SalesData[[#This Row],[Total Revenue]]=0,0,SalesData[[#This Row],[Profit]]/SalesData[[#This Row],[Total Revenue]])</f>
        <v>0.4286193458594294</v>
      </c>
      <c r="L1171" s="5" t="str">
        <f>TEXT(SalesData[[#This Row],[Date]],"mmm")</f>
        <v>Feb</v>
      </c>
      <c r="M1171">
        <f>YEAR(SalesData[[#This Row],[Date]])</f>
        <v>2023</v>
      </c>
      <c r="N1171">
        <f>WEEKNUM(SalesData[[#This Row],[Date]])</f>
        <v>8</v>
      </c>
      <c r="O1171" t="s">
        <v>2207</v>
      </c>
      <c r="P1171" t="s">
        <v>2523</v>
      </c>
      <c r="Q1171" t="s">
        <v>2524</v>
      </c>
    </row>
    <row r="1172" spans="1:17" x14ac:dyDescent="0.35">
      <c r="A1172" t="s">
        <v>1373</v>
      </c>
      <c r="B1172" s="3">
        <v>44990</v>
      </c>
      <c r="C1172" t="s">
        <v>2015</v>
      </c>
      <c r="D1172" t="s">
        <v>2025</v>
      </c>
      <c r="E1172" s="8">
        <v>3998</v>
      </c>
      <c r="F1172">
        <v>4</v>
      </c>
      <c r="G1172">
        <v>10</v>
      </c>
      <c r="H1172" s="8">
        <v>14392.8</v>
      </c>
      <c r="I1172">
        <v>2031.82</v>
      </c>
      <c r="J1172">
        <v>6265.51</v>
      </c>
      <c r="K1172" s="5">
        <f>IF(SalesData[[#This Row],[Total Revenue]]=0,0,SalesData[[#This Row],[Profit]]/SalesData[[#This Row],[Total Revenue]])</f>
        <v>0.43532252237229729</v>
      </c>
      <c r="L1172" s="5" t="str">
        <f>TEXT(SalesData[[#This Row],[Date]],"mmm")</f>
        <v>Mar</v>
      </c>
      <c r="M1172">
        <f>YEAR(SalesData[[#This Row],[Date]])</f>
        <v>2023</v>
      </c>
      <c r="N1172">
        <f>WEEKNUM(SalesData[[#This Row],[Date]])</f>
        <v>10</v>
      </c>
      <c r="O1172" t="s">
        <v>2074</v>
      </c>
      <c r="P1172" t="s">
        <v>2522</v>
      </c>
      <c r="Q1172" t="s">
        <v>2526</v>
      </c>
    </row>
    <row r="1173" spans="1:17" x14ac:dyDescent="0.35">
      <c r="A1173" t="s">
        <v>1038</v>
      </c>
      <c r="B1173" s="3">
        <v>45117</v>
      </c>
      <c r="C1173" t="s">
        <v>2015</v>
      </c>
      <c r="D1173" t="s">
        <v>2025</v>
      </c>
      <c r="E1173" s="8">
        <v>4244</v>
      </c>
      <c r="F1173">
        <v>4</v>
      </c>
      <c r="G1173">
        <v>15</v>
      </c>
      <c r="H1173" s="8">
        <v>14429.6</v>
      </c>
      <c r="I1173">
        <v>3171.58</v>
      </c>
      <c r="J1173">
        <v>1743.28</v>
      </c>
      <c r="K1173" s="5">
        <f>IF(SalesData[[#This Row],[Total Revenue]]=0,0,SalesData[[#This Row],[Profit]]/SalesData[[#This Row],[Total Revenue]])</f>
        <v>0.1208127737428619</v>
      </c>
      <c r="L1173" s="5" t="str">
        <f>TEXT(SalesData[[#This Row],[Date]],"mmm")</f>
        <v>Jul</v>
      </c>
      <c r="M1173">
        <f>YEAR(SalesData[[#This Row],[Date]])</f>
        <v>2023</v>
      </c>
      <c r="N1173">
        <f>WEEKNUM(SalesData[[#This Row],[Date]])</f>
        <v>28</v>
      </c>
      <c r="O1173" t="s">
        <v>2331</v>
      </c>
      <c r="P1173" t="s">
        <v>2523</v>
      </c>
      <c r="Q1173" t="s">
        <v>2525</v>
      </c>
    </row>
    <row r="1174" spans="1:17" x14ac:dyDescent="0.35">
      <c r="A1174" t="s">
        <v>1803</v>
      </c>
      <c r="B1174" s="3">
        <v>45052</v>
      </c>
      <c r="C1174" t="s">
        <v>2021</v>
      </c>
      <c r="D1174" t="s">
        <v>2028</v>
      </c>
      <c r="E1174" s="8">
        <v>1700</v>
      </c>
      <c r="F1174">
        <v>10</v>
      </c>
      <c r="G1174">
        <v>15</v>
      </c>
      <c r="H1174" s="8">
        <v>14450</v>
      </c>
      <c r="I1174">
        <v>1298.8499999999999</v>
      </c>
      <c r="J1174">
        <v>1461.54</v>
      </c>
      <c r="K1174" s="5">
        <f>IF(SalesData[[#This Row],[Total Revenue]]=0,0,SalesData[[#This Row],[Profit]]/SalesData[[#This Row],[Total Revenue]])</f>
        <v>0.10114463667820069</v>
      </c>
      <c r="L1174" s="5" t="str">
        <f>TEXT(SalesData[[#This Row],[Date]],"mmm")</f>
        <v>May</v>
      </c>
      <c r="M1174">
        <f>YEAR(SalesData[[#This Row],[Date]])</f>
        <v>2023</v>
      </c>
      <c r="N1174">
        <f>WEEKNUM(SalesData[[#This Row],[Date]])</f>
        <v>18</v>
      </c>
      <c r="O1174" t="s">
        <v>2369</v>
      </c>
      <c r="P1174" t="s">
        <v>2522</v>
      </c>
      <c r="Q1174" t="s">
        <v>2527</v>
      </c>
    </row>
    <row r="1175" spans="1:17" x14ac:dyDescent="0.35">
      <c r="A1175" t="s">
        <v>946</v>
      </c>
      <c r="B1175" s="3">
        <v>45209</v>
      </c>
      <c r="C1175" t="s">
        <v>2015</v>
      </c>
      <c r="D1175" t="s">
        <v>2025</v>
      </c>
      <c r="E1175" s="8">
        <v>3221</v>
      </c>
      <c r="F1175">
        <v>5</v>
      </c>
      <c r="G1175">
        <v>10</v>
      </c>
      <c r="H1175" s="8">
        <v>14494.5</v>
      </c>
      <c r="I1175">
        <v>1810.5</v>
      </c>
      <c r="J1175">
        <v>5441.98</v>
      </c>
      <c r="K1175" s="5">
        <f>IF(SalesData[[#This Row],[Total Revenue]]=0,0,SalesData[[#This Row],[Profit]]/SalesData[[#This Row],[Total Revenue]])</f>
        <v>0.37545137810893786</v>
      </c>
      <c r="L1175" s="5" t="str">
        <f>TEXT(SalesData[[#This Row],[Date]],"mmm")</f>
        <v>Oct</v>
      </c>
      <c r="M1175">
        <f>YEAR(SalesData[[#This Row],[Date]])</f>
        <v>2023</v>
      </c>
      <c r="N1175">
        <f>WEEKNUM(SalesData[[#This Row],[Date]])</f>
        <v>41</v>
      </c>
      <c r="O1175" t="s">
        <v>2043</v>
      </c>
      <c r="P1175" t="s">
        <v>2522</v>
      </c>
      <c r="Q1175" t="s">
        <v>2525</v>
      </c>
    </row>
    <row r="1176" spans="1:17" x14ac:dyDescent="0.35">
      <c r="A1176" t="s">
        <v>2005</v>
      </c>
      <c r="B1176" s="3">
        <v>45211</v>
      </c>
      <c r="C1176" t="s">
        <v>2015</v>
      </c>
      <c r="D1176" t="s">
        <v>2025</v>
      </c>
      <c r="E1176" s="8">
        <v>1615</v>
      </c>
      <c r="F1176">
        <v>9</v>
      </c>
      <c r="G1176">
        <v>0</v>
      </c>
      <c r="H1176" s="8">
        <v>14535</v>
      </c>
      <c r="I1176">
        <v>922.76</v>
      </c>
      <c r="J1176">
        <v>6230.16</v>
      </c>
      <c r="K1176" s="5">
        <f>IF(SalesData[[#This Row],[Total Revenue]]=0,0,SalesData[[#This Row],[Profit]]/SalesData[[#This Row],[Total Revenue]])</f>
        <v>0.42863157894736842</v>
      </c>
      <c r="L1176" s="5" t="str">
        <f>TEXT(SalesData[[#This Row],[Date]],"mmm")</f>
        <v>Oct</v>
      </c>
      <c r="M1176">
        <f>YEAR(SalesData[[#This Row],[Date]])</f>
        <v>2023</v>
      </c>
      <c r="N1176">
        <f>WEEKNUM(SalesData[[#This Row],[Date]])</f>
        <v>41</v>
      </c>
      <c r="O1176" t="s">
        <v>2370</v>
      </c>
      <c r="P1176" t="s">
        <v>2523</v>
      </c>
      <c r="Q1176" t="s">
        <v>2526</v>
      </c>
    </row>
    <row r="1177" spans="1:17" x14ac:dyDescent="0.35">
      <c r="A1177" t="s">
        <v>1787</v>
      </c>
      <c r="B1177" s="3">
        <v>45150</v>
      </c>
      <c r="C1177" t="s">
        <v>2013</v>
      </c>
      <c r="D1177" t="s">
        <v>2023</v>
      </c>
      <c r="E1177" s="8">
        <v>2077</v>
      </c>
      <c r="F1177">
        <v>7</v>
      </c>
      <c r="G1177">
        <v>0</v>
      </c>
      <c r="H1177" s="8">
        <v>14539</v>
      </c>
      <c r="I1177">
        <v>1231.81</v>
      </c>
      <c r="J1177">
        <v>5916.35</v>
      </c>
      <c r="K1177" s="5">
        <f>IF(SalesData[[#This Row],[Total Revenue]]=0,0,SalesData[[#This Row],[Profit]]/SalesData[[#This Row],[Total Revenue]])</f>
        <v>0.40692963752665245</v>
      </c>
      <c r="L1177" s="5" t="str">
        <f>TEXT(SalesData[[#This Row],[Date]],"mmm")</f>
        <v>Aug</v>
      </c>
      <c r="M1177">
        <f>YEAR(SalesData[[#This Row],[Date]])</f>
        <v>2023</v>
      </c>
      <c r="N1177">
        <f>WEEKNUM(SalesData[[#This Row],[Date]])</f>
        <v>32</v>
      </c>
      <c r="O1177" t="s">
        <v>2296</v>
      </c>
      <c r="P1177" t="s">
        <v>2522</v>
      </c>
      <c r="Q1177" t="s">
        <v>2527</v>
      </c>
    </row>
    <row r="1178" spans="1:17" x14ac:dyDescent="0.35">
      <c r="A1178" t="s">
        <v>1450</v>
      </c>
      <c r="B1178" s="3">
        <v>45192</v>
      </c>
      <c r="C1178" t="s">
        <v>2018</v>
      </c>
      <c r="D1178" t="s">
        <v>2026</v>
      </c>
      <c r="E1178" s="8">
        <v>3233</v>
      </c>
      <c r="F1178">
        <v>5</v>
      </c>
      <c r="G1178">
        <v>10</v>
      </c>
      <c r="H1178" s="8">
        <v>14548.5</v>
      </c>
      <c r="I1178">
        <v>2352.27</v>
      </c>
      <c r="J1178">
        <v>2787.16</v>
      </c>
      <c r="K1178" s="5">
        <f>IF(SalesData[[#This Row],[Total Revenue]]=0,0,SalesData[[#This Row],[Profit]]/SalesData[[#This Row],[Total Revenue]])</f>
        <v>0.1915771385366189</v>
      </c>
      <c r="L1178" s="5" t="str">
        <f>TEXT(SalesData[[#This Row],[Date]],"mmm")</f>
        <v>Sep</v>
      </c>
      <c r="M1178">
        <f>YEAR(SalesData[[#This Row],[Date]])</f>
        <v>2023</v>
      </c>
      <c r="N1178">
        <f>WEEKNUM(SalesData[[#This Row],[Date]])</f>
        <v>38</v>
      </c>
      <c r="O1178" t="s">
        <v>2423</v>
      </c>
      <c r="P1178" t="s">
        <v>2522</v>
      </c>
      <c r="Q1178" t="s">
        <v>2525</v>
      </c>
    </row>
    <row r="1179" spans="1:17" x14ac:dyDescent="0.35">
      <c r="A1179" t="s">
        <v>1525</v>
      </c>
      <c r="B1179" s="3">
        <v>45160</v>
      </c>
      <c r="C1179" t="s">
        <v>2019</v>
      </c>
      <c r="D1179" t="s">
        <v>2027</v>
      </c>
      <c r="E1179" s="8">
        <v>1457</v>
      </c>
      <c r="F1179">
        <v>10</v>
      </c>
      <c r="G1179">
        <v>0</v>
      </c>
      <c r="H1179" s="8">
        <v>14570</v>
      </c>
      <c r="I1179">
        <v>904.14</v>
      </c>
      <c r="J1179">
        <v>5528.55</v>
      </c>
      <c r="K1179" s="5">
        <f>IF(SalesData[[#This Row],[Total Revenue]]=0,0,SalesData[[#This Row],[Profit]]/SalesData[[#This Row],[Total Revenue]])</f>
        <v>0.37944749485243651</v>
      </c>
      <c r="L1179" s="5" t="str">
        <f>TEXT(SalesData[[#This Row],[Date]],"mmm")</f>
        <v>Aug</v>
      </c>
      <c r="M1179">
        <f>YEAR(SalesData[[#This Row],[Date]])</f>
        <v>2023</v>
      </c>
      <c r="N1179">
        <f>WEEKNUM(SalesData[[#This Row],[Date]])</f>
        <v>34</v>
      </c>
      <c r="O1179" t="s">
        <v>2470</v>
      </c>
      <c r="P1179" t="s">
        <v>2523</v>
      </c>
      <c r="Q1179" t="s">
        <v>2525</v>
      </c>
    </row>
    <row r="1180" spans="1:17" x14ac:dyDescent="0.35">
      <c r="A1180" t="s">
        <v>400</v>
      </c>
      <c r="B1180" s="3">
        <v>45291</v>
      </c>
      <c r="C1180" t="s">
        <v>2015</v>
      </c>
      <c r="D1180" t="s">
        <v>2025</v>
      </c>
      <c r="E1180" s="8">
        <v>1799</v>
      </c>
      <c r="F1180">
        <v>9</v>
      </c>
      <c r="G1180">
        <v>10</v>
      </c>
      <c r="H1180" s="8">
        <v>14571.9</v>
      </c>
      <c r="I1180">
        <v>1263.07</v>
      </c>
      <c r="J1180">
        <v>3204.23</v>
      </c>
      <c r="K1180" s="5">
        <f>IF(SalesData[[#This Row],[Total Revenue]]=0,0,SalesData[[#This Row],[Profit]]/SalesData[[#This Row],[Total Revenue]])</f>
        <v>0.21989102313356529</v>
      </c>
      <c r="L1180" s="5" t="str">
        <f>TEXT(SalesData[[#This Row],[Date]],"mmm")</f>
        <v>Dec</v>
      </c>
      <c r="M1180">
        <f>YEAR(SalesData[[#This Row],[Date]])</f>
        <v>2023</v>
      </c>
      <c r="N1180">
        <f>WEEKNUM(SalesData[[#This Row],[Date]])</f>
        <v>53</v>
      </c>
      <c r="O1180" t="s">
        <v>2212</v>
      </c>
      <c r="P1180" t="s">
        <v>2522</v>
      </c>
      <c r="Q1180" t="s">
        <v>2527</v>
      </c>
    </row>
    <row r="1181" spans="1:17" x14ac:dyDescent="0.35">
      <c r="A1181" t="s">
        <v>826</v>
      </c>
      <c r="B1181" s="3">
        <v>44967</v>
      </c>
      <c r="C1181" t="s">
        <v>2019</v>
      </c>
      <c r="D1181" t="s">
        <v>2027</v>
      </c>
      <c r="E1181" s="8">
        <v>4868</v>
      </c>
      <c r="F1181">
        <v>3</v>
      </c>
      <c r="G1181">
        <v>0</v>
      </c>
      <c r="H1181" s="8">
        <v>14604</v>
      </c>
      <c r="I1181">
        <v>3356.08</v>
      </c>
      <c r="J1181">
        <v>4535.7700000000004</v>
      </c>
      <c r="K1181" s="5">
        <f>IF(SalesData[[#This Row],[Total Revenue]]=0,0,SalesData[[#This Row],[Profit]]/SalesData[[#This Row],[Total Revenue]])</f>
        <v>0.31058408655162972</v>
      </c>
      <c r="L1181" s="5" t="str">
        <f>TEXT(SalesData[[#This Row],[Date]],"mmm")</f>
        <v>Feb</v>
      </c>
      <c r="M1181">
        <f>YEAR(SalesData[[#This Row],[Date]])</f>
        <v>2023</v>
      </c>
      <c r="N1181">
        <f>WEEKNUM(SalesData[[#This Row],[Date]])</f>
        <v>6</v>
      </c>
      <c r="O1181" t="s">
        <v>2200</v>
      </c>
      <c r="P1181" t="s">
        <v>2523</v>
      </c>
      <c r="Q1181" t="s">
        <v>2525</v>
      </c>
    </row>
    <row r="1182" spans="1:17" x14ac:dyDescent="0.35">
      <c r="A1182" t="s">
        <v>1671</v>
      </c>
      <c r="B1182" s="3">
        <v>45179</v>
      </c>
      <c r="C1182" t="s">
        <v>2014</v>
      </c>
      <c r="D1182" t="s">
        <v>2024</v>
      </c>
      <c r="E1182" s="8">
        <v>1923</v>
      </c>
      <c r="F1182">
        <v>8</v>
      </c>
      <c r="G1182">
        <v>5</v>
      </c>
      <c r="H1182" s="8">
        <v>14614.8</v>
      </c>
      <c r="I1182">
        <v>1126.8</v>
      </c>
      <c r="J1182">
        <v>5600.44</v>
      </c>
      <c r="K1182" s="5">
        <f>IF(SalesData[[#This Row],[Total Revenue]]=0,0,SalesData[[#This Row],[Profit]]/SalesData[[#This Row],[Total Revenue]])</f>
        <v>0.3832033281331253</v>
      </c>
      <c r="L1182" s="5" t="str">
        <f>TEXT(SalesData[[#This Row],[Date]],"mmm")</f>
        <v>Sep</v>
      </c>
      <c r="M1182">
        <f>YEAR(SalesData[[#This Row],[Date]])</f>
        <v>2023</v>
      </c>
      <c r="N1182">
        <f>WEEKNUM(SalesData[[#This Row],[Date]])</f>
        <v>37</v>
      </c>
      <c r="O1182" t="s">
        <v>2458</v>
      </c>
      <c r="P1182" t="s">
        <v>2522</v>
      </c>
      <c r="Q1182" t="s">
        <v>2526</v>
      </c>
    </row>
    <row r="1183" spans="1:17" x14ac:dyDescent="0.35">
      <c r="A1183" t="s">
        <v>268</v>
      </c>
      <c r="B1183" s="3">
        <v>45181</v>
      </c>
      <c r="C1183" t="s">
        <v>2019</v>
      </c>
      <c r="D1183" t="s">
        <v>2027</v>
      </c>
      <c r="E1183" s="8">
        <v>2707</v>
      </c>
      <c r="F1183">
        <v>6</v>
      </c>
      <c r="G1183">
        <v>10</v>
      </c>
      <c r="H1183" s="8">
        <v>14617.8</v>
      </c>
      <c r="I1183">
        <v>1906.45</v>
      </c>
      <c r="J1183">
        <v>3179.11</v>
      </c>
      <c r="K1183" s="5">
        <f>IF(SalesData[[#This Row],[Total Revenue]]=0,0,SalesData[[#This Row],[Profit]]/SalesData[[#This Row],[Total Revenue]])</f>
        <v>0.2174821108511541</v>
      </c>
      <c r="L1183" s="5" t="str">
        <f>TEXT(SalesData[[#This Row],[Date]],"mmm")</f>
        <v>Sep</v>
      </c>
      <c r="M1183">
        <f>YEAR(SalesData[[#This Row],[Date]])</f>
        <v>2023</v>
      </c>
      <c r="N1183">
        <f>WEEKNUM(SalesData[[#This Row],[Date]])</f>
        <v>37</v>
      </c>
      <c r="O1183" t="s">
        <v>2085</v>
      </c>
      <c r="P1183" t="s">
        <v>2522</v>
      </c>
      <c r="Q1183" t="s">
        <v>2524</v>
      </c>
    </row>
    <row r="1184" spans="1:17" x14ac:dyDescent="0.35">
      <c r="A1184" t="s">
        <v>1223</v>
      </c>
      <c r="B1184" s="3">
        <v>45020</v>
      </c>
      <c r="C1184" t="s">
        <v>2018</v>
      </c>
      <c r="D1184" t="s">
        <v>2026</v>
      </c>
      <c r="E1184" s="8">
        <v>3250</v>
      </c>
      <c r="F1184">
        <v>5</v>
      </c>
      <c r="G1184">
        <v>10</v>
      </c>
      <c r="H1184" s="8">
        <v>14625</v>
      </c>
      <c r="I1184">
        <v>2153.66</v>
      </c>
      <c r="J1184">
        <v>3856.68</v>
      </c>
      <c r="K1184" s="5">
        <f>IF(SalesData[[#This Row],[Total Revenue]]=0,0,SalesData[[#This Row],[Profit]]/SalesData[[#This Row],[Total Revenue]])</f>
        <v>0.26370461538461537</v>
      </c>
      <c r="L1184" s="5" t="str">
        <f>TEXT(SalesData[[#This Row],[Date]],"mmm")</f>
        <v>Apr</v>
      </c>
      <c r="M1184">
        <f>YEAR(SalesData[[#This Row],[Date]])</f>
        <v>2023</v>
      </c>
      <c r="N1184">
        <f>WEEKNUM(SalesData[[#This Row],[Date]])</f>
        <v>14</v>
      </c>
      <c r="O1184" t="s">
        <v>2358</v>
      </c>
      <c r="P1184" t="s">
        <v>2523</v>
      </c>
      <c r="Q1184" t="s">
        <v>2526</v>
      </c>
    </row>
    <row r="1185" spans="1:17" x14ac:dyDescent="0.35">
      <c r="A1185" t="s">
        <v>1179</v>
      </c>
      <c r="B1185" s="3">
        <v>44954</v>
      </c>
      <c r="C1185" t="s">
        <v>2021</v>
      </c>
      <c r="D1185" t="s">
        <v>2028</v>
      </c>
      <c r="E1185" s="8">
        <v>2868</v>
      </c>
      <c r="F1185">
        <v>6</v>
      </c>
      <c r="G1185">
        <v>15</v>
      </c>
      <c r="H1185" s="8">
        <v>14626.8</v>
      </c>
      <c r="I1185">
        <v>2043.9</v>
      </c>
      <c r="J1185">
        <v>2363.39</v>
      </c>
      <c r="K1185" s="5">
        <f>IF(SalesData[[#This Row],[Total Revenue]]=0,0,SalesData[[#This Row],[Profit]]/SalesData[[#This Row],[Total Revenue]])</f>
        <v>0.16157942954029589</v>
      </c>
      <c r="L1185" s="5" t="str">
        <f>TEXT(SalesData[[#This Row],[Date]],"mmm")</f>
        <v>Jan</v>
      </c>
      <c r="M1185">
        <f>YEAR(SalesData[[#This Row],[Date]])</f>
        <v>2023</v>
      </c>
      <c r="N1185">
        <f>WEEKNUM(SalesData[[#This Row],[Date]])</f>
        <v>4</v>
      </c>
      <c r="O1185" t="s">
        <v>2472</v>
      </c>
      <c r="P1185" t="s">
        <v>2523</v>
      </c>
      <c r="Q1185" t="s">
        <v>2526</v>
      </c>
    </row>
    <row r="1186" spans="1:17" x14ac:dyDescent="0.35">
      <c r="A1186" t="s">
        <v>1125</v>
      </c>
      <c r="B1186" s="3">
        <v>45239</v>
      </c>
      <c r="C1186" t="s">
        <v>2020</v>
      </c>
      <c r="D1186" t="s">
        <v>2028</v>
      </c>
      <c r="E1186" s="8">
        <v>4309</v>
      </c>
      <c r="F1186">
        <v>4</v>
      </c>
      <c r="G1186">
        <v>15</v>
      </c>
      <c r="H1186" s="8">
        <v>14650.6</v>
      </c>
      <c r="I1186">
        <v>2879.2</v>
      </c>
      <c r="J1186">
        <v>3133.81</v>
      </c>
      <c r="K1186" s="5">
        <f>IF(SalesData[[#This Row],[Total Revenue]]=0,0,SalesData[[#This Row],[Profit]]/SalesData[[#This Row],[Total Revenue]])</f>
        <v>0.21390318485249751</v>
      </c>
      <c r="L1186" s="5" t="str">
        <f>TEXT(SalesData[[#This Row],[Date]],"mmm")</f>
        <v>Nov</v>
      </c>
      <c r="M1186">
        <f>YEAR(SalesData[[#This Row],[Date]])</f>
        <v>2023</v>
      </c>
      <c r="N1186">
        <f>WEEKNUM(SalesData[[#This Row],[Date]])</f>
        <v>45</v>
      </c>
      <c r="O1186" t="s">
        <v>2313</v>
      </c>
      <c r="P1186" t="s">
        <v>2523</v>
      </c>
      <c r="Q1186" t="s">
        <v>2524</v>
      </c>
    </row>
    <row r="1187" spans="1:17" x14ac:dyDescent="0.35">
      <c r="A1187" t="s">
        <v>1793</v>
      </c>
      <c r="B1187" s="3">
        <v>45075</v>
      </c>
      <c r="C1187" t="s">
        <v>2013</v>
      </c>
      <c r="D1187" t="s">
        <v>2023</v>
      </c>
      <c r="E1187" s="8">
        <v>1715</v>
      </c>
      <c r="F1187">
        <v>9</v>
      </c>
      <c r="G1187">
        <v>5</v>
      </c>
      <c r="H1187" s="8">
        <v>14663.25</v>
      </c>
      <c r="I1187">
        <v>873.61</v>
      </c>
      <c r="J1187">
        <v>6800.73</v>
      </c>
      <c r="K1187" s="5">
        <f>IF(SalesData[[#This Row],[Total Revenue]]=0,0,SalesData[[#This Row],[Profit]]/SalesData[[#This Row],[Total Revenue]])</f>
        <v>0.46379417932586564</v>
      </c>
      <c r="L1187" s="5" t="str">
        <f>TEXT(SalesData[[#This Row],[Date]],"mmm")</f>
        <v>May</v>
      </c>
      <c r="M1187">
        <f>YEAR(SalesData[[#This Row],[Date]])</f>
        <v>2023</v>
      </c>
      <c r="N1187">
        <f>WEEKNUM(SalesData[[#This Row],[Date]])</f>
        <v>22</v>
      </c>
      <c r="O1187" t="s">
        <v>2406</v>
      </c>
      <c r="P1187" t="s">
        <v>2523</v>
      </c>
      <c r="Q1187" t="s">
        <v>2524</v>
      </c>
    </row>
    <row r="1188" spans="1:17" x14ac:dyDescent="0.35">
      <c r="A1188" t="s">
        <v>1700</v>
      </c>
      <c r="B1188" s="3">
        <v>44984</v>
      </c>
      <c r="C1188" t="s">
        <v>2020</v>
      </c>
      <c r="D1188" t="s">
        <v>2028</v>
      </c>
      <c r="E1188" s="8">
        <v>1833</v>
      </c>
      <c r="F1188">
        <v>8</v>
      </c>
      <c r="G1188">
        <v>0</v>
      </c>
      <c r="H1188" s="8">
        <v>14664</v>
      </c>
      <c r="I1188">
        <v>1325.61</v>
      </c>
      <c r="J1188">
        <v>4059.14</v>
      </c>
      <c r="K1188" s="5">
        <f>IF(SalesData[[#This Row],[Total Revenue]]=0,0,SalesData[[#This Row],[Profit]]/SalesData[[#This Row],[Total Revenue]])</f>
        <v>0.2768098745226405</v>
      </c>
      <c r="L1188" s="5" t="str">
        <f>TEXT(SalesData[[#This Row],[Date]],"mmm")</f>
        <v>Feb</v>
      </c>
      <c r="M1188">
        <f>YEAR(SalesData[[#This Row],[Date]])</f>
        <v>2023</v>
      </c>
      <c r="N1188">
        <f>WEEKNUM(SalesData[[#This Row],[Date]])</f>
        <v>9</v>
      </c>
      <c r="O1188" t="s">
        <v>2295</v>
      </c>
      <c r="P1188" t="s">
        <v>2523</v>
      </c>
      <c r="Q1188" t="s">
        <v>2527</v>
      </c>
    </row>
    <row r="1189" spans="1:17" x14ac:dyDescent="0.35">
      <c r="A1189" t="s">
        <v>1412</v>
      </c>
      <c r="B1189" s="3">
        <v>45053</v>
      </c>
      <c r="C1189" t="s">
        <v>2016</v>
      </c>
      <c r="D1189" t="s">
        <v>2025</v>
      </c>
      <c r="E1189" s="8">
        <v>1470</v>
      </c>
      <c r="F1189">
        <v>10</v>
      </c>
      <c r="G1189">
        <v>0</v>
      </c>
      <c r="H1189" s="8">
        <v>14700</v>
      </c>
      <c r="I1189">
        <v>1032.31</v>
      </c>
      <c r="J1189">
        <v>4376.9399999999996</v>
      </c>
      <c r="K1189" s="5">
        <f>IF(SalesData[[#This Row],[Total Revenue]]=0,0,SalesData[[#This Row],[Profit]]/SalesData[[#This Row],[Total Revenue]])</f>
        <v>0.29775102040816326</v>
      </c>
      <c r="L1189" s="5" t="str">
        <f>TEXT(SalesData[[#This Row],[Date]],"mmm")</f>
        <v>May</v>
      </c>
      <c r="M1189">
        <f>YEAR(SalesData[[#This Row],[Date]])</f>
        <v>2023</v>
      </c>
      <c r="N1189">
        <f>WEEKNUM(SalesData[[#This Row],[Date]])</f>
        <v>19</v>
      </c>
      <c r="O1189" t="s">
        <v>2077</v>
      </c>
      <c r="P1189" t="s">
        <v>2523</v>
      </c>
      <c r="Q1189" t="s">
        <v>2526</v>
      </c>
    </row>
    <row r="1190" spans="1:17" x14ac:dyDescent="0.35">
      <c r="A1190" t="s">
        <v>593</v>
      </c>
      <c r="B1190" s="3">
        <v>45189</v>
      </c>
      <c r="C1190" t="s">
        <v>2022</v>
      </c>
      <c r="D1190" t="s">
        <v>2024</v>
      </c>
      <c r="E1190" s="8">
        <v>4909</v>
      </c>
      <c r="F1190">
        <v>3</v>
      </c>
      <c r="G1190">
        <v>0</v>
      </c>
      <c r="H1190" s="8">
        <v>14727</v>
      </c>
      <c r="I1190">
        <v>3019.92</v>
      </c>
      <c r="J1190">
        <v>5667.25</v>
      </c>
      <c r="K1190" s="5">
        <f>IF(SalesData[[#This Row],[Total Revenue]]=0,0,SalesData[[#This Row],[Profit]]/SalesData[[#This Row],[Total Revenue]])</f>
        <v>0.38482039790860323</v>
      </c>
      <c r="L1190" s="5" t="str">
        <f>TEXT(SalesData[[#This Row],[Date]],"mmm")</f>
        <v>Sep</v>
      </c>
      <c r="M1190">
        <f>YEAR(SalesData[[#This Row],[Date]])</f>
        <v>2023</v>
      </c>
      <c r="N1190">
        <f>WEEKNUM(SalesData[[#This Row],[Date]])</f>
        <v>38</v>
      </c>
      <c r="O1190" t="s">
        <v>2216</v>
      </c>
      <c r="P1190" t="s">
        <v>2523</v>
      </c>
      <c r="Q1190" t="s">
        <v>2524</v>
      </c>
    </row>
    <row r="1191" spans="1:17" x14ac:dyDescent="0.35">
      <c r="A1191" t="s">
        <v>21</v>
      </c>
      <c r="B1191" s="3">
        <v>45219</v>
      </c>
      <c r="C1191" t="s">
        <v>2014</v>
      </c>
      <c r="D1191" t="s">
        <v>2024</v>
      </c>
      <c r="E1191" s="8">
        <v>4335</v>
      </c>
      <c r="F1191">
        <v>4</v>
      </c>
      <c r="G1191">
        <v>15</v>
      </c>
      <c r="H1191" s="8">
        <v>14739</v>
      </c>
      <c r="I1191">
        <v>2374.84</v>
      </c>
      <c r="J1191">
        <v>5239.6400000000003</v>
      </c>
      <c r="K1191" s="5">
        <f>IF(SalesData[[#This Row],[Total Revenue]]=0,0,SalesData[[#This Row],[Profit]]/SalesData[[#This Row],[Total Revenue]])</f>
        <v>0.35549494538299753</v>
      </c>
      <c r="L1191" s="5" t="str">
        <f>TEXT(SalesData[[#This Row],[Date]],"mmm")</f>
        <v>Oct</v>
      </c>
      <c r="M1191">
        <f>YEAR(SalesData[[#This Row],[Date]])</f>
        <v>2023</v>
      </c>
      <c r="N1191">
        <f>WEEKNUM(SalesData[[#This Row],[Date]])</f>
        <v>42</v>
      </c>
      <c r="O1191" t="s">
        <v>2037</v>
      </c>
      <c r="P1191" t="s">
        <v>2523</v>
      </c>
      <c r="Q1191" t="s">
        <v>2525</v>
      </c>
    </row>
    <row r="1192" spans="1:17" x14ac:dyDescent="0.35">
      <c r="A1192" t="s">
        <v>965</v>
      </c>
      <c r="B1192" s="3">
        <v>45179</v>
      </c>
      <c r="C1192" t="s">
        <v>2014</v>
      </c>
      <c r="D1192" t="s">
        <v>2024</v>
      </c>
      <c r="E1192" s="8">
        <v>1476</v>
      </c>
      <c r="F1192">
        <v>10</v>
      </c>
      <c r="G1192">
        <v>0</v>
      </c>
      <c r="H1192" s="8">
        <v>14760</v>
      </c>
      <c r="I1192">
        <v>791.81</v>
      </c>
      <c r="J1192">
        <v>6841.89</v>
      </c>
      <c r="K1192" s="5">
        <f>IF(SalesData[[#This Row],[Total Revenue]]=0,0,SalesData[[#This Row],[Profit]]/SalesData[[#This Row],[Total Revenue]])</f>
        <v>0.46354268292682926</v>
      </c>
      <c r="L1192" s="5" t="str">
        <f>TEXT(SalesData[[#This Row],[Date]],"mmm")</f>
        <v>Sep</v>
      </c>
      <c r="M1192">
        <f>YEAR(SalesData[[#This Row],[Date]])</f>
        <v>2023</v>
      </c>
      <c r="N1192">
        <f>WEEKNUM(SalesData[[#This Row],[Date]])</f>
        <v>37</v>
      </c>
      <c r="O1192" t="s">
        <v>2221</v>
      </c>
      <c r="P1192" t="s">
        <v>2523</v>
      </c>
      <c r="Q1192" t="s">
        <v>2525</v>
      </c>
    </row>
    <row r="1193" spans="1:17" x14ac:dyDescent="0.35">
      <c r="A1193" t="s">
        <v>762</v>
      </c>
      <c r="B1193" s="3">
        <v>44985</v>
      </c>
      <c r="C1193" t="s">
        <v>2015</v>
      </c>
      <c r="D1193" t="s">
        <v>2025</v>
      </c>
      <c r="E1193" s="8">
        <v>2899</v>
      </c>
      <c r="F1193">
        <v>6</v>
      </c>
      <c r="G1193">
        <v>15</v>
      </c>
      <c r="H1193" s="8">
        <v>14784.9</v>
      </c>
      <c r="I1193">
        <v>2201.61</v>
      </c>
      <c r="J1193">
        <v>1575.23</v>
      </c>
      <c r="K1193" s="5">
        <f>IF(SalesData[[#This Row],[Total Revenue]]=0,0,SalesData[[#This Row],[Profit]]/SalesData[[#This Row],[Total Revenue]])</f>
        <v>0.10654316228043477</v>
      </c>
      <c r="L1193" s="5" t="str">
        <f>TEXT(SalesData[[#This Row],[Date]],"mmm")</f>
        <v>Feb</v>
      </c>
      <c r="M1193">
        <f>YEAR(SalesData[[#This Row],[Date]])</f>
        <v>2023</v>
      </c>
      <c r="N1193">
        <f>WEEKNUM(SalesData[[#This Row],[Date]])</f>
        <v>9</v>
      </c>
      <c r="O1193" t="s">
        <v>2416</v>
      </c>
      <c r="P1193" t="s">
        <v>2523</v>
      </c>
      <c r="Q1193" t="s">
        <v>2525</v>
      </c>
    </row>
    <row r="1194" spans="1:17" x14ac:dyDescent="0.35">
      <c r="A1194" t="s">
        <v>1695</v>
      </c>
      <c r="B1194" s="3">
        <v>45047</v>
      </c>
      <c r="C1194" t="s">
        <v>2016</v>
      </c>
      <c r="D1194" t="s">
        <v>2025</v>
      </c>
      <c r="E1194" s="8">
        <v>2738</v>
      </c>
      <c r="F1194">
        <v>6</v>
      </c>
      <c r="G1194">
        <v>10</v>
      </c>
      <c r="H1194" s="8">
        <v>14785.2</v>
      </c>
      <c r="I1194">
        <v>1698.21</v>
      </c>
      <c r="J1194">
        <v>4595.95</v>
      </c>
      <c r="K1194" s="5">
        <f>IF(SalesData[[#This Row],[Total Revenue]]=0,0,SalesData[[#This Row],[Profit]]/SalesData[[#This Row],[Total Revenue]])</f>
        <v>0.31084801017233449</v>
      </c>
      <c r="L1194" s="5" t="str">
        <f>TEXT(SalesData[[#This Row],[Date]],"mmm")</f>
        <v>May</v>
      </c>
      <c r="M1194">
        <f>YEAR(SalesData[[#This Row],[Date]])</f>
        <v>2023</v>
      </c>
      <c r="N1194">
        <f>WEEKNUM(SalesData[[#This Row],[Date]])</f>
        <v>18</v>
      </c>
      <c r="O1194" t="s">
        <v>2283</v>
      </c>
      <c r="P1194" t="s">
        <v>2522</v>
      </c>
      <c r="Q1194" t="s">
        <v>2526</v>
      </c>
    </row>
    <row r="1195" spans="1:17" x14ac:dyDescent="0.35">
      <c r="A1195" t="s">
        <v>693</v>
      </c>
      <c r="B1195" s="3">
        <v>45089</v>
      </c>
      <c r="C1195" t="s">
        <v>2013</v>
      </c>
      <c r="D1195" t="s">
        <v>2023</v>
      </c>
      <c r="E1195" s="8">
        <v>3892</v>
      </c>
      <c r="F1195">
        <v>4</v>
      </c>
      <c r="G1195">
        <v>5</v>
      </c>
      <c r="H1195" s="8">
        <v>14789.6</v>
      </c>
      <c r="I1195">
        <v>2737.9</v>
      </c>
      <c r="J1195">
        <v>3838.02</v>
      </c>
      <c r="K1195" s="5">
        <f>IF(SalesData[[#This Row],[Total Revenue]]=0,0,SalesData[[#This Row],[Profit]]/SalesData[[#This Row],[Total Revenue]])</f>
        <v>0.25950803267160705</v>
      </c>
      <c r="L1195" s="5" t="str">
        <f>TEXT(SalesData[[#This Row],[Date]],"mmm")</f>
        <v>Jun</v>
      </c>
      <c r="M1195">
        <f>YEAR(SalesData[[#This Row],[Date]])</f>
        <v>2023</v>
      </c>
      <c r="N1195">
        <f>WEEKNUM(SalesData[[#This Row],[Date]])</f>
        <v>24</v>
      </c>
      <c r="O1195" t="s">
        <v>2053</v>
      </c>
      <c r="P1195" t="s">
        <v>2522</v>
      </c>
      <c r="Q1195" t="s">
        <v>2527</v>
      </c>
    </row>
    <row r="1196" spans="1:17" x14ac:dyDescent="0.35">
      <c r="A1196" t="s">
        <v>1323</v>
      </c>
      <c r="B1196" s="3">
        <v>45258</v>
      </c>
      <c r="C1196" t="s">
        <v>2015</v>
      </c>
      <c r="D1196" t="s">
        <v>2025</v>
      </c>
      <c r="E1196" s="8">
        <v>3896</v>
      </c>
      <c r="F1196">
        <v>4</v>
      </c>
      <c r="G1196">
        <v>5</v>
      </c>
      <c r="H1196" s="8">
        <v>14804.8</v>
      </c>
      <c r="I1196">
        <v>2818.43</v>
      </c>
      <c r="J1196">
        <v>3531.06</v>
      </c>
      <c r="K1196" s="5">
        <f>IF(SalesData[[#This Row],[Total Revenue]]=0,0,SalesData[[#This Row],[Profit]]/SalesData[[#This Row],[Total Revenue]])</f>
        <v>0.23850778126013186</v>
      </c>
      <c r="L1196" s="5" t="str">
        <f>TEXT(SalesData[[#This Row],[Date]],"mmm")</f>
        <v>Nov</v>
      </c>
      <c r="M1196">
        <f>YEAR(SalesData[[#This Row],[Date]])</f>
        <v>2023</v>
      </c>
      <c r="N1196">
        <f>WEEKNUM(SalesData[[#This Row],[Date]])</f>
        <v>48</v>
      </c>
      <c r="O1196" t="s">
        <v>2239</v>
      </c>
      <c r="P1196" t="s">
        <v>2522</v>
      </c>
      <c r="Q1196" t="s">
        <v>2526</v>
      </c>
    </row>
    <row r="1197" spans="1:17" x14ac:dyDescent="0.35">
      <c r="A1197" t="s">
        <v>1034</v>
      </c>
      <c r="B1197" s="3">
        <v>44984</v>
      </c>
      <c r="C1197" t="s">
        <v>2013</v>
      </c>
      <c r="D1197" t="s">
        <v>2023</v>
      </c>
      <c r="E1197" s="8">
        <v>4937</v>
      </c>
      <c r="F1197">
        <v>3</v>
      </c>
      <c r="G1197">
        <v>0</v>
      </c>
      <c r="H1197" s="8">
        <v>14811</v>
      </c>
      <c r="I1197">
        <v>3068.79</v>
      </c>
      <c r="J1197">
        <v>5604.64</v>
      </c>
      <c r="K1197" s="5">
        <f>IF(SalesData[[#This Row],[Total Revenue]]=0,0,SalesData[[#This Row],[Profit]]/SalesData[[#This Row],[Total Revenue]])</f>
        <v>0.37841064073999059</v>
      </c>
      <c r="L1197" s="5" t="str">
        <f>TEXT(SalesData[[#This Row],[Date]],"mmm")</f>
        <v>Feb</v>
      </c>
      <c r="M1197">
        <f>YEAR(SalesData[[#This Row],[Date]])</f>
        <v>2023</v>
      </c>
      <c r="N1197">
        <f>WEEKNUM(SalesData[[#This Row],[Date]])</f>
        <v>9</v>
      </c>
      <c r="O1197" t="s">
        <v>2229</v>
      </c>
      <c r="P1197" t="s">
        <v>2523</v>
      </c>
      <c r="Q1197" t="s">
        <v>2527</v>
      </c>
    </row>
    <row r="1198" spans="1:17" x14ac:dyDescent="0.35">
      <c r="A1198" t="s">
        <v>91</v>
      </c>
      <c r="B1198" s="3">
        <v>45071</v>
      </c>
      <c r="C1198" t="s">
        <v>2014</v>
      </c>
      <c r="D1198" t="s">
        <v>2024</v>
      </c>
      <c r="E1198" s="8">
        <v>2493</v>
      </c>
      <c r="F1198">
        <v>7</v>
      </c>
      <c r="G1198">
        <v>15</v>
      </c>
      <c r="H1198" s="8">
        <v>14833.35</v>
      </c>
      <c r="I1198">
        <v>1884.54</v>
      </c>
      <c r="J1198">
        <v>1641.55</v>
      </c>
      <c r="K1198" s="5">
        <f>IF(SalesData[[#This Row],[Total Revenue]]=0,0,SalesData[[#This Row],[Profit]]/SalesData[[#This Row],[Total Revenue]])</f>
        <v>0.11066616779082269</v>
      </c>
      <c r="L1198" s="5" t="str">
        <f>TEXT(SalesData[[#This Row],[Date]],"mmm")</f>
        <v>May</v>
      </c>
      <c r="M1198">
        <f>YEAR(SalesData[[#This Row],[Date]])</f>
        <v>2023</v>
      </c>
      <c r="N1198">
        <f>WEEKNUM(SalesData[[#This Row],[Date]])</f>
        <v>21</v>
      </c>
      <c r="O1198" t="s">
        <v>2099</v>
      </c>
      <c r="P1198" t="s">
        <v>2522</v>
      </c>
      <c r="Q1198" t="s">
        <v>2525</v>
      </c>
    </row>
    <row r="1199" spans="1:17" x14ac:dyDescent="0.35">
      <c r="A1199" t="s">
        <v>384</v>
      </c>
      <c r="B1199" s="3">
        <v>45156</v>
      </c>
      <c r="C1199" t="s">
        <v>2013</v>
      </c>
      <c r="D1199" t="s">
        <v>2023</v>
      </c>
      <c r="E1199" s="8">
        <v>2233</v>
      </c>
      <c r="F1199">
        <v>7</v>
      </c>
      <c r="G1199">
        <v>5</v>
      </c>
      <c r="H1199" s="8">
        <v>14849.45</v>
      </c>
      <c r="I1199">
        <v>1781.04</v>
      </c>
      <c r="J1199">
        <v>2382.1799999999998</v>
      </c>
      <c r="K1199" s="5">
        <f>IF(SalesData[[#This Row],[Total Revenue]]=0,0,SalesData[[#This Row],[Profit]]/SalesData[[#This Row],[Total Revenue]])</f>
        <v>0.16042210317553846</v>
      </c>
      <c r="L1199" s="5" t="str">
        <f>TEXT(SalesData[[#This Row],[Date]],"mmm")</f>
        <v>Aug</v>
      </c>
      <c r="M1199">
        <f>YEAR(SalesData[[#This Row],[Date]])</f>
        <v>2023</v>
      </c>
      <c r="N1199">
        <f>WEEKNUM(SalesData[[#This Row],[Date]])</f>
        <v>33</v>
      </c>
      <c r="O1199" t="s">
        <v>2289</v>
      </c>
      <c r="P1199" t="s">
        <v>2523</v>
      </c>
      <c r="Q1199" t="s">
        <v>2525</v>
      </c>
    </row>
    <row r="1200" spans="1:17" x14ac:dyDescent="0.35">
      <c r="A1200" t="s">
        <v>299</v>
      </c>
      <c r="B1200" s="3">
        <v>45136</v>
      </c>
      <c r="C1200" t="s">
        <v>2019</v>
      </c>
      <c r="D1200" t="s">
        <v>2027</v>
      </c>
      <c r="E1200" s="8">
        <v>3908</v>
      </c>
      <c r="F1200">
        <v>4</v>
      </c>
      <c r="G1200">
        <v>5</v>
      </c>
      <c r="H1200" s="8">
        <v>14850.4</v>
      </c>
      <c r="I1200">
        <v>2179.1999999999998</v>
      </c>
      <c r="J1200">
        <v>6133.6</v>
      </c>
      <c r="K1200" s="5">
        <f>IF(SalesData[[#This Row],[Total Revenue]]=0,0,SalesData[[#This Row],[Profit]]/SalesData[[#This Row],[Total Revenue]])</f>
        <v>0.41302591175995262</v>
      </c>
      <c r="L1200" s="5" t="str">
        <f>TEXT(SalesData[[#This Row],[Date]],"mmm")</f>
        <v>Jul</v>
      </c>
      <c r="M1200">
        <f>YEAR(SalesData[[#This Row],[Date]])</f>
        <v>2023</v>
      </c>
      <c r="N1200">
        <f>WEEKNUM(SalesData[[#This Row],[Date]])</f>
        <v>30</v>
      </c>
      <c r="O1200" t="s">
        <v>2244</v>
      </c>
      <c r="P1200" t="s">
        <v>2522</v>
      </c>
      <c r="Q1200" t="s">
        <v>2525</v>
      </c>
    </row>
    <row r="1201" spans="1:17" x14ac:dyDescent="0.35">
      <c r="A1201" t="s">
        <v>1311</v>
      </c>
      <c r="B1201" s="3">
        <v>45073</v>
      </c>
      <c r="C1201" t="s">
        <v>2022</v>
      </c>
      <c r="D1201" t="s">
        <v>2024</v>
      </c>
      <c r="E1201" s="8">
        <v>2606</v>
      </c>
      <c r="F1201">
        <v>6</v>
      </c>
      <c r="G1201">
        <v>5</v>
      </c>
      <c r="H1201" s="8">
        <v>14854.2</v>
      </c>
      <c r="I1201">
        <v>1770.35</v>
      </c>
      <c r="J1201">
        <v>4232.07</v>
      </c>
      <c r="K1201" s="5">
        <f>IF(SalesData[[#This Row],[Total Revenue]]=0,0,SalesData[[#This Row],[Profit]]/SalesData[[#This Row],[Total Revenue]])</f>
        <v>0.28490729894575267</v>
      </c>
      <c r="L1201" s="5" t="str">
        <f>TEXT(SalesData[[#This Row],[Date]],"mmm")</f>
        <v>May</v>
      </c>
      <c r="M1201">
        <f>YEAR(SalesData[[#This Row],[Date]])</f>
        <v>2023</v>
      </c>
      <c r="N1201">
        <f>WEEKNUM(SalesData[[#This Row],[Date]])</f>
        <v>21</v>
      </c>
      <c r="O1201" t="s">
        <v>2159</v>
      </c>
      <c r="P1201" t="s">
        <v>2522</v>
      </c>
      <c r="Q1201" t="s">
        <v>2524</v>
      </c>
    </row>
    <row r="1202" spans="1:17" x14ac:dyDescent="0.35">
      <c r="A1202" t="s">
        <v>779</v>
      </c>
      <c r="B1202" s="3">
        <v>45022</v>
      </c>
      <c r="C1202" t="s">
        <v>2015</v>
      </c>
      <c r="D1202" t="s">
        <v>2025</v>
      </c>
      <c r="E1202" s="8">
        <v>1948</v>
      </c>
      <c r="F1202">
        <v>9</v>
      </c>
      <c r="G1202">
        <v>15</v>
      </c>
      <c r="H1202" s="8">
        <v>14902.2</v>
      </c>
      <c r="I1202">
        <v>1062.49</v>
      </c>
      <c r="J1202">
        <v>5339.83</v>
      </c>
      <c r="K1202" s="5">
        <f>IF(SalesData[[#This Row],[Total Revenue]]=0,0,SalesData[[#This Row],[Profit]]/SalesData[[#This Row],[Total Revenue]])</f>
        <v>0.35832494531008841</v>
      </c>
      <c r="L1202" s="5" t="str">
        <f>TEXT(SalesData[[#This Row],[Date]],"mmm")</f>
        <v>Apr</v>
      </c>
      <c r="M1202">
        <f>YEAR(SalesData[[#This Row],[Date]])</f>
        <v>2023</v>
      </c>
      <c r="N1202">
        <f>WEEKNUM(SalesData[[#This Row],[Date]])</f>
        <v>14</v>
      </c>
      <c r="O1202" t="s">
        <v>2237</v>
      </c>
      <c r="P1202" t="s">
        <v>2523</v>
      </c>
      <c r="Q1202" t="s">
        <v>2524</v>
      </c>
    </row>
    <row r="1203" spans="1:17" x14ac:dyDescent="0.35">
      <c r="A1203" t="s">
        <v>1865</v>
      </c>
      <c r="B1203" s="3">
        <v>45084</v>
      </c>
      <c r="C1203" t="s">
        <v>2017</v>
      </c>
      <c r="D1203" t="s">
        <v>2026</v>
      </c>
      <c r="E1203" s="8">
        <v>3508</v>
      </c>
      <c r="F1203">
        <v>5</v>
      </c>
      <c r="G1203">
        <v>15</v>
      </c>
      <c r="H1203" s="8">
        <v>14909</v>
      </c>
      <c r="I1203">
        <v>2068.3000000000002</v>
      </c>
      <c r="J1203">
        <v>4567.5</v>
      </c>
      <c r="K1203" s="5">
        <f>IF(SalesData[[#This Row],[Total Revenue]]=0,0,SalesData[[#This Row],[Profit]]/SalesData[[#This Row],[Total Revenue]])</f>
        <v>0.30635857535716682</v>
      </c>
      <c r="L1203" s="5" t="str">
        <f>TEXT(SalesData[[#This Row],[Date]],"mmm")</f>
        <v>Jun</v>
      </c>
      <c r="M1203">
        <f>YEAR(SalesData[[#This Row],[Date]])</f>
        <v>2023</v>
      </c>
      <c r="N1203">
        <f>WEEKNUM(SalesData[[#This Row],[Date]])</f>
        <v>23</v>
      </c>
      <c r="O1203" t="s">
        <v>2403</v>
      </c>
      <c r="P1203" t="s">
        <v>2522</v>
      </c>
      <c r="Q1203" t="s">
        <v>2527</v>
      </c>
    </row>
    <row r="1204" spans="1:17" x14ac:dyDescent="0.35">
      <c r="A1204" t="s">
        <v>1680</v>
      </c>
      <c r="B1204" s="3">
        <v>45100</v>
      </c>
      <c r="C1204" t="s">
        <v>2015</v>
      </c>
      <c r="D1204" t="s">
        <v>2025</v>
      </c>
      <c r="E1204" s="8">
        <v>3141</v>
      </c>
      <c r="F1204">
        <v>5</v>
      </c>
      <c r="G1204">
        <v>5</v>
      </c>
      <c r="H1204" s="8">
        <v>14919.75</v>
      </c>
      <c r="I1204">
        <v>2351.92</v>
      </c>
      <c r="J1204">
        <v>3160.15</v>
      </c>
      <c r="K1204" s="5">
        <f>IF(SalesData[[#This Row],[Total Revenue]]=0,0,SalesData[[#This Row],[Profit]]/SalesData[[#This Row],[Total Revenue]])</f>
        <v>0.21180984936074668</v>
      </c>
      <c r="L1204" s="5" t="str">
        <f>TEXT(SalesData[[#This Row],[Date]],"mmm")</f>
        <v>Jun</v>
      </c>
      <c r="M1204">
        <f>YEAR(SalesData[[#This Row],[Date]])</f>
        <v>2023</v>
      </c>
      <c r="N1204">
        <f>WEEKNUM(SalesData[[#This Row],[Date]])</f>
        <v>25</v>
      </c>
      <c r="O1204" t="s">
        <v>2376</v>
      </c>
      <c r="P1204" t="s">
        <v>2523</v>
      </c>
      <c r="Q1204" t="s">
        <v>2525</v>
      </c>
    </row>
    <row r="1205" spans="1:17" x14ac:dyDescent="0.35">
      <c r="A1205" t="s">
        <v>880</v>
      </c>
      <c r="B1205" s="3">
        <v>45264</v>
      </c>
      <c r="C1205" t="s">
        <v>2016</v>
      </c>
      <c r="D1205" t="s">
        <v>2025</v>
      </c>
      <c r="E1205" s="8">
        <v>3318</v>
      </c>
      <c r="F1205">
        <v>5</v>
      </c>
      <c r="G1205">
        <v>10</v>
      </c>
      <c r="H1205" s="8">
        <v>14931</v>
      </c>
      <c r="I1205">
        <v>2646.96</v>
      </c>
      <c r="J1205">
        <v>1696.19</v>
      </c>
      <c r="K1205" s="5">
        <f>IF(SalesData[[#This Row],[Total Revenue]]=0,0,SalesData[[#This Row],[Profit]]/SalesData[[#This Row],[Total Revenue]])</f>
        <v>0.11360190208291475</v>
      </c>
      <c r="L1205" s="5" t="str">
        <f>TEXT(SalesData[[#This Row],[Date]],"mmm")</f>
        <v>Dec</v>
      </c>
      <c r="M1205">
        <f>YEAR(SalesData[[#This Row],[Date]])</f>
        <v>2023</v>
      </c>
      <c r="N1205">
        <f>WEEKNUM(SalesData[[#This Row],[Date]])</f>
        <v>49</v>
      </c>
      <c r="O1205" t="s">
        <v>2386</v>
      </c>
      <c r="P1205" t="s">
        <v>2523</v>
      </c>
      <c r="Q1205" t="s">
        <v>2525</v>
      </c>
    </row>
    <row r="1206" spans="1:17" x14ac:dyDescent="0.35">
      <c r="A1206" t="s">
        <v>1948</v>
      </c>
      <c r="B1206" s="3">
        <v>45099</v>
      </c>
      <c r="C1206" t="s">
        <v>2022</v>
      </c>
      <c r="D1206" t="s">
        <v>2024</v>
      </c>
      <c r="E1206" s="8">
        <v>3516</v>
      </c>
      <c r="F1206">
        <v>5</v>
      </c>
      <c r="G1206">
        <v>15</v>
      </c>
      <c r="H1206" s="8">
        <v>14943</v>
      </c>
      <c r="I1206">
        <v>2641.62</v>
      </c>
      <c r="J1206">
        <v>1734.89</v>
      </c>
      <c r="K1206" s="5">
        <f>IF(SalesData[[#This Row],[Total Revenue]]=0,0,SalesData[[#This Row],[Profit]]/SalesData[[#This Row],[Total Revenue]])</f>
        <v>0.11610051529144082</v>
      </c>
      <c r="L1206" s="5" t="str">
        <f>TEXT(SalesData[[#This Row],[Date]],"mmm")</f>
        <v>Jun</v>
      </c>
      <c r="M1206">
        <f>YEAR(SalesData[[#This Row],[Date]])</f>
        <v>2023</v>
      </c>
      <c r="N1206">
        <f>WEEKNUM(SalesData[[#This Row],[Date]])</f>
        <v>25</v>
      </c>
      <c r="O1206" t="s">
        <v>2050</v>
      </c>
      <c r="P1206" t="s">
        <v>2523</v>
      </c>
      <c r="Q1206" t="s">
        <v>2527</v>
      </c>
    </row>
    <row r="1207" spans="1:17" x14ac:dyDescent="0.35">
      <c r="A1207" t="s">
        <v>1338</v>
      </c>
      <c r="B1207" s="3">
        <v>45228</v>
      </c>
      <c r="C1207" t="s">
        <v>2019</v>
      </c>
      <c r="D1207" t="s">
        <v>2027</v>
      </c>
      <c r="E1207" s="8">
        <v>2990</v>
      </c>
      <c r="F1207">
        <v>5</v>
      </c>
      <c r="G1207">
        <v>0</v>
      </c>
      <c r="H1207" s="8">
        <v>14950</v>
      </c>
      <c r="I1207">
        <v>2060.77</v>
      </c>
      <c r="J1207">
        <v>4646.16</v>
      </c>
      <c r="K1207" s="5">
        <f>IF(SalesData[[#This Row],[Total Revenue]]=0,0,SalesData[[#This Row],[Profit]]/SalesData[[#This Row],[Total Revenue]])</f>
        <v>0.31077993311036789</v>
      </c>
      <c r="L1207" s="5" t="str">
        <f>TEXT(SalesData[[#This Row],[Date]],"mmm")</f>
        <v>Oct</v>
      </c>
      <c r="M1207">
        <f>YEAR(SalesData[[#This Row],[Date]])</f>
        <v>2023</v>
      </c>
      <c r="N1207">
        <f>WEEKNUM(SalesData[[#This Row],[Date]])</f>
        <v>44</v>
      </c>
      <c r="O1207" t="s">
        <v>2499</v>
      </c>
      <c r="P1207" t="s">
        <v>2523</v>
      </c>
      <c r="Q1207" t="s">
        <v>2525</v>
      </c>
    </row>
    <row r="1208" spans="1:17" x14ac:dyDescent="0.35">
      <c r="A1208" t="s">
        <v>1258</v>
      </c>
      <c r="B1208" s="3">
        <v>44948</v>
      </c>
      <c r="C1208" t="s">
        <v>2020</v>
      </c>
      <c r="D1208" t="s">
        <v>2028</v>
      </c>
      <c r="E1208" s="8">
        <v>2077</v>
      </c>
      <c r="F1208">
        <v>8</v>
      </c>
      <c r="G1208">
        <v>10</v>
      </c>
      <c r="H1208" s="8">
        <v>14954.4</v>
      </c>
      <c r="I1208">
        <v>1238.0899999999999</v>
      </c>
      <c r="J1208">
        <v>5049.6899999999996</v>
      </c>
      <c r="K1208" s="5">
        <f>IF(SalesData[[#This Row],[Total Revenue]]=0,0,SalesData[[#This Row],[Profit]]/SalesData[[#This Row],[Total Revenue]])</f>
        <v>0.33767252447440216</v>
      </c>
      <c r="L1208" s="5" t="str">
        <f>TEXT(SalesData[[#This Row],[Date]],"mmm")</f>
        <v>Jan</v>
      </c>
      <c r="M1208">
        <f>YEAR(SalesData[[#This Row],[Date]])</f>
        <v>2023</v>
      </c>
      <c r="N1208">
        <f>WEEKNUM(SalesData[[#This Row],[Date]])</f>
        <v>4</v>
      </c>
      <c r="O1208" t="s">
        <v>2122</v>
      </c>
      <c r="P1208" t="s">
        <v>2523</v>
      </c>
      <c r="Q1208" t="s">
        <v>2525</v>
      </c>
    </row>
    <row r="1209" spans="1:17" x14ac:dyDescent="0.35">
      <c r="A1209" t="s">
        <v>1983</v>
      </c>
      <c r="B1209" s="3">
        <v>45105</v>
      </c>
      <c r="C1209" t="s">
        <v>2019</v>
      </c>
      <c r="D1209" t="s">
        <v>2027</v>
      </c>
      <c r="E1209" s="8">
        <v>2776</v>
      </c>
      <c r="F1209">
        <v>6</v>
      </c>
      <c r="G1209">
        <v>10</v>
      </c>
      <c r="H1209" s="8">
        <v>14990.4</v>
      </c>
      <c r="I1209">
        <v>1724.49</v>
      </c>
      <c r="J1209">
        <v>4643.4799999999996</v>
      </c>
      <c r="K1209" s="5">
        <f>IF(SalesData[[#This Row],[Total Revenue]]=0,0,SalesData[[#This Row],[Profit]]/SalesData[[#This Row],[Total Revenue]])</f>
        <v>0.30976358202582982</v>
      </c>
      <c r="L1209" s="5" t="str">
        <f>TEXT(SalesData[[#This Row],[Date]],"mmm")</f>
        <v>Jun</v>
      </c>
      <c r="M1209">
        <f>YEAR(SalesData[[#This Row],[Date]])</f>
        <v>2023</v>
      </c>
      <c r="N1209">
        <f>WEEKNUM(SalesData[[#This Row],[Date]])</f>
        <v>26</v>
      </c>
      <c r="O1209" t="s">
        <v>2210</v>
      </c>
      <c r="P1209" t="s">
        <v>2522</v>
      </c>
      <c r="Q1209" t="s">
        <v>2527</v>
      </c>
    </row>
    <row r="1210" spans="1:17" x14ac:dyDescent="0.35">
      <c r="A1210" t="s">
        <v>378</v>
      </c>
      <c r="B1210" s="3">
        <v>45245</v>
      </c>
      <c r="C1210" t="s">
        <v>2015</v>
      </c>
      <c r="D1210" t="s">
        <v>2025</v>
      </c>
      <c r="E1210" s="8">
        <v>2783</v>
      </c>
      <c r="F1210">
        <v>6</v>
      </c>
      <c r="G1210">
        <v>10</v>
      </c>
      <c r="H1210" s="8">
        <v>15028.2</v>
      </c>
      <c r="I1210">
        <v>1514.06</v>
      </c>
      <c r="J1210">
        <v>5943.82</v>
      </c>
      <c r="K1210" s="5">
        <f>IF(SalesData[[#This Row],[Total Revenue]]=0,0,SalesData[[#This Row],[Profit]]/SalesData[[#This Row],[Total Revenue]])</f>
        <v>0.39551110578778559</v>
      </c>
      <c r="L1210" s="5" t="str">
        <f>TEXT(SalesData[[#This Row],[Date]],"mmm")</f>
        <v>Nov</v>
      </c>
      <c r="M1210">
        <f>YEAR(SalesData[[#This Row],[Date]])</f>
        <v>2023</v>
      </c>
      <c r="N1210">
        <f>WEEKNUM(SalesData[[#This Row],[Date]])</f>
        <v>46</v>
      </c>
      <c r="O1210" t="s">
        <v>2287</v>
      </c>
      <c r="P1210" t="s">
        <v>2523</v>
      </c>
      <c r="Q1210" t="s">
        <v>2526</v>
      </c>
    </row>
    <row r="1211" spans="1:17" x14ac:dyDescent="0.35">
      <c r="A1211" t="s">
        <v>706</v>
      </c>
      <c r="B1211" s="3">
        <v>45013</v>
      </c>
      <c r="C1211" t="s">
        <v>2020</v>
      </c>
      <c r="D1211" t="s">
        <v>2028</v>
      </c>
      <c r="E1211" s="8">
        <v>2147</v>
      </c>
      <c r="F1211">
        <v>7</v>
      </c>
      <c r="G1211">
        <v>0</v>
      </c>
      <c r="H1211" s="8">
        <v>15029</v>
      </c>
      <c r="I1211">
        <v>1554.39</v>
      </c>
      <c r="J1211">
        <v>4148.2700000000004</v>
      </c>
      <c r="K1211" s="5">
        <f>IF(SalesData[[#This Row],[Total Revenue]]=0,0,SalesData[[#This Row],[Profit]]/SalesData[[#This Row],[Total Revenue]])</f>
        <v>0.27601769911504426</v>
      </c>
      <c r="L1211" s="5" t="str">
        <f>TEXT(SalesData[[#This Row],[Date]],"mmm")</f>
        <v>Mar</v>
      </c>
      <c r="M1211">
        <f>YEAR(SalesData[[#This Row],[Date]])</f>
        <v>2023</v>
      </c>
      <c r="N1211">
        <f>WEEKNUM(SalesData[[#This Row],[Date]])</f>
        <v>13</v>
      </c>
      <c r="O1211" t="s">
        <v>2080</v>
      </c>
      <c r="P1211" t="s">
        <v>2523</v>
      </c>
      <c r="Q1211" t="s">
        <v>2524</v>
      </c>
    </row>
    <row r="1212" spans="1:17" x14ac:dyDescent="0.35">
      <c r="A1212" t="s">
        <v>1633</v>
      </c>
      <c r="B1212" s="3">
        <v>44996</v>
      </c>
      <c r="C1212" t="s">
        <v>2022</v>
      </c>
      <c r="D1212" t="s">
        <v>2024</v>
      </c>
      <c r="E1212" s="8">
        <v>2389</v>
      </c>
      <c r="F1212">
        <v>7</v>
      </c>
      <c r="G1212">
        <v>10</v>
      </c>
      <c r="H1212" s="8">
        <v>15050.7</v>
      </c>
      <c r="I1212">
        <v>1252.98</v>
      </c>
      <c r="J1212">
        <v>6279.84</v>
      </c>
      <c r="K1212" s="5">
        <f>IF(SalesData[[#This Row],[Total Revenue]]=0,0,SalesData[[#This Row],[Profit]]/SalesData[[#This Row],[Total Revenue]])</f>
        <v>0.41724570950188361</v>
      </c>
      <c r="L1212" s="5" t="str">
        <f>TEXT(SalesData[[#This Row],[Date]],"mmm")</f>
        <v>Mar</v>
      </c>
      <c r="M1212">
        <f>YEAR(SalesData[[#This Row],[Date]])</f>
        <v>2023</v>
      </c>
      <c r="N1212">
        <f>WEEKNUM(SalesData[[#This Row],[Date]])</f>
        <v>10</v>
      </c>
      <c r="O1212" t="s">
        <v>2166</v>
      </c>
      <c r="P1212" t="s">
        <v>2522</v>
      </c>
      <c r="Q1212" t="s">
        <v>2526</v>
      </c>
    </row>
    <row r="1213" spans="1:17" x14ac:dyDescent="0.35">
      <c r="A1213" t="s">
        <v>1742</v>
      </c>
      <c r="B1213" s="3">
        <v>45029</v>
      </c>
      <c r="C1213" t="s">
        <v>2021</v>
      </c>
      <c r="D1213" t="s">
        <v>2028</v>
      </c>
      <c r="E1213" s="8">
        <v>2091</v>
      </c>
      <c r="F1213">
        <v>8</v>
      </c>
      <c r="G1213">
        <v>10</v>
      </c>
      <c r="H1213" s="8">
        <v>15055.2</v>
      </c>
      <c r="I1213">
        <v>1187.3499999999999</v>
      </c>
      <c r="J1213">
        <v>5556.36</v>
      </c>
      <c r="K1213" s="5">
        <f>IF(SalesData[[#This Row],[Total Revenue]]=0,0,SalesData[[#This Row],[Profit]]/SalesData[[#This Row],[Total Revenue]])</f>
        <v>0.36906583771720064</v>
      </c>
      <c r="L1213" s="5" t="str">
        <f>TEXT(SalesData[[#This Row],[Date]],"mmm")</f>
        <v>Apr</v>
      </c>
      <c r="M1213">
        <f>YEAR(SalesData[[#This Row],[Date]])</f>
        <v>2023</v>
      </c>
      <c r="N1213">
        <f>WEEKNUM(SalesData[[#This Row],[Date]])</f>
        <v>15</v>
      </c>
      <c r="O1213" t="s">
        <v>2289</v>
      </c>
      <c r="P1213" t="s">
        <v>2523</v>
      </c>
      <c r="Q1213" t="s">
        <v>2525</v>
      </c>
    </row>
    <row r="1214" spans="1:17" x14ac:dyDescent="0.35">
      <c r="A1214" t="s">
        <v>440</v>
      </c>
      <c r="B1214" s="3">
        <v>45090</v>
      </c>
      <c r="C1214" t="s">
        <v>2018</v>
      </c>
      <c r="D1214" t="s">
        <v>2026</v>
      </c>
      <c r="E1214" s="8">
        <v>2097</v>
      </c>
      <c r="F1214">
        <v>8</v>
      </c>
      <c r="G1214">
        <v>10</v>
      </c>
      <c r="H1214" s="8">
        <v>15098.4</v>
      </c>
      <c r="I1214">
        <v>1448.09</v>
      </c>
      <c r="J1214">
        <v>3513.64</v>
      </c>
      <c r="K1214" s="5">
        <f>IF(SalesData[[#This Row],[Total Revenue]]=0,0,SalesData[[#This Row],[Profit]]/SalesData[[#This Row],[Total Revenue]])</f>
        <v>0.23271604938271603</v>
      </c>
      <c r="L1214" s="5" t="str">
        <f>TEXT(SalesData[[#This Row],[Date]],"mmm")</f>
        <v>Jun</v>
      </c>
      <c r="M1214">
        <f>YEAR(SalesData[[#This Row],[Date]])</f>
        <v>2023</v>
      </c>
      <c r="N1214">
        <f>WEEKNUM(SalesData[[#This Row],[Date]])</f>
        <v>24</v>
      </c>
      <c r="O1214" t="s">
        <v>2312</v>
      </c>
      <c r="P1214" t="s">
        <v>2523</v>
      </c>
      <c r="Q1214" t="s">
        <v>2525</v>
      </c>
    </row>
    <row r="1215" spans="1:17" x14ac:dyDescent="0.35">
      <c r="A1215" t="s">
        <v>689</v>
      </c>
      <c r="B1215" s="3">
        <v>45177</v>
      </c>
      <c r="C1215" t="s">
        <v>2021</v>
      </c>
      <c r="D1215" t="s">
        <v>2028</v>
      </c>
      <c r="E1215" s="8">
        <v>2102</v>
      </c>
      <c r="F1215">
        <v>8</v>
      </c>
      <c r="G1215">
        <v>10</v>
      </c>
      <c r="H1215" s="8">
        <v>15134.4</v>
      </c>
      <c r="I1215">
        <v>1525.47</v>
      </c>
      <c r="J1215">
        <v>2930.65</v>
      </c>
      <c r="K1215" s="5">
        <f>IF(SalesData[[#This Row],[Total Revenue]]=0,0,SalesData[[#This Row],[Profit]]/SalesData[[#This Row],[Total Revenue]])</f>
        <v>0.19364163759382599</v>
      </c>
      <c r="L1215" s="5" t="str">
        <f>TEXT(SalesData[[#This Row],[Date]],"mmm")</f>
        <v>Sep</v>
      </c>
      <c r="M1215">
        <f>YEAR(SalesData[[#This Row],[Date]])</f>
        <v>2023</v>
      </c>
      <c r="N1215">
        <f>WEEKNUM(SalesData[[#This Row],[Date]])</f>
        <v>36</v>
      </c>
      <c r="O1215" t="s">
        <v>2275</v>
      </c>
      <c r="P1215" t="s">
        <v>2522</v>
      </c>
      <c r="Q1215" t="s">
        <v>2526</v>
      </c>
    </row>
    <row r="1216" spans="1:17" x14ac:dyDescent="0.35">
      <c r="A1216" t="s">
        <v>77</v>
      </c>
      <c r="B1216" s="3">
        <v>44954</v>
      </c>
      <c r="C1216" t="s">
        <v>2016</v>
      </c>
      <c r="D1216" t="s">
        <v>2025</v>
      </c>
      <c r="E1216" s="8">
        <v>1983</v>
      </c>
      <c r="F1216">
        <v>9</v>
      </c>
      <c r="G1216">
        <v>15</v>
      </c>
      <c r="H1216" s="8">
        <v>15169.95</v>
      </c>
      <c r="I1216">
        <v>1442.74</v>
      </c>
      <c r="J1216">
        <v>2185.29</v>
      </c>
      <c r="K1216" s="5">
        <f>IF(SalesData[[#This Row],[Total Revenue]]=0,0,SalesData[[#This Row],[Profit]]/SalesData[[#This Row],[Total Revenue]])</f>
        <v>0.14405386965678857</v>
      </c>
      <c r="L1216" s="5" t="str">
        <f>TEXT(SalesData[[#This Row],[Date]],"mmm")</f>
        <v>Jan</v>
      </c>
      <c r="M1216">
        <f>YEAR(SalesData[[#This Row],[Date]])</f>
        <v>2023</v>
      </c>
      <c r="N1216">
        <f>WEEKNUM(SalesData[[#This Row],[Date]])</f>
        <v>4</v>
      </c>
      <c r="O1216" t="s">
        <v>2085</v>
      </c>
      <c r="P1216" t="s">
        <v>2523</v>
      </c>
      <c r="Q1216" t="s">
        <v>2527</v>
      </c>
    </row>
    <row r="1217" spans="1:17" x14ac:dyDescent="0.35">
      <c r="A1217" t="s">
        <v>667</v>
      </c>
      <c r="B1217" s="3">
        <v>45249</v>
      </c>
      <c r="C1217" t="s">
        <v>2015</v>
      </c>
      <c r="D1217" t="s">
        <v>2025</v>
      </c>
      <c r="E1217" s="8">
        <v>2003</v>
      </c>
      <c r="F1217">
        <v>8</v>
      </c>
      <c r="G1217">
        <v>5</v>
      </c>
      <c r="H1217" s="8">
        <v>15222.8</v>
      </c>
      <c r="I1217">
        <v>1053.1199999999999</v>
      </c>
      <c r="J1217">
        <v>6797.84</v>
      </c>
      <c r="K1217" s="5">
        <f>IF(SalesData[[#This Row],[Total Revenue]]=0,0,SalesData[[#This Row],[Profit]]/SalesData[[#This Row],[Total Revenue]])</f>
        <v>0.44655648106787188</v>
      </c>
      <c r="L1217" s="5" t="str">
        <f>TEXT(SalesData[[#This Row],[Date]],"mmm")</f>
        <v>Nov</v>
      </c>
      <c r="M1217">
        <f>YEAR(SalesData[[#This Row],[Date]])</f>
        <v>2023</v>
      </c>
      <c r="N1217">
        <f>WEEKNUM(SalesData[[#This Row],[Date]])</f>
        <v>47</v>
      </c>
      <c r="O1217" t="s">
        <v>2365</v>
      </c>
      <c r="P1217" t="s">
        <v>2522</v>
      </c>
      <c r="Q1217" t="s">
        <v>2527</v>
      </c>
    </row>
    <row r="1218" spans="1:17" x14ac:dyDescent="0.35">
      <c r="A1218" t="s">
        <v>1849</v>
      </c>
      <c r="B1218" s="3">
        <v>45075</v>
      </c>
      <c r="C1218" t="s">
        <v>2018</v>
      </c>
      <c r="D1218" t="s">
        <v>2026</v>
      </c>
      <c r="E1218" s="8">
        <v>3207</v>
      </c>
      <c r="F1218">
        <v>5</v>
      </c>
      <c r="G1218">
        <v>5</v>
      </c>
      <c r="H1218" s="8">
        <v>15233.25</v>
      </c>
      <c r="I1218">
        <v>2219.0700000000002</v>
      </c>
      <c r="J1218">
        <v>4137.88</v>
      </c>
      <c r="K1218" s="5">
        <f>IF(SalesData[[#This Row],[Total Revenue]]=0,0,SalesData[[#This Row],[Profit]]/SalesData[[#This Row],[Total Revenue]])</f>
        <v>0.27163474636075691</v>
      </c>
      <c r="L1218" s="5" t="str">
        <f>TEXT(SalesData[[#This Row],[Date]],"mmm")</f>
        <v>May</v>
      </c>
      <c r="M1218">
        <f>YEAR(SalesData[[#This Row],[Date]])</f>
        <v>2023</v>
      </c>
      <c r="N1218">
        <f>WEEKNUM(SalesData[[#This Row],[Date]])</f>
        <v>22</v>
      </c>
      <c r="O1218" t="s">
        <v>2131</v>
      </c>
      <c r="P1218" t="s">
        <v>2522</v>
      </c>
      <c r="Q1218" t="s">
        <v>2527</v>
      </c>
    </row>
    <row r="1219" spans="1:17" x14ac:dyDescent="0.35">
      <c r="A1219" t="s">
        <v>1977</v>
      </c>
      <c r="B1219" s="3">
        <v>45057</v>
      </c>
      <c r="C1219" t="s">
        <v>2019</v>
      </c>
      <c r="D1219" t="s">
        <v>2027</v>
      </c>
      <c r="E1219" s="8">
        <v>1694</v>
      </c>
      <c r="F1219">
        <v>9</v>
      </c>
      <c r="G1219">
        <v>0</v>
      </c>
      <c r="H1219" s="8">
        <v>15246</v>
      </c>
      <c r="I1219">
        <v>1164.32</v>
      </c>
      <c r="J1219">
        <v>4767.12</v>
      </c>
      <c r="K1219" s="5">
        <f>IF(SalesData[[#This Row],[Total Revenue]]=0,0,SalesData[[#This Row],[Profit]]/SalesData[[#This Row],[Total Revenue]])</f>
        <v>0.31268004722550174</v>
      </c>
      <c r="L1219" s="5" t="str">
        <f>TEXT(SalesData[[#This Row],[Date]],"mmm")</f>
        <v>May</v>
      </c>
      <c r="M1219">
        <f>YEAR(SalesData[[#This Row],[Date]])</f>
        <v>2023</v>
      </c>
      <c r="N1219">
        <f>WEEKNUM(SalesData[[#This Row],[Date]])</f>
        <v>19</v>
      </c>
      <c r="O1219" t="s">
        <v>2231</v>
      </c>
      <c r="P1219" t="s">
        <v>2522</v>
      </c>
      <c r="Q1219" t="s">
        <v>2524</v>
      </c>
    </row>
    <row r="1220" spans="1:17" x14ac:dyDescent="0.35">
      <c r="A1220" t="s">
        <v>1720</v>
      </c>
      <c r="B1220" s="3">
        <v>45200</v>
      </c>
      <c r="C1220" t="s">
        <v>2015</v>
      </c>
      <c r="D1220" t="s">
        <v>2025</v>
      </c>
      <c r="E1220" s="8">
        <v>4016</v>
      </c>
      <c r="F1220">
        <v>4</v>
      </c>
      <c r="G1220">
        <v>5</v>
      </c>
      <c r="H1220" s="8">
        <v>15260.8</v>
      </c>
      <c r="I1220">
        <v>2703.14</v>
      </c>
      <c r="J1220">
        <v>4448.2299999999996</v>
      </c>
      <c r="K1220" s="5">
        <f>IF(SalesData[[#This Row],[Total Revenue]]=0,0,SalesData[[#This Row],[Profit]]/SalesData[[#This Row],[Total Revenue]])</f>
        <v>0.29148078737680855</v>
      </c>
      <c r="L1220" s="5" t="str">
        <f>TEXT(SalesData[[#This Row],[Date]],"mmm")</f>
        <v>Oct</v>
      </c>
      <c r="M1220">
        <f>YEAR(SalesData[[#This Row],[Date]])</f>
        <v>2023</v>
      </c>
      <c r="N1220">
        <f>WEEKNUM(SalesData[[#This Row],[Date]])</f>
        <v>40</v>
      </c>
      <c r="O1220" t="s">
        <v>2143</v>
      </c>
      <c r="P1220" t="s">
        <v>2522</v>
      </c>
      <c r="Q1220" t="s">
        <v>2526</v>
      </c>
    </row>
    <row r="1221" spans="1:17" x14ac:dyDescent="0.35">
      <c r="A1221" t="s">
        <v>497</v>
      </c>
      <c r="B1221" s="3">
        <v>45167</v>
      </c>
      <c r="C1221" t="s">
        <v>2017</v>
      </c>
      <c r="D1221" t="s">
        <v>2026</v>
      </c>
      <c r="E1221" s="8">
        <v>3591</v>
      </c>
      <c r="F1221">
        <v>5</v>
      </c>
      <c r="G1221">
        <v>15</v>
      </c>
      <c r="H1221" s="8">
        <v>15261.75</v>
      </c>
      <c r="I1221">
        <v>2030.97</v>
      </c>
      <c r="J1221">
        <v>5106.91</v>
      </c>
      <c r="K1221" s="5">
        <f>IF(SalesData[[#This Row],[Total Revenue]]=0,0,SalesData[[#This Row],[Profit]]/SalesData[[#This Row],[Total Revenue]])</f>
        <v>0.33462152112306909</v>
      </c>
      <c r="L1221" s="5" t="str">
        <f>TEXT(SalesData[[#This Row],[Date]],"mmm")</f>
        <v>Aug</v>
      </c>
      <c r="M1221">
        <f>YEAR(SalesData[[#This Row],[Date]])</f>
        <v>2023</v>
      </c>
      <c r="N1221">
        <f>WEEKNUM(SalesData[[#This Row],[Date]])</f>
        <v>35</v>
      </c>
      <c r="O1221" t="s">
        <v>2315</v>
      </c>
      <c r="P1221" t="s">
        <v>2522</v>
      </c>
      <c r="Q1221" t="s">
        <v>2527</v>
      </c>
    </row>
    <row r="1222" spans="1:17" x14ac:dyDescent="0.35">
      <c r="A1222" t="s">
        <v>442</v>
      </c>
      <c r="B1222" s="3">
        <v>45029</v>
      </c>
      <c r="C1222" t="s">
        <v>2013</v>
      </c>
      <c r="D1222" t="s">
        <v>2023</v>
      </c>
      <c r="E1222" s="8">
        <v>1797</v>
      </c>
      <c r="F1222">
        <v>10</v>
      </c>
      <c r="G1222">
        <v>15</v>
      </c>
      <c r="H1222" s="8">
        <v>15274.5</v>
      </c>
      <c r="I1222">
        <v>1108.8499999999999</v>
      </c>
      <c r="J1222">
        <v>4186</v>
      </c>
      <c r="K1222" s="5">
        <f>IF(SalesData[[#This Row],[Total Revenue]]=0,0,SalesData[[#This Row],[Profit]]/SalesData[[#This Row],[Total Revenue]])</f>
        <v>0.27405152378146586</v>
      </c>
      <c r="L1222" s="5" t="str">
        <f>TEXT(SalesData[[#This Row],[Date]],"mmm")</f>
        <v>Apr</v>
      </c>
      <c r="M1222">
        <f>YEAR(SalesData[[#This Row],[Date]])</f>
        <v>2023</v>
      </c>
      <c r="N1222">
        <f>WEEKNUM(SalesData[[#This Row],[Date]])</f>
        <v>15</v>
      </c>
      <c r="O1222" t="s">
        <v>2113</v>
      </c>
      <c r="P1222" t="s">
        <v>2522</v>
      </c>
      <c r="Q1222" t="s">
        <v>2526</v>
      </c>
    </row>
    <row r="1223" spans="1:17" x14ac:dyDescent="0.35">
      <c r="A1223" t="s">
        <v>334</v>
      </c>
      <c r="B1223" s="3">
        <v>45026</v>
      </c>
      <c r="C1223" t="s">
        <v>2016</v>
      </c>
      <c r="D1223" t="s">
        <v>2025</v>
      </c>
      <c r="E1223" s="8">
        <v>2830</v>
      </c>
      <c r="F1223">
        <v>6</v>
      </c>
      <c r="G1223">
        <v>10</v>
      </c>
      <c r="H1223" s="8">
        <v>15282</v>
      </c>
      <c r="I1223">
        <v>1652.54</v>
      </c>
      <c r="J1223">
        <v>5366.73</v>
      </c>
      <c r="K1223" s="5">
        <f>IF(SalesData[[#This Row],[Total Revenue]]=0,0,SalesData[[#This Row],[Profit]]/SalesData[[#This Row],[Total Revenue]])</f>
        <v>0.35117981939536708</v>
      </c>
      <c r="L1223" s="5" t="str">
        <f>TEXT(SalesData[[#This Row],[Date]],"mmm")</f>
        <v>Apr</v>
      </c>
      <c r="M1223">
        <f>YEAR(SalesData[[#This Row],[Date]])</f>
        <v>2023</v>
      </c>
      <c r="N1223">
        <f>WEEKNUM(SalesData[[#This Row],[Date]])</f>
        <v>15</v>
      </c>
      <c r="O1223" t="s">
        <v>2189</v>
      </c>
      <c r="P1223" t="s">
        <v>2522</v>
      </c>
      <c r="Q1223" t="s">
        <v>2527</v>
      </c>
    </row>
    <row r="1224" spans="1:17" x14ac:dyDescent="0.35">
      <c r="A1224" t="s">
        <v>906</v>
      </c>
      <c r="B1224" s="3">
        <v>44987</v>
      </c>
      <c r="C1224" t="s">
        <v>2021</v>
      </c>
      <c r="D1224" t="s">
        <v>2028</v>
      </c>
      <c r="E1224" s="8">
        <v>2249</v>
      </c>
      <c r="F1224">
        <v>8</v>
      </c>
      <c r="G1224">
        <v>15</v>
      </c>
      <c r="H1224" s="8">
        <v>15293.2</v>
      </c>
      <c r="I1224">
        <v>1740.25</v>
      </c>
      <c r="J1224">
        <v>1371.16</v>
      </c>
      <c r="K1224" s="5">
        <f>IF(SalesData[[#This Row],[Total Revenue]]=0,0,SalesData[[#This Row],[Profit]]/SalesData[[#This Row],[Total Revenue]])</f>
        <v>8.965814871969241E-2</v>
      </c>
      <c r="L1224" s="5" t="str">
        <f>TEXT(SalesData[[#This Row],[Date]],"mmm")</f>
        <v>Mar</v>
      </c>
      <c r="M1224">
        <f>YEAR(SalesData[[#This Row],[Date]])</f>
        <v>2023</v>
      </c>
      <c r="N1224">
        <f>WEEKNUM(SalesData[[#This Row],[Date]])</f>
        <v>9</v>
      </c>
      <c r="O1224" t="s">
        <v>2344</v>
      </c>
      <c r="P1224" t="s">
        <v>2522</v>
      </c>
      <c r="Q1224" t="s">
        <v>2527</v>
      </c>
    </row>
    <row r="1225" spans="1:17" x14ac:dyDescent="0.35">
      <c r="A1225" t="s">
        <v>1198</v>
      </c>
      <c r="B1225" s="3">
        <v>45077</v>
      </c>
      <c r="C1225" t="s">
        <v>2022</v>
      </c>
      <c r="D1225" t="s">
        <v>2024</v>
      </c>
      <c r="E1225" s="8">
        <v>3599</v>
      </c>
      <c r="F1225">
        <v>5</v>
      </c>
      <c r="G1225">
        <v>15</v>
      </c>
      <c r="H1225" s="8">
        <v>15295.75</v>
      </c>
      <c r="I1225">
        <v>2750.63</v>
      </c>
      <c r="J1225">
        <v>1542.6</v>
      </c>
      <c r="K1225" s="5">
        <f>IF(SalesData[[#This Row],[Total Revenue]]=0,0,SalesData[[#This Row],[Profit]]/SalesData[[#This Row],[Total Revenue]])</f>
        <v>0.10085154372946734</v>
      </c>
      <c r="L1225" s="5" t="str">
        <f>TEXT(SalesData[[#This Row],[Date]],"mmm")</f>
        <v>May</v>
      </c>
      <c r="M1225">
        <f>YEAR(SalesData[[#This Row],[Date]])</f>
        <v>2023</v>
      </c>
      <c r="N1225">
        <f>WEEKNUM(SalesData[[#This Row],[Date]])</f>
        <v>22</v>
      </c>
      <c r="O1225" t="s">
        <v>2415</v>
      </c>
      <c r="P1225" t="s">
        <v>2522</v>
      </c>
      <c r="Q1225" t="s">
        <v>2526</v>
      </c>
    </row>
    <row r="1226" spans="1:17" x14ac:dyDescent="0.35">
      <c r="A1226" t="s">
        <v>118</v>
      </c>
      <c r="B1226" s="3">
        <v>45078</v>
      </c>
      <c r="C1226" t="s">
        <v>2020</v>
      </c>
      <c r="D1226" t="s">
        <v>2028</v>
      </c>
      <c r="E1226" s="8">
        <v>2303</v>
      </c>
      <c r="F1226">
        <v>7</v>
      </c>
      <c r="G1226">
        <v>5</v>
      </c>
      <c r="H1226" s="8">
        <v>15314.95</v>
      </c>
      <c r="I1226">
        <v>1595.47</v>
      </c>
      <c r="J1226">
        <v>4146.6400000000003</v>
      </c>
      <c r="K1226" s="5">
        <f>IF(SalesData[[#This Row],[Total Revenue]]=0,0,SalesData[[#This Row],[Profit]]/SalesData[[#This Row],[Total Revenue]])</f>
        <v>0.27075765836649812</v>
      </c>
      <c r="L1226" s="5" t="str">
        <f>TEXT(SalesData[[#This Row],[Date]],"mmm")</f>
        <v>Jun</v>
      </c>
      <c r="M1226">
        <f>YEAR(SalesData[[#This Row],[Date]])</f>
        <v>2023</v>
      </c>
      <c r="N1226">
        <f>WEEKNUM(SalesData[[#This Row],[Date]])</f>
        <v>22</v>
      </c>
      <c r="O1226" t="s">
        <v>2123</v>
      </c>
      <c r="P1226" t="s">
        <v>2522</v>
      </c>
      <c r="Q1226" t="s">
        <v>2525</v>
      </c>
    </row>
    <row r="1227" spans="1:17" x14ac:dyDescent="0.35">
      <c r="A1227" t="s">
        <v>2007</v>
      </c>
      <c r="B1227" s="3">
        <v>44985</v>
      </c>
      <c r="C1227" t="s">
        <v>2019</v>
      </c>
      <c r="D1227" t="s">
        <v>2027</v>
      </c>
      <c r="E1227" s="8">
        <v>3231</v>
      </c>
      <c r="F1227">
        <v>5</v>
      </c>
      <c r="G1227">
        <v>5</v>
      </c>
      <c r="H1227" s="8">
        <v>15347.25</v>
      </c>
      <c r="I1227">
        <v>1817.94</v>
      </c>
      <c r="J1227">
        <v>6257.54</v>
      </c>
      <c r="K1227" s="5">
        <f>IF(SalesData[[#This Row],[Total Revenue]]=0,0,SalesData[[#This Row],[Profit]]/SalesData[[#This Row],[Total Revenue]])</f>
        <v>0.40773037514864224</v>
      </c>
      <c r="L1227" s="5" t="str">
        <f>TEXT(SalesData[[#This Row],[Date]],"mmm")</f>
        <v>Feb</v>
      </c>
      <c r="M1227">
        <f>YEAR(SalesData[[#This Row],[Date]])</f>
        <v>2023</v>
      </c>
      <c r="N1227">
        <f>WEEKNUM(SalesData[[#This Row],[Date]])</f>
        <v>9</v>
      </c>
      <c r="O1227" t="s">
        <v>2325</v>
      </c>
      <c r="P1227" t="s">
        <v>2523</v>
      </c>
      <c r="Q1227" t="s">
        <v>2527</v>
      </c>
    </row>
    <row r="1228" spans="1:17" x14ac:dyDescent="0.35">
      <c r="A1228" t="s">
        <v>231</v>
      </c>
      <c r="B1228" s="3">
        <v>44996</v>
      </c>
      <c r="C1228" t="s">
        <v>2016</v>
      </c>
      <c r="D1228" t="s">
        <v>2025</v>
      </c>
      <c r="E1228" s="8">
        <v>3239</v>
      </c>
      <c r="F1228">
        <v>5</v>
      </c>
      <c r="G1228">
        <v>5</v>
      </c>
      <c r="H1228" s="8">
        <v>15385.25</v>
      </c>
      <c r="I1228">
        <v>2374.54</v>
      </c>
      <c r="J1228">
        <v>3512.53</v>
      </c>
      <c r="K1228" s="5">
        <f>IF(SalesData[[#This Row],[Total Revenue]]=0,0,SalesData[[#This Row],[Profit]]/SalesData[[#This Row],[Total Revenue]])</f>
        <v>0.22830503241741279</v>
      </c>
      <c r="L1228" s="5" t="str">
        <f>TEXT(SalesData[[#This Row],[Date]],"mmm")</f>
        <v>Mar</v>
      </c>
      <c r="M1228">
        <f>YEAR(SalesData[[#This Row],[Date]])</f>
        <v>2023</v>
      </c>
      <c r="N1228">
        <f>WEEKNUM(SalesData[[#This Row],[Date]])</f>
        <v>10</v>
      </c>
      <c r="O1228" t="s">
        <v>2097</v>
      </c>
      <c r="P1228" t="s">
        <v>2523</v>
      </c>
      <c r="Q1228" t="s">
        <v>2526</v>
      </c>
    </row>
    <row r="1229" spans="1:17" x14ac:dyDescent="0.35">
      <c r="A1229" t="s">
        <v>1622</v>
      </c>
      <c r="B1229" s="3">
        <v>45272</v>
      </c>
      <c r="C1229" t="s">
        <v>2013</v>
      </c>
      <c r="D1229" t="s">
        <v>2023</v>
      </c>
      <c r="E1229" s="8">
        <v>2263</v>
      </c>
      <c r="F1229">
        <v>8</v>
      </c>
      <c r="G1229">
        <v>15</v>
      </c>
      <c r="H1229" s="8">
        <v>15388.4</v>
      </c>
      <c r="I1229">
        <v>1698.03</v>
      </c>
      <c r="J1229">
        <v>1804.17</v>
      </c>
      <c r="K1229" s="5">
        <f>IF(SalesData[[#This Row],[Total Revenue]]=0,0,SalesData[[#This Row],[Profit]]/SalesData[[#This Row],[Total Revenue]])</f>
        <v>0.1172422084167295</v>
      </c>
      <c r="L1229" s="5" t="str">
        <f>TEXT(SalesData[[#This Row],[Date]],"mmm")</f>
        <v>Dec</v>
      </c>
      <c r="M1229">
        <f>YEAR(SalesData[[#This Row],[Date]])</f>
        <v>2023</v>
      </c>
      <c r="N1229">
        <f>WEEKNUM(SalesData[[#This Row],[Date]])</f>
        <v>50</v>
      </c>
      <c r="O1229" t="s">
        <v>2511</v>
      </c>
      <c r="P1229" t="s">
        <v>2522</v>
      </c>
      <c r="Q1229" t="s">
        <v>2524</v>
      </c>
    </row>
    <row r="1230" spans="1:17" x14ac:dyDescent="0.35">
      <c r="A1230" t="s">
        <v>101</v>
      </c>
      <c r="B1230" s="3">
        <v>45182</v>
      </c>
      <c r="C1230" t="s">
        <v>2022</v>
      </c>
      <c r="D1230" t="s">
        <v>2024</v>
      </c>
      <c r="E1230" s="8">
        <v>4051</v>
      </c>
      <c r="F1230">
        <v>4</v>
      </c>
      <c r="G1230">
        <v>5</v>
      </c>
      <c r="H1230" s="8">
        <v>15393.8</v>
      </c>
      <c r="I1230">
        <v>2076.8200000000002</v>
      </c>
      <c r="J1230">
        <v>7086.5</v>
      </c>
      <c r="K1230" s="5">
        <f>IF(SalesData[[#This Row],[Total Revenue]]=0,0,SalesData[[#This Row],[Profit]]/SalesData[[#This Row],[Total Revenue]])</f>
        <v>0.4603476724395536</v>
      </c>
      <c r="L1230" s="5" t="str">
        <f>TEXT(SalesData[[#This Row],[Date]],"mmm")</f>
        <v>Sep</v>
      </c>
      <c r="M1230">
        <f>YEAR(SalesData[[#This Row],[Date]])</f>
        <v>2023</v>
      </c>
      <c r="N1230">
        <f>WEEKNUM(SalesData[[#This Row],[Date]])</f>
        <v>37</v>
      </c>
      <c r="O1230" t="s">
        <v>2108</v>
      </c>
      <c r="P1230" t="s">
        <v>2523</v>
      </c>
      <c r="Q1230" t="s">
        <v>2527</v>
      </c>
    </row>
    <row r="1231" spans="1:17" x14ac:dyDescent="0.35">
      <c r="A1231" t="s">
        <v>277</v>
      </c>
      <c r="B1231" s="3">
        <v>45141</v>
      </c>
      <c r="C1231" t="s">
        <v>2019</v>
      </c>
      <c r="D1231" t="s">
        <v>2027</v>
      </c>
      <c r="E1231" s="8">
        <v>2575</v>
      </c>
      <c r="F1231">
        <v>6</v>
      </c>
      <c r="G1231">
        <v>0</v>
      </c>
      <c r="H1231" s="8">
        <v>15450</v>
      </c>
      <c r="I1231">
        <v>1343.91</v>
      </c>
      <c r="J1231">
        <v>7386.55</v>
      </c>
      <c r="K1231" s="5">
        <f>IF(SalesData[[#This Row],[Total Revenue]]=0,0,SalesData[[#This Row],[Profit]]/SalesData[[#This Row],[Total Revenue]])</f>
        <v>0.4780938511326861</v>
      </c>
      <c r="L1231" s="5" t="str">
        <f>TEXT(SalesData[[#This Row],[Date]],"mmm")</f>
        <v>Aug</v>
      </c>
      <c r="M1231">
        <f>YEAR(SalesData[[#This Row],[Date]])</f>
        <v>2023</v>
      </c>
      <c r="N1231">
        <f>WEEKNUM(SalesData[[#This Row],[Date]])</f>
        <v>31</v>
      </c>
      <c r="O1231" t="s">
        <v>2234</v>
      </c>
      <c r="P1231" t="s">
        <v>2523</v>
      </c>
      <c r="Q1231" t="s">
        <v>2525</v>
      </c>
    </row>
    <row r="1232" spans="1:17" x14ac:dyDescent="0.35">
      <c r="A1232" t="s">
        <v>679</v>
      </c>
      <c r="B1232" s="3">
        <v>45191</v>
      </c>
      <c r="C1232" t="s">
        <v>2016</v>
      </c>
      <c r="D1232" t="s">
        <v>2025</v>
      </c>
      <c r="E1232" s="8">
        <v>2035</v>
      </c>
      <c r="F1232">
        <v>8</v>
      </c>
      <c r="G1232">
        <v>5</v>
      </c>
      <c r="H1232" s="8">
        <v>15466</v>
      </c>
      <c r="I1232">
        <v>1220.99</v>
      </c>
      <c r="J1232">
        <v>5698.12</v>
      </c>
      <c r="K1232" s="5">
        <f>IF(SalesData[[#This Row],[Total Revenue]]=0,0,SalesData[[#This Row],[Profit]]/SalesData[[#This Row],[Total Revenue]])</f>
        <v>0.36842881158670632</v>
      </c>
      <c r="L1232" s="5" t="str">
        <f>TEXT(SalesData[[#This Row],[Date]],"mmm")</f>
        <v>Sep</v>
      </c>
      <c r="M1232">
        <f>YEAR(SalesData[[#This Row],[Date]])</f>
        <v>2023</v>
      </c>
      <c r="N1232">
        <f>WEEKNUM(SalesData[[#This Row],[Date]])</f>
        <v>38</v>
      </c>
      <c r="O1232" t="s">
        <v>2251</v>
      </c>
      <c r="P1232" t="s">
        <v>2523</v>
      </c>
      <c r="Q1232" t="s">
        <v>2525</v>
      </c>
    </row>
    <row r="1233" spans="1:17" x14ac:dyDescent="0.35">
      <c r="A1233" t="s">
        <v>1738</v>
      </c>
      <c r="B1233" s="3">
        <v>45158</v>
      </c>
      <c r="C1233" t="s">
        <v>2019</v>
      </c>
      <c r="D1233" t="s">
        <v>2027</v>
      </c>
      <c r="E1233" s="8">
        <v>2036</v>
      </c>
      <c r="F1233">
        <v>8</v>
      </c>
      <c r="G1233">
        <v>5</v>
      </c>
      <c r="H1233" s="8">
        <v>15473.6</v>
      </c>
      <c r="I1233">
        <v>1301.3800000000001</v>
      </c>
      <c r="J1233">
        <v>5062.5200000000004</v>
      </c>
      <c r="K1233" s="5">
        <f>IF(SalesData[[#This Row],[Total Revenue]]=0,0,SalesData[[#This Row],[Profit]]/SalesData[[#This Row],[Total Revenue]])</f>
        <v>0.32717144038879126</v>
      </c>
      <c r="L1233" s="5" t="str">
        <f>TEXT(SalesData[[#This Row],[Date]],"mmm")</f>
        <v>Aug</v>
      </c>
      <c r="M1233">
        <f>YEAR(SalesData[[#This Row],[Date]])</f>
        <v>2023</v>
      </c>
      <c r="N1233">
        <f>WEEKNUM(SalesData[[#This Row],[Date]])</f>
        <v>34</v>
      </c>
      <c r="O1233" t="s">
        <v>2155</v>
      </c>
      <c r="P1233" t="s">
        <v>2523</v>
      </c>
      <c r="Q1233" t="s">
        <v>2524</v>
      </c>
    </row>
    <row r="1234" spans="1:17" x14ac:dyDescent="0.35">
      <c r="A1234" t="s">
        <v>1084</v>
      </c>
      <c r="B1234" s="3">
        <v>45112</v>
      </c>
      <c r="C1234" t="s">
        <v>2014</v>
      </c>
      <c r="D1234" t="s">
        <v>2024</v>
      </c>
      <c r="E1234" s="8">
        <v>2715</v>
      </c>
      <c r="F1234">
        <v>6</v>
      </c>
      <c r="G1234">
        <v>5</v>
      </c>
      <c r="H1234" s="8">
        <v>15475.5</v>
      </c>
      <c r="I1234">
        <v>1869.71</v>
      </c>
      <c r="J1234">
        <v>4257.25</v>
      </c>
      <c r="K1234" s="5">
        <f>IF(SalesData[[#This Row],[Total Revenue]]=0,0,SalesData[[#This Row],[Profit]]/SalesData[[#This Row],[Total Revenue]])</f>
        <v>0.27509611967303155</v>
      </c>
      <c r="L1234" s="5" t="str">
        <f>TEXT(SalesData[[#This Row],[Date]],"mmm")</f>
        <v>Jul</v>
      </c>
      <c r="M1234">
        <f>YEAR(SalesData[[#This Row],[Date]])</f>
        <v>2023</v>
      </c>
      <c r="N1234">
        <f>WEEKNUM(SalesData[[#This Row],[Date]])</f>
        <v>27</v>
      </c>
      <c r="O1234" t="s">
        <v>2129</v>
      </c>
      <c r="P1234" t="s">
        <v>2523</v>
      </c>
      <c r="Q1234" t="s">
        <v>2526</v>
      </c>
    </row>
    <row r="1235" spans="1:17" x14ac:dyDescent="0.35">
      <c r="A1235" t="s">
        <v>1232</v>
      </c>
      <c r="B1235" s="3">
        <v>45004</v>
      </c>
      <c r="C1235" t="s">
        <v>2021</v>
      </c>
      <c r="D1235" t="s">
        <v>2028</v>
      </c>
      <c r="E1235" s="8">
        <v>4079</v>
      </c>
      <c r="F1235">
        <v>4</v>
      </c>
      <c r="G1235">
        <v>5</v>
      </c>
      <c r="H1235" s="8">
        <v>15500.2</v>
      </c>
      <c r="I1235">
        <v>2113.85</v>
      </c>
      <c r="J1235">
        <v>7044.82</v>
      </c>
      <c r="K1235" s="5">
        <f>IF(SalesData[[#This Row],[Total Revenue]]=0,0,SalesData[[#This Row],[Profit]]/SalesData[[#This Row],[Total Revenue]])</f>
        <v>0.45449865163030151</v>
      </c>
      <c r="L1235" s="5" t="str">
        <f>TEXT(SalesData[[#This Row],[Date]],"mmm")</f>
        <v>Mar</v>
      </c>
      <c r="M1235">
        <f>YEAR(SalesData[[#This Row],[Date]])</f>
        <v>2023</v>
      </c>
      <c r="N1235">
        <f>WEEKNUM(SalesData[[#This Row],[Date]])</f>
        <v>12</v>
      </c>
      <c r="O1235" t="s">
        <v>2207</v>
      </c>
      <c r="P1235" t="s">
        <v>2523</v>
      </c>
      <c r="Q1235" t="s">
        <v>2524</v>
      </c>
    </row>
    <row r="1236" spans="1:17" x14ac:dyDescent="0.35">
      <c r="A1236" t="s">
        <v>1390</v>
      </c>
      <c r="B1236" s="3">
        <v>45199</v>
      </c>
      <c r="C1236" t="s">
        <v>2019</v>
      </c>
      <c r="D1236" t="s">
        <v>2027</v>
      </c>
      <c r="E1236" s="8">
        <v>3043</v>
      </c>
      <c r="F1236">
        <v>6</v>
      </c>
      <c r="G1236">
        <v>15</v>
      </c>
      <c r="H1236" s="8">
        <v>15519.3</v>
      </c>
      <c r="I1236">
        <v>2008.76</v>
      </c>
      <c r="J1236">
        <v>3466.72</v>
      </c>
      <c r="K1236" s="5">
        <f>IF(SalesData[[#This Row],[Total Revenue]]=0,0,SalesData[[#This Row],[Profit]]/SalesData[[#This Row],[Total Revenue]])</f>
        <v>0.22338120920402338</v>
      </c>
      <c r="L1236" s="5" t="str">
        <f>TEXT(SalesData[[#This Row],[Date]],"mmm")</f>
        <v>Sep</v>
      </c>
      <c r="M1236">
        <f>YEAR(SalesData[[#This Row],[Date]])</f>
        <v>2023</v>
      </c>
      <c r="N1236">
        <f>WEEKNUM(SalesData[[#This Row],[Date]])</f>
        <v>39</v>
      </c>
      <c r="O1236" t="s">
        <v>2188</v>
      </c>
      <c r="P1236" t="s">
        <v>2522</v>
      </c>
      <c r="Q1236" t="s">
        <v>2527</v>
      </c>
    </row>
    <row r="1237" spans="1:17" x14ac:dyDescent="0.35">
      <c r="A1237" t="s">
        <v>1097</v>
      </c>
      <c r="B1237" s="3">
        <v>45135</v>
      </c>
      <c r="C1237" t="s">
        <v>2016</v>
      </c>
      <c r="D1237" t="s">
        <v>2025</v>
      </c>
      <c r="E1237" s="8">
        <v>1817</v>
      </c>
      <c r="F1237">
        <v>9</v>
      </c>
      <c r="G1237">
        <v>5</v>
      </c>
      <c r="H1237" s="8">
        <v>15535.35</v>
      </c>
      <c r="I1237">
        <v>1230.23</v>
      </c>
      <c r="J1237">
        <v>4463.32</v>
      </c>
      <c r="K1237" s="5">
        <f>IF(SalesData[[#This Row],[Total Revenue]]=0,0,SalesData[[#This Row],[Profit]]/SalesData[[#This Row],[Total Revenue]])</f>
        <v>0.28730089763024325</v>
      </c>
      <c r="L1237" s="5" t="str">
        <f>TEXT(SalesData[[#This Row],[Date]],"mmm")</f>
        <v>Jul</v>
      </c>
      <c r="M1237">
        <f>YEAR(SalesData[[#This Row],[Date]])</f>
        <v>2023</v>
      </c>
      <c r="N1237">
        <f>WEEKNUM(SalesData[[#This Row],[Date]])</f>
        <v>30</v>
      </c>
      <c r="O1237" t="s">
        <v>2191</v>
      </c>
      <c r="P1237" t="s">
        <v>2523</v>
      </c>
      <c r="Q1237" t="s">
        <v>2526</v>
      </c>
    </row>
    <row r="1238" spans="1:17" x14ac:dyDescent="0.35">
      <c r="A1238" t="s">
        <v>1366</v>
      </c>
      <c r="B1238" s="3">
        <v>45002</v>
      </c>
      <c r="C1238" t="s">
        <v>2016</v>
      </c>
      <c r="D1238" t="s">
        <v>2025</v>
      </c>
      <c r="E1238" s="8">
        <v>4570</v>
      </c>
      <c r="F1238">
        <v>4</v>
      </c>
      <c r="G1238">
        <v>15</v>
      </c>
      <c r="H1238" s="8">
        <v>15538</v>
      </c>
      <c r="I1238">
        <v>2310.48</v>
      </c>
      <c r="J1238">
        <v>6296.09</v>
      </c>
      <c r="K1238" s="5">
        <f>IF(SalesData[[#This Row],[Total Revenue]]=0,0,SalesData[[#This Row],[Profit]]/SalesData[[#This Row],[Total Revenue]])</f>
        <v>0.40520594671128846</v>
      </c>
      <c r="L1238" s="5" t="str">
        <f>TEXT(SalesData[[#This Row],[Date]],"mmm")</f>
        <v>Mar</v>
      </c>
      <c r="M1238">
        <f>YEAR(SalesData[[#This Row],[Date]])</f>
        <v>2023</v>
      </c>
      <c r="N1238">
        <f>WEEKNUM(SalesData[[#This Row],[Date]])</f>
        <v>11</v>
      </c>
      <c r="O1238" t="s">
        <v>2382</v>
      </c>
      <c r="P1238" t="s">
        <v>2522</v>
      </c>
      <c r="Q1238" t="s">
        <v>2525</v>
      </c>
    </row>
    <row r="1239" spans="1:17" x14ac:dyDescent="0.35">
      <c r="A1239" t="s">
        <v>529</v>
      </c>
      <c r="B1239" s="3">
        <v>45093</v>
      </c>
      <c r="C1239" t="s">
        <v>2019</v>
      </c>
      <c r="D1239" t="s">
        <v>2027</v>
      </c>
      <c r="E1239" s="8">
        <v>3108</v>
      </c>
      <c r="F1239">
        <v>5</v>
      </c>
      <c r="G1239">
        <v>0</v>
      </c>
      <c r="H1239" s="8">
        <v>15540</v>
      </c>
      <c r="I1239">
        <v>2339.88</v>
      </c>
      <c r="J1239">
        <v>3840.59</v>
      </c>
      <c r="K1239" s="5">
        <f>IF(SalesData[[#This Row],[Total Revenue]]=0,0,SalesData[[#This Row],[Profit]]/SalesData[[#This Row],[Total Revenue]])</f>
        <v>0.24714221364221364</v>
      </c>
      <c r="L1239" s="5" t="str">
        <f>TEXT(SalesData[[#This Row],[Date]],"mmm")</f>
        <v>Jun</v>
      </c>
      <c r="M1239">
        <f>YEAR(SalesData[[#This Row],[Date]])</f>
        <v>2023</v>
      </c>
      <c r="N1239">
        <f>WEEKNUM(SalesData[[#This Row],[Date]])</f>
        <v>24</v>
      </c>
      <c r="O1239" t="s">
        <v>2177</v>
      </c>
      <c r="P1239" t="s">
        <v>2523</v>
      </c>
      <c r="Q1239" t="s">
        <v>2525</v>
      </c>
    </row>
    <row r="1240" spans="1:17" x14ac:dyDescent="0.35">
      <c r="A1240" t="s">
        <v>1597</v>
      </c>
      <c r="B1240" s="3">
        <v>45042</v>
      </c>
      <c r="C1240" t="s">
        <v>2017</v>
      </c>
      <c r="D1240" t="s">
        <v>2026</v>
      </c>
      <c r="E1240" s="8">
        <v>1727</v>
      </c>
      <c r="F1240">
        <v>9</v>
      </c>
      <c r="G1240">
        <v>0</v>
      </c>
      <c r="H1240" s="8">
        <v>15543</v>
      </c>
      <c r="I1240">
        <v>1158.42</v>
      </c>
      <c r="J1240">
        <v>5117.22</v>
      </c>
      <c r="K1240" s="5">
        <f>IF(SalesData[[#This Row],[Total Revenue]]=0,0,SalesData[[#This Row],[Profit]]/SalesData[[#This Row],[Total Revenue]])</f>
        <v>0.32922987840185292</v>
      </c>
      <c r="L1240" s="5" t="str">
        <f>TEXT(SalesData[[#This Row],[Date]],"mmm")</f>
        <v>Apr</v>
      </c>
      <c r="M1240">
        <f>YEAR(SalesData[[#This Row],[Date]])</f>
        <v>2023</v>
      </c>
      <c r="N1240">
        <f>WEEKNUM(SalesData[[#This Row],[Date]])</f>
        <v>17</v>
      </c>
      <c r="O1240" t="s">
        <v>2399</v>
      </c>
      <c r="P1240" t="s">
        <v>2523</v>
      </c>
      <c r="Q1240" t="s">
        <v>2524</v>
      </c>
    </row>
    <row r="1241" spans="1:17" x14ac:dyDescent="0.35">
      <c r="A1241" t="s">
        <v>116</v>
      </c>
      <c r="B1241" s="3">
        <v>45070</v>
      </c>
      <c r="C1241" t="s">
        <v>2018</v>
      </c>
      <c r="D1241" t="s">
        <v>2026</v>
      </c>
      <c r="E1241" s="8">
        <v>1830</v>
      </c>
      <c r="F1241">
        <v>10</v>
      </c>
      <c r="G1241">
        <v>15</v>
      </c>
      <c r="H1241" s="8">
        <v>15555</v>
      </c>
      <c r="I1241">
        <v>1028.98</v>
      </c>
      <c r="J1241">
        <v>5265.16</v>
      </c>
      <c r="K1241" s="5">
        <f>IF(SalesData[[#This Row],[Total Revenue]]=0,0,SalesData[[#This Row],[Profit]]/SalesData[[#This Row],[Total Revenue]])</f>
        <v>0.33848666023786561</v>
      </c>
      <c r="L1241" s="5" t="str">
        <f>TEXT(SalesData[[#This Row],[Date]],"mmm")</f>
        <v>May</v>
      </c>
      <c r="M1241">
        <f>YEAR(SalesData[[#This Row],[Date]])</f>
        <v>2023</v>
      </c>
      <c r="N1241">
        <f>WEEKNUM(SalesData[[#This Row],[Date]])</f>
        <v>21</v>
      </c>
      <c r="O1241" t="s">
        <v>2121</v>
      </c>
      <c r="P1241" t="s">
        <v>2523</v>
      </c>
      <c r="Q1241" t="s">
        <v>2527</v>
      </c>
    </row>
    <row r="1242" spans="1:17" x14ac:dyDescent="0.35">
      <c r="A1242" t="s">
        <v>535</v>
      </c>
      <c r="B1242" s="3">
        <v>45160</v>
      </c>
      <c r="C1242" t="s">
        <v>2016</v>
      </c>
      <c r="D1242" t="s">
        <v>2025</v>
      </c>
      <c r="E1242" s="8">
        <v>2288</v>
      </c>
      <c r="F1242">
        <v>8</v>
      </c>
      <c r="G1242">
        <v>15</v>
      </c>
      <c r="H1242" s="8">
        <v>15558.4</v>
      </c>
      <c r="I1242">
        <v>1821.3</v>
      </c>
      <c r="J1242">
        <v>987.96</v>
      </c>
      <c r="K1242" s="5">
        <f>IF(SalesData[[#This Row],[Total Revenue]]=0,0,SalesData[[#This Row],[Profit]]/SalesData[[#This Row],[Total Revenue]])</f>
        <v>6.3500102838338138E-2</v>
      </c>
      <c r="L1242" s="5" t="str">
        <f>TEXT(SalesData[[#This Row],[Date]],"mmm")</f>
        <v>Aug</v>
      </c>
      <c r="M1242">
        <f>YEAR(SalesData[[#This Row],[Date]])</f>
        <v>2023</v>
      </c>
      <c r="N1242">
        <f>WEEKNUM(SalesData[[#This Row],[Date]])</f>
        <v>34</v>
      </c>
      <c r="O1242" t="s">
        <v>2349</v>
      </c>
      <c r="P1242" t="s">
        <v>2523</v>
      </c>
      <c r="Q1242" t="s">
        <v>2526</v>
      </c>
    </row>
    <row r="1243" spans="1:17" x14ac:dyDescent="0.35">
      <c r="A1243" t="s">
        <v>1602</v>
      </c>
      <c r="B1243" s="3">
        <v>44971</v>
      </c>
      <c r="C1243" t="s">
        <v>2017</v>
      </c>
      <c r="D1243" t="s">
        <v>2026</v>
      </c>
      <c r="E1243" s="8">
        <v>3661</v>
      </c>
      <c r="F1243">
        <v>5</v>
      </c>
      <c r="G1243">
        <v>15</v>
      </c>
      <c r="H1243" s="8">
        <v>15559.25</v>
      </c>
      <c r="I1243">
        <v>2218.5300000000002</v>
      </c>
      <c r="J1243">
        <v>4466.6099999999997</v>
      </c>
      <c r="K1243" s="5">
        <f>IF(SalesData[[#This Row],[Total Revenue]]=0,0,SalesData[[#This Row],[Profit]]/SalesData[[#This Row],[Total Revenue]])</f>
        <v>0.28707103491492197</v>
      </c>
      <c r="L1243" s="5" t="str">
        <f>TEXT(SalesData[[#This Row],[Date]],"mmm")</f>
        <v>Feb</v>
      </c>
      <c r="M1243">
        <f>YEAR(SalesData[[#This Row],[Date]])</f>
        <v>2023</v>
      </c>
      <c r="N1243">
        <f>WEEKNUM(SalesData[[#This Row],[Date]])</f>
        <v>7</v>
      </c>
      <c r="O1243" t="s">
        <v>2510</v>
      </c>
      <c r="P1243" t="s">
        <v>2522</v>
      </c>
      <c r="Q1243" t="s">
        <v>2524</v>
      </c>
    </row>
    <row r="1244" spans="1:17" x14ac:dyDescent="0.35">
      <c r="A1244" t="s">
        <v>1669</v>
      </c>
      <c r="B1244" s="3">
        <v>45209</v>
      </c>
      <c r="C1244" t="s">
        <v>2013</v>
      </c>
      <c r="D1244" t="s">
        <v>2023</v>
      </c>
      <c r="E1244" s="8">
        <v>1733</v>
      </c>
      <c r="F1244">
        <v>10</v>
      </c>
      <c r="G1244">
        <v>10</v>
      </c>
      <c r="H1244" s="8">
        <v>15597</v>
      </c>
      <c r="I1244">
        <v>895.53</v>
      </c>
      <c r="J1244">
        <v>6641.74</v>
      </c>
      <c r="K1244" s="5">
        <f>IF(SalesData[[#This Row],[Total Revenue]]=0,0,SalesData[[#This Row],[Profit]]/SalesData[[#This Row],[Total Revenue]])</f>
        <v>0.4258344553439764</v>
      </c>
      <c r="L1244" s="5" t="str">
        <f>TEXT(SalesData[[#This Row],[Date]],"mmm")</f>
        <v>Oct</v>
      </c>
      <c r="M1244">
        <f>YEAR(SalesData[[#This Row],[Date]])</f>
        <v>2023</v>
      </c>
      <c r="N1244">
        <f>WEEKNUM(SalesData[[#This Row],[Date]])</f>
        <v>41</v>
      </c>
      <c r="O1244" t="s">
        <v>2388</v>
      </c>
      <c r="P1244" t="s">
        <v>2522</v>
      </c>
      <c r="Q1244" t="s">
        <v>2527</v>
      </c>
    </row>
    <row r="1245" spans="1:17" x14ac:dyDescent="0.35">
      <c r="A1245" t="s">
        <v>890</v>
      </c>
      <c r="B1245" s="3">
        <v>45148</v>
      </c>
      <c r="C1245" t="s">
        <v>2015</v>
      </c>
      <c r="D1245" t="s">
        <v>2025</v>
      </c>
      <c r="E1245" s="8">
        <v>1734</v>
      </c>
      <c r="F1245">
        <v>9</v>
      </c>
      <c r="G1245">
        <v>0</v>
      </c>
      <c r="H1245" s="8">
        <v>15606</v>
      </c>
      <c r="I1245">
        <v>1003.13</v>
      </c>
      <c r="J1245">
        <v>6577.8</v>
      </c>
      <c r="K1245" s="5">
        <f>IF(SalesData[[#This Row],[Total Revenue]]=0,0,SalesData[[#This Row],[Profit]]/SalesData[[#This Row],[Total Revenue]])</f>
        <v>0.42149173394848138</v>
      </c>
      <c r="L1245" s="5" t="str">
        <f>TEXT(SalesData[[#This Row],[Date]],"mmm")</f>
        <v>Aug</v>
      </c>
      <c r="M1245">
        <f>YEAR(SalesData[[#This Row],[Date]])</f>
        <v>2023</v>
      </c>
      <c r="N1245">
        <f>WEEKNUM(SalesData[[#This Row],[Date]])</f>
        <v>32</v>
      </c>
      <c r="O1245" t="s">
        <v>2306</v>
      </c>
      <c r="P1245" t="s">
        <v>2523</v>
      </c>
      <c r="Q1245" t="s">
        <v>2525</v>
      </c>
    </row>
    <row r="1246" spans="1:17" x14ac:dyDescent="0.35">
      <c r="A1246" t="s">
        <v>1124</v>
      </c>
      <c r="B1246" s="3">
        <v>44953</v>
      </c>
      <c r="C1246" t="s">
        <v>2019</v>
      </c>
      <c r="D1246" t="s">
        <v>2027</v>
      </c>
      <c r="E1246" s="8">
        <v>3471</v>
      </c>
      <c r="F1246">
        <v>5</v>
      </c>
      <c r="G1246">
        <v>10</v>
      </c>
      <c r="H1246" s="8">
        <v>15619.5</v>
      </c>
      <c r="I1246">
        <v>1870.06</v>
      </c>
      <c r="J1246">
        <v>6269.2</v>
      </c>
      <c r="K1246" s="5">
        <f>IF(SalesData[[#This Row],[Total Revenue]]=0,0,SalesData[[#This Row],[Profit]]/SalesData[[#This Row],[Total Revenue]])</f>
        <v>0.40137008226895865</v>
      </c>
      <c r="L1246" s="5" t="str">
        <f>TEXT(SalesData[[#This Row],[Date]],"mmm")</f>
        <v>Jan</v>
      </c>
      <c r="M1246">
        <f>YEAR(SalesData[[#This Row],[Date]])</f>
        <v>2023</v>
      </c>
      <c r="N1246">
        <f>WEEKNUM(SalesData[[#This Row],[Date]])</f>
        <v>4</v>
      </c>
      <c r="O1246" t="s">
        <v>2046</v>
      </c>
      <c r="P1246" t="s">
        <v>2522</v>
      </c>
      <c r="Q1246" t="s">
        <v>2527</v>
      </c>
    </row>
    <row r="1247" spans="1:17" x14ac:dyDescent="0.35">
      <c r="A1247" t="s">
        <v>180</v>
      </c>
      <c r="B1247" s="3">
        <v>45214</v>
      </c>
      <c r="C1247" t="s">
        <v>2013</v>
      </c>
      <c r="D1247" t="s">
        <v>2023</v>
      </c>
      <c r="E1247" s="8">
        <v>4341</v>
      </c>
      <c r="F1247">
        <v>4</v>
      </c>
      <c r="G1247">
        <v>10</v>
      </c>
      <c r="H1247" s="8">
        <v>15627.6</v>
      </c>
      <c r="I1247">
        <v>2904.4</v>
      </c>
      <c r="J1247">
        <v>4009.99</v>
      </c>
      <c r="K1247" s="5">
        <f>IF(SalesData[[#This Row],[Total Revenue]]=0,0,SalesData[[#This Row],[Profit]]/SalesData[[#This Row],[Total Revenue]])</f>
        <v>0.25659666231539069</v>
      </c>
      <c r="L1247" s="5" t="str">
        <f>TEXT(SalesData[[#This Row],[Date]],"mmm")</f>
        <v>Oct</v>
      </c>
      <c r="M1247">
        <f>YEAR(SalesData[[#This Row],[Date]])</f>
        <v>2023</v>
      </c>
      <c r="N1247">
        <f>WEEKNUM(SalesData[[#This Row],[Date]])</f>
        <v>42</v>
      </c>
      <c r="O1247" t="s">
        <v>2173</v>
      </c>
      <c r="P1247" t="s">
        <v>2522</v>
      </c>
      <c r="Q1247" t="s">
        <v>2526</v>
      </c>
    </row>
    <row r="1248" spans="1:17" x14ac:dyDescent="0.35">
      <c r="A1248" t="s">
        <v>1743</v>
      </c>
      <c r="B1248" s="3">
        <v>44979</v>
      </c>
      <c r="C1248" t="s">
        <v>2020</v>
      </c>
      <c r="D1248" t="s">
        <v>2028</v>
      </c>
      <c r="E1248" s="8">
        <v>1930</v>
      </c>
      <c r="F1248">
        <v>9</v>
      </c>
      <c r="G1248">
        <v>10</v>
      </c>
      <c r="H1248" s="8">
        <v>15633</v>
      </c>
      <c r="I1248">
        <v>1152.3800000000001</v>
      </c>
      <c r="J1248">
        <v>5261.59</v>
      </c>
      <c r="K1248" s="5">
        <f>IF(SalesData[[#This Row],[Total Revenue]]=0,0,SalesData[[#This Row],[Profit]]/SalesData[[#This Row],[Total Revenue]])</f>
        <v>0.33656943644853837</v>
      </c>
      <c r="L1248" s="5" t="str">
        <f>TEXT(SalesData[[#This Row],[Date]],"mmm")</f>
        <v>Feb</v>
      </c>
      <c r="M1248">
        <f>YEAR(SalesData[[#This Row],[Date]])</f>
        <v>2023</v>
      </c>
      <c r="N1248">
        <f>WEEKNUM(SalesData[[#This Row],[Date]])</f>
        <v>8</v>
      </c>
      <c r="O1248" t="s">
        <v>2154</v>
      </c>
      <c r="P1248" t="s">
        <v>2523</v>
      </c>
      <c r="Q1248" t="s">
        <v>2527</v>
      </c>
    </row>
    <row r="1249" spans="1:17" x14ac:dyDescent="0.35">
      <c r="A1249" t="s">
        <v>947</v>
      </c>
      <c r="B1249" s="3">
        <v>45165</v>
      </c>
      <c r="C1249" t="s">
        <v>2018</v>
      </c>
      <c r="D1249" t="s">
        <v>2026</v>
      </c>
      <c r="E1249" s="8">
        <v>2243</v>
      </c>
      <c r="F1249">
        <v>7</v>
      </c>
      <c r="G1249">
        <v>0</v>
      </c>
      <c r="H1249" s="8">
        <v>15701</v>
      </c>
      <c r="I1249">
        <v>1471.65</v>
      </c>
      <c r="J1249">
        <v>5399.48</v>
      </c>
      <c r="K1249" s="5">
        <f>IF(SalesData[[#This Row],[Total Revenue]]=0,0,SalesData[[#This Row],[Profit]]/SalesData[[#This Row],[Total Revenue]])</f>
        <v>0.34389401948920451</v>
      </c>
      <c r="L1249" s="5" t="str">
        <f>TEXT(SalesData[[#This Row],[Date]],"mmm")</f>
        <v>Aug</v>
      </c>
      <c r="M1249">
        <f>YEAR(SalesData[[#This Row],[Date]])</f>
        <v>2023</v>
      </c>
      <c r="N1249">
        <f>WEEKNUM(SalesData[[#This Row],[Date]])</f>
        <v>35</v>
      </c>
      <c r="O1249" t="s">
        <v>2060</v>
      </c>
      <c r="P1249" t="s">
        <v>2522</v>
      </c>
      <c r="Q1249" t="s">
        <v>2527</v>
      </c>
    </row>
    <row r="1250" spans="1:17" x14ac:dyDescent="0.35">
      <c r="A1250" t="s">
        <v>495</v>
      </c>
      <c r="B1250" s="3">
        <v>44999</v>
      </c>
      <c r="C1250" t="s">
        <v>2016</v>
      </c>
      <c r="D1250" t="s">
        <v>2025</v>
      </c>
      <c r="E1250" s="8">
        <v>4630</v>
      </c>
      <c r="F1250">
        <v>4</v>
      </c>
      <c r="G1250">
        <v>15</v>
      </c>
      <c r="H1250" s="8">
        <v>15742</v>
      </c>
      <c r="I1250">
        <v>2533.2800000000002</v>
      </c>
      <c r="J1250">
        <v>5608.88</v>
      </c>
      <c r="K1250" s="5">
        <f>IF(SalesData[[#This Row],[Total Revenue]]=0,0,SalesData[[#This Row],[Profit]]/SalesData[[#This Row],[Total Revenue]])</f>
        <v>0.35630034303138103</v>
      </c>
      <c r="L1250" s="5" t="str">
        <f>TEXT(SalesData[[#This Row],[Date]],"mmm")</f>
        <v>Mar</v>
      </c>
      <c r="M1250">
        <f>YEAR(SalesData[[#This Row],[Date]])</f>
        <v>2023</v>
      </c>
      <c r="N1250">
        <f>WEEKNUM(SalesData[[#This Row],[Date]])</f>
        <v>11</v>
      </c>
      <c r="O1250" t="s">
        <v>2140</v>
      </c>
      <c r="P1250" t="s">
        <v>2523</v>
      </c>
      <c r="Q1250" t="s">
        <v>2524</v>
      </c>
    </row>
    <row r="1251" spans="1:17" x14ac:dyDescent="0.35">
      <c r="A1251" t="s">
        <v>1733</v>
      </c>
      <c r="B1251" s="3">
        <v>45193</v>
      </c>
      <c r="C1251" t="s">
        <v>2019</v>
      </c>
      <c r="D1251" t="s">
        <v>2027</v>
      </c>
      <c r="E1251" s="8">
        <v>1751</v>
      </c>
      <c r="F1251">
        <v>9</v>
      </c>
      <c r="G1251">
        <v>0</v>
      </c>
      <c r="H1251" s="8">
        <v>15759</v>
      </c>
      <c r="I1251">
        <v>1369.54</v>
      </c>
      <c r="J1251">
        <v>3433.18</v>
      </c>
      <c r="K1251" s="5">
        <f>IF(SalesData[[#This Row],[Total Revenue]]=0,0,SalesData[[#This Row],[Profit]]/SalesData[[#This Row],[Total Revenue]])</f>
        <v>0.21785519385747826</v>
      </c>
      <c r="L1251" s="5" t="str">
        <f>TEXT(SalesData[[#This Row],[Date]],"mmm")</f>
        <v>Sep</v>
      </c>
      <c r="M1251">
        <f>YEAR(SalesData[[#This Row],[Date]])</f>
        <v>2023</v>
      </c>
      <c r="N1251">
        <f>WEEKNUM(SalesData[[#This Row],[Date]])</f>
        <v>39</v>
      </c>
      <c r="O1251" t="s">
        <v>2377</v>
      </c>
      <c r="P1251" t="s">
        <v>2523</v>
      </c>
      <c r="Q1251" t="s">
        <v>2525</v>
      </c>
    </row>
    <row r="1252" spans="1:17" x14ac:dyDescent="0.35">
      <c r="A1252" t="s">
        <v>1346</v>
      </c>
      <c r="B1252" s="3">
        <v>45082</v>
      </c>
      <c r="C1252" t="s">
        <v>2017</v>
      </c>
      <c r="D1252" t="s">
        <v>2026</v>
      </c>
      <c r="E1252" s="8">
        <v>2504</v>
      </c>
      <c r="F1252">
        <v>7</v>
      </c>
      <c r="G1252">
        <v>10</v>
      </c>
      <c r="H1252" s="8">
        <v>15775.2</v>
      </c>
      <c r="I1252">
        <v>1483.51</v>
      </c>
      <c r="J1252">
        <v>5390.62</v>
      </c>
      <c r="K1252" s="5">
        <f>IF(SalesData[[#This Row],[Total Revenue]]=0,0,SalesData[[#This Row],[Profit]]/SalesData[[#This Row],[Total Revenue]])</f>
        <v>0.34171484355190423</v>
      </c>
      <c r="L1252" s="5" t="str">
        <f>TEXT(SalesData[[#This Row],[Date]],"mmm")</f>
        <v>Jun</v>
      </c>
      <c r="M1252">
        <f>YEAR(SalesData[[#This Row],[Date]])</f>
        <v>2023</v>
      </c>
      <c r="N1252">
        <f>WEEKNUM(SalesData[[#This Row],[Date]])</f>
        <v>23</v>
      </c>
      <c r="O1252" t="s">
        <v>2306</v>
      </c>
      <c r="P1252" t="s">
        <v>2522</v>
      </c>
      <c r="Q1252" t="s">
        <v>2524</v>
      </c>
    </row>
    <row r="1253" spans="1:17" x14ac:dyDescent="0.35">
      <c r="A1253" t="s">
        <v>957</v>
      </c>
      <c r="B1253" s="3">
        <v>45281</v>
      </c>
      <c r="C1253" t="s">
        <v>2014</v>
      </c>
      <c r="D1253" t="s">
        <v>2024</v>
      </c>
      <c r="E1253" s="8">
        <v>3507</v>
      </c>
      <c r="F1253">
        <v>5</v>
      </c>
      <c r="G1253">
        <v>10</v>
      </c>
      <c r="H1253" s="8">
        <v>15781.5</v>
      </c>
      <c r="I1253">
        <v>1922.62</v>
      </c>
      <c r="J1253">
        <v>6168.39</v>
      </c>
      <c r="K1253" s="5">
        <f>IF(SalesData[[#This Row],[Total Revenue]]=0,0,SalesData[[#This Row],[Profit]]/SalesData[[#This Row],[Total Revenue]])</f>
        <v>0.39086208535310335</v>
      </c>
      <c r="L1253" s="5" t="str">
        <f>TEXT(SalesData[[#This Row],[Date]],"mmm")</f>
        <v>Dec</v>
      </c>
      <c r="M1253">
        <f>YEAR(SalesData[[#This Row],[Date]])</f>
        <v>2023</v>
      </c>
      <c r="N1253">
        <f>WEEKNUM(SalesData[[#This Row],[Date]])</f>
        <v>51</v>
      </c>
      <c r="O1253" t="s">
        <v>2326</v>
      </c>
      <c r="P1253" t="s">
        <v>2522</v>
      </c>
      <c r="Q1253" t="s">
        <v>2526</v>
      </c>
    </row>
    <row r="1254" spans="1:17" x14ac:dyDescent="0.35">
      <c r="A1254" t="s">
        <v>1929</v>
      </c>
      <c r="B1254" s="3">
        <v>45027</v>
      </c>
      <c r="C1254" t="s">
        <v>2019</v>
      </c>
      <c r="D1254" t="s">
        <v>2027</v>
      </c>
      <c r="E1254" s="8">
        <v>4166</v>
      </c>
      <c r="F1254">
        <v>4</v>
      </c>
      <c r="G1254">
        <v>5</v>
      </c>
      <c r="H1254" s="8">
        <v>15830.8</v>
      </c>
      <c r="I1254">
        <v>3265.52</v>
      </c>
      <c r="J1254">
        <v>2768.73</v>
      </c>
      <c r="K1254" s="5">
        <f>IF(SalesData[[#This Row],[Total Revenue]]=0,0,SalesData[[#This Row],[Profit]]/SalesData[[#This Row],[Total Revenue]])</f>
        <v>0.17489514111731563</v>
      </c>
      <c r="L1254" s="5" t="str">
        <f>TEXT(SalesData[[#This Row],[Date]],"mmm")</f>
        <v>Apr</v>
      </c>
      <c r="M1254">
        <f>YEAR(SalesData[[#This Row],[Date]])</f>
        <v>2023</v>
      </c>
      <c r="N1254">
        <f>WEEKNUM(SalesData[[#This Row],[Date]])</f>
        <v>15</v>
      </c>
      <c r="O1254" t="s">
        <v>2321</v>
      </c>
      <c r="P1254" t="s">
        <v>2522</v>
      </c>
      <c r="Q1254" t="s">
        <v>2526</v>
      </c>
    </row>
    <row r="1255" spans="1:17" x14ac:dyDescent="0.35">
      <c r="A1255" t="s">
        <v>1267</v>
      </c>
      <c r="B1255" s="3">
        <v>45074</v>
      </c>
      <c r="C1255" t="s">
        <v>2021</v>
      </c>
      <c r="D1255" t="s">
        <v>2028</v>
      </c>
      <c r="E1255" s="8">
        <v>2330</v>
      </c>
      <c r="F1255">
        <v>8</v>
      </c>
      <c r="G1255">
        <v>15</v>
      </c>
      <c r="H1255" s="8">
        <v>15844</v>
      </c>
      <c r="I1255">
        <v>1221.9000000000001</v>
      </c>
      <c r="J1255">
        <v>6068.82</v>
      </c>
      <c r="K1255" s="5">
        <f>IF(SalesData[[#This Row],[Total Revenue]]=0,0,SalesData[[#This Row],[Profit]]/SalesData[[#This Row],[Total Revenue]])</f>
        <v>0.38303584953294623</v>
      </c>
      <c r="L1255" s="5" t="str">
        <f>TEXT(SalesData[[#This Row],[Date]],"mmm")</f>
        <v>May</v>
      </c>
      <c r="M1255">
        <f>YEAR(SalesData[[#This Row],[Date]])</f>
        <v>2023</v>
      </c>
      <c r="N1255">
        <f>WEEKNUM(SalesData[[#This Row],[Date]])</f>
        <v>22</v>
      </c>
      <c r="O1255" t="s">
        <v>2412</v>
      </c>
      <c r="P1255" t="s">
        <v>2523</v>
      </c>
      <c r="Q1255" t="s">
        <v>2524</v>
      </c>
    </row>
    <row r="1256" spans="1:17" x14ac:dyDescent="0.35">
      <c r="A1256" t="s">
        <v>90</v>
      </c>
      <c r="B1256" s="3">
        <v>44962</v>
      </c>
      <c r="C1256" t="s">
        <v>2018</v>
      </c>
      <c r="D1256" t="s">
        <v>2026</v>
      </c>
      <c r="E1256" s="8">
        <v>2643</v>
      </c>
      <c r="F1256">
        <v>6</v>
      </c>
      <c r="G1256">
        <v>0</v>
      </c>
      <c r="H1256" s="8">
        <v>15858</v>
      </c>
      <c r="I1256">
        <v>2086.79</v>
      </c>
      <c r="J1256">
        <v>3337.23</v>
      </c>
      <c r="K1256" s="5">
        <f>IF(SalesData[[#This Row],[Total Revenue]]=0,0,SalesData[[#This Row],[Profit]]/SalesData[[#This Row],[Total Revenue]])</f>
        <v>0.21044457056375332</v>
      </c>
      <c r="L1256" s="5" t="str">
        <f>TEXT(SalesData[[#This Row],[Date]],"mmm")</f>
        <v>Feb</v>
      </c>
      <c r="M1256">
        <f>YEAR(SalesData[[#This Row],[Date]])</f>
        <v>2023</v>
      </c>
      <c r="N1256">
        <f>WEEKNUM(SalesData[[#This Row],[Date]])</f>
        <v>6</v>
      </c>
      <c r="O1256" t="s">
        <v>2098</v>
      </c>
      <c r="P1256" t="s">
        <v>2523</v>
      </c>
      <c r="Q1256" t="s">
        <v>2526</v>
      </c>
    </row>
    <row r="1257" spans="1:17" x14ac:dyDescent="0.35">
      <c r="A1257" t="s">
        <v>188</v>
      </c>
      <c r="B1257" s="3">
        <v>45157</v>
      </c>
      <c r="C1257" t="s">
        <v>2022</v>
      </c>
      <c r="D1257" t="s">
        <v>2024</v>
      </c>
      <c r="E1257" s="8">
        <v>4176</v>
      </c>
      <c r="F1257">
        <v>4</v>
      </c>
      <c r="G1257">
        <v>5</v>
      </c>
      <c r="H1257" s="8">
        <v>15868.8</v>
      </c>
      <c r="I1257">
        <v>2722.14</v>
      </c>
      <c r="J1257">
        <v>4980.25</v>
      </c>
      <c r="K1257" s="5">
        <f>IF(SalesData[[#This Row],[Total Revenue]]=0,0,SalesData[[#This Row],[Profit]]/SalesData[[#This Row],[Total Revenue]])</f>
        <v>0.313839105666465</v>
      </c>
      <c r="L1257" s="5" t="str">
        <f>TEXT(SalesData[[#This Row],[Date]],"mmm")</f>
        <v>Aug</v>
      </c>
      <c r="M1257">
        <f>YEAR(SalesData[[#This Row],[Date]])</f>
        <v>2023</v>
      </c>
      <c r="N1257">
        <f>WEEKNUM(SalesData[[#This Row],[Date]])</f>
        <v>33</v>
      </c>
      <c r="O1257" t="s">
        <v>2130</v>
      </c>
      <c r="P1257" t="s">
        <v>2523</v>
      </c>
      <c r="Q1257" t="s">
        <v>2527</v>
      </c>
    </row>
    <row r="1258" spans="1:17" x14ac:dyDescent="0.35">
      <c r="A1258" t="s">
        <v>1985</v>
      </c>
      <c r="B1258" s="3">
        <v>45272</v>
      </c>
      <c r="C1258" t="s">
        <v>2017</v>
      </c>
      <c r="D1258" t="s">
        <v>2026</v>
      </c>
      <c r="E1258" s="8">
        <v>1984</v>
      </c>
      <c r="F1258">
        <v>8</v>
      </c>
      <c r="G1258">
        <v>0</v>
      </c>
      <c r="H1258" s="8">
        <v>15872</v>
      </c>
      <c r="I1258">
        <v>1084.49</v>
      </c>
      <c r="J1258">
        <v>7196.08</v>
      </c>
      <c r="K1258" s="5">
        <f>IF(SalesData[[#This Row],[Total Revenue]]=0,0,SalesData[[#This Row],[Profit]]/SalesData[[#This Row],[Total Revenue]])</f>
        <v>0.45338205645161289</v>
      </c>
      <c r="L1258" s="5" t="str">
        <f>TEXT(SalesData[[#This Row],[Date]],"mmm")</f>
        <v>Dec</v>
      </c>
      <c r="M1258">
        <f>YEAR(SalesData[[#This Row],[Date]])</f>
        <v>2023</v>
      </c>
      <c r="N1258">
        <f>WEEKNUM(SalesData[[#This Row],[Date]])</f>
        <v>50</v>
      </c>
      <c r="O1258" t="s">
        <v>2117</v>
      </c>
      <c r="P1258" t="s">
        <v>2523</v>
      </c>
      <c r="Q1258" t="s">
        <v>2524</v>
      </c>
    </row>
    <row r="1259" spans="1:17" x14ac:dyDescent="0.35">
      <c r="A1259" t="s">
        <v>908</v>
      </c>
      <c r="B1259" s="3">
        <v>45253</v>
      </c>
      <c r="C1259" t="s">
        <v>2016</v>
      </c>
      <c r="D1259" t="s">
        <v>2025</v>
      </c>
      <c r="E1259" s="8">
        <v>2786</v>
      </c>
      <c r="F1259">
        <v>6</v>
      </c>
      <c r="G1259">
        <v>5</v>
      </c>
      <c r="H1259" s="8">
        <v>15880.2</v>
      </c>
      <c r="I1259">
        <v>2113.0300000000002</v>
      </c>
      <c r="J1259">
        <v>3202.01</v>
      </c>
      <c r="K1259" s="5">
        <f>IF(SalesData[[#This Row],[Total Revenue]]=0,0,SalesData[[#This Row],[Profit]]/SalesData[[#This Row],[Total Revenue]])</f>
        <v>0.2016353698316142</v>
      </c>
      <c r="L1259" s="5" t="str">
        <f>TEXT(SalesData[[#This Row],[Date]],"mmm")</f>
        <v>Nov</v>
      </c>
      <c r="M1259">
        <f>YEAR(SalesData[[#This Row],[Date]])</f>
        <v>2023</v>
      </c>
      <c r="N1259">
        <f>WEEKNUM(SalesData[[#This Row],[Date]])</f>
        <v>47</v>
      </c>
      <c r="O1259" t="s">
        <v>2066</v>
      </c>
      <c r="P1259" t="s">
        <v>2523</v>
      </c>
      <c r="Q1259" t="s">
        <v>2527</v>
      </c>
    </row>
    <row r="1260" spans="1:17" x14ac:dyDescent="0.35">
      <c r="A1260" t="s">
        <v>1246</v>
      </c>
      <c r="B1260" s="3">
        <v>45262</v>
      </c>
      <c r="C1260" t="s">
        <v>2013</v>
      </c>
      <c r="D1260" t="s">
        <v>2023</v>
      </c>
      <c r="E1260" s="8">
        <v>2337</v>
      </c>
      <c r="F1260">
        <v>8</v>
      </c>
      <c r="G1260">
        <v>15</v>
      </c>
      <c r="H1260" s="8">
        <v>15891.6</v>
      </c>
      <c r="I1260">
        <v>1822.6</v>
      </c>
      <c r="J1260">
        <v>1310.77</v>
      </c>
      <c r="K1260" s="5">
        <f>IF(SalesData[[#This Row],[Total Revenue]]=0,0,SalesData[[#This Row],[Profit]]/SalesData[[#This Row],[Total Revenue]])</f>
        <v>8.2481940144478835E-2</v>
      </c>
      <c r="L1260" s="5" t="str">
        <f>TEXT(SalesData[[#This Row],[Date]],"mmm")</f>
        <v>Dec</v>
      </c>
      <c r="M1260">
        <f>YEAR(SalesData[[#This Row],[Date]])</f>
        <v>2023</v>
      </c>
      <c r="N1260">
        <f>WEEKNUM(SalesData[[#This Row],[Date]])</f>
        <v>48</v>
      </c>
      <c r="O1260" t="s">
        <v>2164</v>
      </c>
      <c r="P1260" t="s">
        <v>2523</v>
      </c>
      <c r="Q1260" t="s">
        <v>2526</v>
      </c>
    </row>
    <row r="1261" spans="1:17" x14ac:dyDescent="0.35">
      <c r="A1261" t="s">
        <v>919</v>
      </c>
      <c r="B1261" s="3">
        <v>45129</v>
      </c>
      <c r="C1261" t="s">
        <v>2013</v>
      </c>
      <c r="D1261" t="s">
        <v>2023</v>
      </c>
      <c r="E1261" s="8">
        <v>2946</v>
      </c>
      <c r="F1261">
        <v>6</v>
      </c>
      <c r="G1261">
        <v>10</v>
      </c>
      <c r="H1261" s="8">
        <v>15908.4</v>
      </c>
      <c r="I1261">
        <v>1716.51</v>
      </c>
      <c r="J1261">
        <v>5609.31</v>
      </c>
      <c r="K1261" s="5">
        <f>IF(SalesData[[#This Row],[Total Revenue]]=0,0,SalesData[[#This Row],[Profit]]/SalesData[[#This Row],[Total Revenue]])</f>
        <v>0.35260051293656186</v>
      </c>
      <c r="L1261" s="5" t="str">
        <f>TEXT(SalesData[[#This Row],[Date]],"mmm")</f>
        <v>Jul</v>
      </c>
      <c r="M1261">
        <f>YEAR(SalesData[[#This Row],[Date]])</f>
        <v>2023</v>
      </c>
      <c r="N1261">
        <f>WEEKNUM(SalesData[[#This Row],[Date]])</f>
        <v>29</v>
      </c>
      <c r="O1261" t="s">
        <v>2444</v>
      </c>
      <c r="P1261" t="s">
        <v>2523</v>
      </c>
      <c r="Q1261" t="s">
        <v>2524</v>
      </c>
    </row>
    <row r="1262" spans="1:17" x14ac:dyDescent="0.35">
      <c r="A1262" t="s">
        <v>1826</v>
      </c>
      <c r="B1262" s="3">
        <v>45158</v>
      </c>
      <c r="C1262" t="s">
        <v>2013</v>
      </c>
      <c r="D1262" t="s">
        <v>2023</v>
      </c>
      <c r="E1262" s="8">
        <v>3745</v>
      </c>
      <c r="F1262">
        <v>5</v>
      </c>
      <c r="G1262">
        <v>15</v>
      </c>
      <c r="H1262" s="8">
        <v>15916.25</v>
      </c>
      <c r="I1262">
        <v>2995.31</v>
      </c>
      <c r="J1262">
        <v>939.68</v>
      </c>
      <c r="K1262" s="5">
        <f>IF(SalesData[[#This Row],[Total Revenue]]=0,0,SalesData[[#This Row],[Profit]]/SalesData[[#This Row],[Total Revenue]])</f>
        <v>5.9039032435404065E-2</v>
      </c>
      <c r="L1262" s="5" t="str">
        <f>TEXT(SalesData[[#This Row],[Date]],"mmm")</f>
        <v>Aug</v>
      </c>
      <c r="M1262">
        <f>YEAR(SalesData[[#This Row],[Date]])</f>
        <v>2023</v>
      </c>
      <c r="N1262">
        <f>WEEKNUM(SalesData[[#This Row],[Date]])</f>
        <v>34</v>
      </c>
      <c r="O1262" t="s">
        <v>2391</v>
      </c>
      <c r="P1262" t="s">
        <v>2522</v>
      </c>
      <c r="Q1262" t="s">
        <v>2524</v>
      </c>
    </row>
    <row r="1263" spans="1:17" x14ac:dyDescent="0.35">
      <c r="A1263" t="s">
        <v>284</v>
      </c>
      <c r="B1263" s="3">
        <v>45124</v>
      </c>
      <c r="C1263" t="s">
        <v>2022</v>
      </c>
      <c r="D1263" t="s">
        <v>2024</v>
      </c>
      <c r="E1263" s="8">
        <v>1990</v>
      </c>
      <c r="F1263">
        <v>8</v>
      </c>
      <c r="G1263">
        <v>0</v>
      </c>
      <c r="H1263" s="8">
        <v>15920</v>
      </c>
      <c r="I1263">
        <v>1485.67</v>
      </c>
      <c r="J1263">
        <v>4034.65</v>
      </c>
      <c r="K1263" s="5">
        <f>IF(SalesData[[#This Row],[Total Revenue]]=0,0,SalesData[[#This Row],[Profit]]/SalesData[[#This Row],[Total Revenue]])</f>
        <v>0.2534327889447236</v>
      </c>
      <c r="L1263" s="5" t="str">
        <f>TEXT(SalesData[[#This Row],[Date]],"mmm")</f>
        <v>Jul</v>
      </c>
      <c r="M1263">
        <f>YEAR(SalesData[[#This Row],[Date]])</f>
        <v>2023</v>
      </c>
      <c r="N1263">
        <f>WEEKNUM(SalesData[[#This Row],[Date]])</f>
        <v>29</v>
      </c>
      <c r="O1263" t="s">
        <v>2134</v>
      </c>
      <c r="P1263" t="s">
        <v>2522</v>
      </c>
      <c r="Q1263" t="s">
        <v>2527</v>
      </c>
    </row>
    <row r="1264" spans="1:17" x14ac:dyDescent="0.35">
      <c r="A1264" t="s">
        <v>477</v>
      </c>
      <c r="B1264" s="3">
        <v>44962</v>
      </c>
      <c r="C1264" t="s">
        <v>2021</v>
      </c>
      <c r="D1264" t="s">
        <v>2028</v>
      </c>
      <c r="E1264" s="8">
        <v>1772</v>
      </c>
      <c r="F1264">
        <v>10</v>
      </c>
      <c r="G1264">
        <v>10</v>
      </c>
      <c r="H1264" s="8">
        <v>15948</v>
      </c>
      <c r="I1264">
        <v>1383.97</v>
      </c>
      <c r="J1264">
        <v>2108.29</v>
      </c>
      <c r="K1264" s="5">
        <f>IF(SalesData[[#This Row],[Total Revenue]]=0,0,SalesData[[#This Row],[Profit]]/SalesData[[#This Row],[Total Revenue]])</f>
        <v>0.13219776774517181</v>
      </c>
      <c r="L1264" s="5" t="str">
        <f>TEXT(SalesData[[#This Row],[Date]],"mmm")</f>
        <v>Feb</v>
      </c>
      <c r="M1264">
        <f>YEAR(SalesData[[#This Row],[Date]])</f>
        <v>2023</v>
      </c>
      <c r="N1264">
        <f>WEEKNUM(SalesData[[#This Row],[Date]])</f>
        <v>6</v>
      </c>
      <c r="O1264" t="s">
        <v>2039</v>
      </c>
      <c r="P1264" t="s">
        <v>2523</v>
      </c>
      <c r="Q1264" t="s">
        <v>2526</v>
      </c>
    </row>
    <row r="1265" spans="1:17" x14ac:dyDescent="0.35">
      <c r="A1265" t="s">
        <v>1400</v>
      </c>
      <c r="B1265" s="3">
        <v>44960</v>
      </c>
      <c r="C1265" t="s">
        <v>2018</v>
      </c>
      <c r="D1265" t="s">
        <v>2026</v>
      </c>
      <c r="E1265" s="8">
        <v>3757</v>
      </c>
      <c r="F1265">
        <v>5</v>
      </c>
      <c r="G1265">
        <v>15</v>
      </c>
      <c r="H1265" s="8">
        <v>15967.25</v>
      </c>
      <c r="I1265">
        <v>2415.23</v>
      </c>
      <c r="J1265">
        <v>3891.08</v>
      </c>
      <c r="K1265" s="5">
        <f>IF(SalesData[[#This Row],[Total Revenue]]=0,0,SalesData[[#This Row],[Profit]]/SalesData[[#This Row],[Total Revenue]])</f>
        <v>0.2436913056412344</v>
      </c>
      <c r="L1265" s="5" t="str">
        <f>TEXT(SalesData[[#This Row],[Date]],"mmm")</f>
        <v>Feb</v>
      </c>
      <c r="M1265">
        <f>YEAR(SalesData[[#This Row],[Date]])</f>
        <v>2023</v>
      </c>
      <c r="N1265">
        <f>WEEKNUM(SalesData[[#This Row],[Date]])</f>
        <v>5</v>
      </c>
      <c r="O1265" t="s">
        <v>2268</v>
      </c>
      <c r="P1265" t="s">
        <v>2522</v>
      </c>
      <c r="Q1265" t="s">
        <v>2527</v>
      </c>
    </row>
    <row r="1266" spans="1:17" x14ac:dyDescent="0.35">
      <c r="A1266" t="s">
        <v>1766</v>
      </c>
      <c r="B1266" s="3">
        <v>45014</v>
      </c>
      <c r="C1266" t="s">
        <v>2015</v>
      </c>
      <c r="D1266" t="s">
        <v>2025</v>
      </c>
      <c r="E1266" s="8">
        <v>2218</v>
      </c>
      <c r="F1266">
        <v>8</v>
      </c>
      <c r="G1266">
        <v>10</v>
      </c>
      <c r="H1266" s="8">
        <v>15969.6</v>
      </c>
      <c r="I1266">
        <v>1318.54</v>
      </c>
      <c r="J1266">
        <v>5421.26</v>
      </c>
      <c r="K1266" s="5">
        <f>IF(SalesData[[#This Row],[Total Revenue]]=0,0,SalesData[[#This Row],[Profit]]/SalesData[[#This Row],[Total Revenue]])</f>
        <v>0.33947375012523795</v>
      </c>
      <c r="L1266" s="5" t="str">
        <f>TEXT(SalesData[[#This Row],[Date]],"mmm")</f>
        <v>Mar</v>
      </c>
      <c r="M1266">
        <f>YEAR(SalesData[[#This Row],[Date]])</f>
        <v>2023</v>
      </c>
      <c r="N1266">
        <f>WEEKNUM(SalesData[[#This Row],[Date]])</f>
        <v>13</v>
      </c>
      <c r="O1266" t="s">
        <v>2483</v>
      </c>
      <c r="P1266" t="s">
        <v>2523</v>
      </c>
      <c r="Q1266" t="s">
        <v>2527</v>
      </c>
    </row>
    <row r="1267" spans="1:17" x14ac:dyDescent="0.35">
      <c r="A1267" t="s">
        <v>699</v>
      </c>
      <c r="B1267" s="3">
        <v>45263</v>
      </c>
      <c r="C1267" t="s">
        <v>2017</v>
      </c>
      <c r="D1267" t="s">
        <v>2026</v>
      </c>
      <c r="E1267" s="8">
        <v>2685</v>
      </c>
      <c r="F1267">
        <v>7</v>
      </c>
      <c r="G1267">
        <v>15</v>
      </c>
      <c r="H1267" s="8">
        <v>15975.75</v>
      </c>
      <c r="I1267">
        <v>1853.52</v>
      </c>
      <c r="J1267">
        <v>3001.1</v>
      </c>
      <c r="K1267" s="5">
        <f>IF(SalesData[[#This Row],[Total Revenue]]=0,0,SalesData[[#This Row],[Profit]]/SalesData[[#This Row],[Total Revenue]])</f>
        <v>0.18785346540850978</v>
      </c>
      <c r="L1267" s="5" t="str">
        <f>TEXT(SalesData[[#This Row],[Date]],"mmm")</f>
        <v>Dec</v>
      </c>
      <c r="M1267">
        <f>YEAR(SalesData[[#This Row],[Date]])</f>
        <v>2023</v>
      </c>
      <c r="N1267">
        <f>WEEKNUM(SalesData[[#This Row],[Date]])</f>
        <v>49</v>
      </c>
      <c r="O1267" t="s">
        <v>2400</v>
      </c>
      <c r="P1267" t="s">
        <v>2522</v>
      </c>
      <c r="Q1267" t="s">
        <v>2526</v>
      </c>
    </row>
    <row r="1268" spans="1:17" x14ac:dyDescent="0.35">
      <c r="A1268" t="s">
        <v>726</v>
      </c>
      <c r="B1268" s="3">
        <v>45017</v>
      </c>
      <c r="C1268" t="s">
        <v>2017</v>
      </c>
      <c r="D1268" t="s">
        <v>2026</v>
      </c>
      <c r="E1268" s="8">
        <v>3555</v>
      </c>
      <c r="F1268">
        <v>5</v>
      </c>
      <c r="G1268">
        <v>10</v>
      </c>
      <c r="H1268" s="8">
        <v>15997.5</v>
      </c>
      <c r="I1268">
        <v>2645.6</v>
      </c>
      <c r="J1268">
        <v>2769.48</v>
      </c>
      <c r="K1268" s="5">
        <f>IF(SalesData[[#This Row],[Total Revenue]]=0,0,SalesData[[#This Row],[Profit]]/SalesData[[#This Row],[Total Revenue]])</f>
        <v>0.17311954992967651</v>
      </c>
      <c r="L1268" s="5" t="str">
        <f>TEXT(SalesData[[#This Row],[Date]],"mmm")</f>
        <v>Apr</v>
      </c>
      <c r="M1268">
        <f>YEAR(SalesData[[#This Row],[Date]])</f>
        <v>2023</v>
      </c>
      <c r="N1268">
        <f>WEEKNUM(SalesData[[#This Row],[Date]])</f>
        <v>13</v>
      </c>
      <c r="O1268" t="s">
        <v>2380</v>
      </c>
      <c r="P1268" t="s">
        <v>2523</v>
      </c>
      <c r="Q1268" t="s">
        <v>2524</v>
      </c>
    </row>
    <row r="1269" spans="1:17" x14ac:dyDescent="0.35">
      <c r="A1269" t="s">
        <v>886</v>
      </c>
      <c r="B1269" s="3">
        <v>45077</v>
      </c>
      <c r="C1269" t="s">
        <v>2013</v>
      </c>
      <c r="D1269" t="s">
        <v>2023</v>
      </c>
      <c r="E1269" s="8">
        <v>4000</v>
      </c>
      <c r="F1269">
        <v>4</v>
      </c>
      <c r="G1269">
        <v>0</v>
      </c>
      <c r="H1269" s="8">
        <v>16000</v>
      </c>
      <c r="I1269">
        <v>3124.77</v>
      </c>
      <c r="J1269">
        <v>3500.92</v>
      </c>
      <c r="K1269" s="5">
        <f>IF(SalesData[[#This Row],[Total Revenue]]=0,0,SalesData[[#This Row],[Profit]]/SalesData[[#This Row],[Total Revenue]])</f>
        <v>0.21880750000000002</v>
      </c>
      <c r="L1269" s="5" t="str">
        <f>TEXT(SalesData[[#This Row],[Date]],"mmm")</f>
        <v>May</v>
      </c>
      <c r="M1269">
        <f>YEAR(SalesData[[#This Row],[Date]])</f>
        <v>2023</v>
      </c>
      <c r="N1269">
        <f>WEEKNUM(SalesData[[#This Row],[Date]])</f>
        <v>22</v>
      </c>
      <c r="O1269" t="s">
        <v>2059</v>
      </c>
      <c r="P1269" t="s">
        <v>2523</v>
      </c>
      <c r="Q1269" t="s">
        <v>2525</v>
      </c>
    </row>
    <row r="1270" spans="1:17" x14ac:dyDescent="0.35">
      <c r="A1270" t="s">
        <v>301</v>
      </c>
      <c r="B1270" s="3">
        <v>45129</v>
      </c>
      <c r="C1270" t="s">
        <v>2013</v>
      </c>
      <c r="D1270" t="s">
        <v>2023</v>
      </c>
      <c r="E1270" s="8">
        <v>4214</v>
      </c>
      <c r="F1270">
        <v>4</v>
      </c>
      <c r="G1270">
        <v>5</v>
      </c>
      <c r="H1270" s="8">
        <v>16013.2</v>
      </c>
      <c r="I1270">
        <v>2291.48</v>
      </c>
      <c r="J1270">
        <v>6847.26</v>
      </c>
      <c r="K1270" s="5">
        <f>IF(SalesData[[#This Row],[Total Revenue]]=0,0,SalesData[[#This Row],[Profit]]/SalesData[[#This Row],[Total Revenue]])</f>
        <v>0.42760097919216644</v>
      </c>
      <c r="L1270" s="5" t="str">
        <f>TEXT(SalesData[[#This Row],[Date]],"mmm")</f>
        <v>Jul</v>
      </c>
      <c r="M1270">
        <f>YEAR(SalesData[[#This Row],[Date]])</f>
        <v>2023</v>
      </c>
      <c r="N1270">
        <f>WEEKNUM(SalesData[[#This Row],[Date]])</f>
        <v>29</v>
      </c>
      <c r="O1270" t="s">
        <v>2246</v>
      </c>
      <c r="P1270" t="s">
        <v>2522</v>
      </c>
      <c r="Q1270" t="s">
        <v>2526</v>
      </c>
    </row>
    <row r="1271" spans="1:17" x14ac:dyDescent="0.35">
      <c r="A1271" t="s">
        <v>106</v>
      </c>
      <c r="B1271" s="3">
        <v>45040</v>
      </c>
      <c r="C1271" t="s">
        <v>2019</v>
      </c>
      <c r="D1271" t="s">
        <v>2027</v>
      </c>
      <c r="E1271" s="8">
        <v>1885</v>
      </c>
      <c r="F1271">
        <v>10</v>
      </c>
      <c r="G1271">
        <v>15</v>
      </c>
      <c r="H1271" s="8">
        <v>16022.5</v>
      </c>
      <c r="I1271">
        <v>1038.02</v>
      </c>
      <c r="J1271">
        <v>5642.35</v>
      </c>
      <c r="K1271" s="5">
        <f>IF(SalesData[[#This Row],[Total Revenue]]=0,0,SalesData[[#This Row],[Profit]]/SalesData[[#This Row],[Total Revenue]])</f>
        <v>0.35215166172569828</v>
      </c>
      <c r="L1271" s="5" t="str">
        <f>TEXT(SalesData[[#This Row],[Date]],"mmm")</f>
        <v>Apr</v>
      </c>
      <c r="M1271">
        <f>YEAR(SalesData[[#This Row],[Date]])</f>
        <v>2023</v>
      </c>
      <c r="N1271">
        <f>WEEKNUM(SalesData[[#This Row],[Date]])</f>
        <v>17</v>
      </c>
      <c r="O1271" t="s">
        <v>2112</v>
      </c>
      <c r="P1271" t="s">
        <v>2522</v>
      </c>
      <c r="Q1271" t="s">
        <v>2525</v>
      </c>
    </row>
    <row r="1272" spans="1:17" x14ac:dyDescent="0.35">
      <c r="A1272" t="s">
        <v>1544</v>
      </c>
      <c r="B1272" s="3">
        <v>45218</v>
      </c>
      <c r="C1272" t="s">
        <v>2021</v>
      </c>
      <c r="D1272" t="s">
        <v>2028</v>
      </c>
      <c r="E1272" s="8">
        <v>4720</v>
      </c>
      <c r="F1272">
        <v>4</v>
      </c>
      <c r="G1272">
        <v>15</v>
      </c>
      <c r="H1272" s="8">
        <v>16048</v>
      </c>
      <c r="I1272">
        <v>2844.07</v>
      </c>
      <c r="J1272">
        <v>4671.7299999999996</v>
      </c>
      <c r="K1272" s="5">
        <f>IF(SalesData[[#This Row],[Total Revenue]]=0,0,SalesData[[#This Row],[Profit]]/SalesData[[#This Row],[Total Revenue]])</f>
        <v>0.29110979561316047</v>
      </c>
      <c r="L1272" s="5" t="str">
        <f>TEXT(SalesData[[#This Row],[Date]],"mmm")</f>
        <v>Oct</v>
      </c>
      <c r="M1272">
        <f>YEAR(SalesData[[#This Row],[Date]])</f>
        <v>2023</v>
      </c>
      <c r="N1272">
        <f>WEEKNUM(SalesData[[#This Row],[Date]])</f>
        <v>42</v>
      </c>
      <c r="O1272" t="s">
        <v>2240</v>
      </c>
      <c r="P1272" t="s">
        <v>2523</v>
      </c>
      <c r="Q1272" t="s">
        <v>2526</v>
      </c>
    </row>
    <row r="1273" spans="1:17" x14ac:dyDescent="0.35">
      <c r="A1273" t="s">
        <v>1510</v>
      </c>
      <c r="B1273" s="3">
        <v>45187</v>
      </c>
      <c r="C1273" t="s">
        <v>2020</v>
      </c>
      <c r="D1273" t="s">
        <v>2028</v>
      </c>
      <c r="E1273" s="8">
        <v>4024</v>
      </c>
      <c r="F1273">
        <v>4</v>
      </c>
      <c r="G1273">
        <v>0</v>
      </c>
      <c r="H1273" s="8">
        <v>16096</v>
      </c>
      <c r="I1273">
        <v>2930.65</v>
      </c>
      <c r="J1273">
        <v>4373.3900000000003</v>
      </c>
      <c r="K1273" s="5">
        <f>IF(SalesData[[#This Row],[Total Revenue]]=0,0,SalesData[[#This Row],[Profit]]/SalesData[[#This Row],[Total Revenue]])</f>
        <v>0.27170663518886684</v>
      </c>
      <c r="L1273" s="5" t="str">
        <f>TEXT(SalesData[[#This Row],[Date]],"mmm")</f>
        <v>Sep</v>
      </c>
      <c r="M1273">
        <f>YEAR(SalesData[[#This Row],[Date]])</f>
        <v>2023</v>
      </c>
      <c r="N1273">
        <f>WEEKNUM(SalesData[[#This Row],[Date]])</f>
        <v>38</v>
      </c>
      <c r="O1273" t="s">
        <v>2353</v>
      </c>
      <c r="P1273" t="s">
        <v>2523</v>
      </c>
      <c r="Q1273" t="s">
        <v>2524</v>
      </c>
    </row>
    <row r="1274" spans="1:17" x14ac:dyDescent="0.35">
      <c r="A1274" t="s">
        <v>425</v>
      </c>
      <c r="B1274" s="3">
        <v>45222</v>
      </c>
      <c r="C1274" t="s">
        <v>2022</v>
      </c>
      <c r="D1274" t="s">
        <v>2024</v>
      </c>
      <c r="E1274" s="8">
        <v>3220</v>
      </c>
      <c r="F1274">
        <v>5</v>
      </c>
      <c r="G1274">
        <v>0</v>
      </c>
      <c r="H1274" s="8">
        <v>16100</v>
      </c>
      <c r="I1274">
        <v>1661.8</v>
      </c>
      <c r="J1274">
        <v>7791</v>
      </c>
      <c r="K1274" s="5">
        <f>IF(SalesData[[#This Row],[Total Revenue]]=0,0,SalesData[[#This Row],[Profit]]/SalesData[[#This Row],[Total Revenue]])</f>
        <v>0.48391304347826086</v>
      </c>
      <c r="L1274" s="5" t="str">
        <f>TEXT(SalesData[[#This Row],[Date]],"mmm")</f>
        <v>Oct</v>
      </c>
      <c r="M1274">
        <f>YEAR(SalesData[[#This Row],[Date]])</f>
        <v>2023</v>
      </c>
      <c r="N1274">
        <f>WEEKNUM(SalesData[[#This Row],[Date]])</f>
        <v>43</v>
      </c>
      <c r="O1274" t="s">
        <v>2210</v>
      </c>
      <c r="P1274" t="s">
        <v>2523</v>
      </c>
      <c r="Q1274" t="s">
        <v>2525</v>
      </c>
    </row>
    <row r="1275" spans="1:17" x14ac:dyDescent="0.35">
      <c r="A1275" t="s">
        <v>1579</v>
      </c>
      <c r="B1275" s="3">
        <v>44953</v>
      </c>
      <c r="C1275" t="s">
        <v>2016</v>
      </c>
      <c r="D1275" t="s">
        <v>2025</v>
      </c>
      <c r="E1275" s="8">
        <v>2707</v>
      </c>
      <c r="F1275">
        <v>7</v>
      </c>
      <c r="G1275">
        <v>15</v>
      </c>
      <c r="H1275" s="8">
        <v>16106.65</v>
      </c>
      <c r="I1275">
        <v>1605.59</v>
      </c>
      <c r="J1275">
        <v>4867.55</v>
      </c>
      <c r="K1275" s="5">
        <f>IF(SalesData[[#This Row],[Total Revenue]]=0,0,SalesData[[#This Row],[Profit]]/SalesData[[#This Row],[Total Revenue]])</f>
        <v>0.30220747331071329</v>
      </c>
      <c r="L1275" s="5" t="str">
        <f>TEXT(SalesData[[#This Row],[Date]],"mmm")</f>
        <v>Jan</v>
      </c>
      <c r="M1275">
        <f>YEAR(SalesData[[#This Row],[Date]])</f>
        <v>2023</v>
      </c>
      <c r="N1275">
        <f>WEEKNUM(SalesData[[#This Row],[Date]])</f>
        <v>4</v>
      </c>
      <c r="O1275" t="s">
        <v>2186</v>
      </c>
      <c r="P1275" t="s">
        <v>2523</v>
      </c>
      <c r="Q1275" t="s">
        <v>2525</v>
      </c>
    </row>
    <row r="1276" spans="1:17" x14ac:dyDescent="0.35">
      <c r="A1276" t="s">
        <v>1867</v>
      </c>
      <c r="B1276" s="3">
        <v>45262</v>
      </c>
      <c r="C1276" t="s">
        <v>2018</v>
      </c>
      <c r="D1276" t="s">
        <v>2026</v>
      </c>
      <c r="E1276" s="8">
        <v>4240</v>
      </c>
      <c r="F1276">
        <v>4</v>
      </c>
      <c r="G1276">
        <v>5</v>
      </c>
      <c r="H1276" s="8">
        <v>16112</v>
      </c>
      <c r="I1276">
        <v>2401.2399999999998</v>
      </c>
      <c r="J1276">
        <v>6507.02</v>
      </c>
      <c r="K1276" s="5">
        <f>IF(SalesData[[#This Row],[Total Revenue]]=0,0,SalesData[[#This Row],[Profit]]/SalesData[[#This Row],[Total Revenue]])</f>
        <v>0.40386171797418075</v>
      </c>
      <c r="L1276" s="5" t="str">
        <f>TEXT(SalesData[[#This Row],[Date]],"mmm")</f>
        <v>Dec</v>
      </c>
      <c r="M1276">
        <f>YEAR(SalesData[[#This Row],[Date]])</f>
        <v>2023</v>
      </c>
      <c r="N1276">
        <f>WEEKNUM(SalesData[[#This Row],[Date]])</f>
        <v>48</v>
      </c>
      <c r="O1276" t="s">
        <v>2244</v>
      </c>
      <c r="P1276" t="s">
        <v>2522</v>
      </c>
      <c r="Q1276" t="s">
        <v>2527</v>
      </c>
    </row>
    <row r="1277" spans="1:17" x14ac:dyDescent="0.35">
      <c r="A1277" t="s">
        <v>1873</v>
      </c>
      <c r="B1277" s="3">
        <v>45146</v>
      </c>
      <c r="C1277" t="s">
        <v>2018</v>
      </c>
      <c r="D1277" t="s">
        <v>2026</v>
      </c>
      <c r="E1277" s="8">
        <v>4031</v>
      </c>
      <c r="F1277">
        <v>4</v>
      </c>
      <c r="G1277">
        <v>0</v>
      </c>
      <c r="H1277" s="8">
        <v>16124</v>
      </c>
      <c r="I1277">
        <v>2749.68</v>
      </c>
      <c r="J1277">
        <v>5125.29</v>
      </c>
      <c r="K1277" s="5">
        <f>IF(SalesData[[#This Row],[Total Revenue]]=0,0,SalesData[[#This Row],[Profit]]/SalesData[[#This Row],[Total Revenue]])</f>
        <v>0.31786715455222031</v>
      </c>
      <c r="L1277" s="5" t="str">
        <f>TEXT(SalesData[[#This Row],[Date]],"mmm")</f>
        <v>Aug</v>
      </c>
      <c r="M1277">
        <f>YEAR(SalesData[[#This Row],[Date]])</f>
        <v>2023</v>
      </c>
      <c r="N1277">
        <f>WEEKNUM(SalesData[[#This Row],[Date]])</f>
        <v>32</v>
      </c>
      <c r="O1277" t="s">
        <v>2403</v>
      </c>
      <c r="P1277" t="s">
        <v>2522</v>
      </c>
      <c r="Q1277" t="s">
        <v>2527</v>
      </c>
    </row>
    <row r="1278" spans="1:17" x14ac:dyDescent="0.35">
      <c r="A1278" t="s">
        <v>1594</v>
      </c>
      <c r="B1278" s="3">
        <v>45222</v>
      </c>
      <c r="C1278" t="s">
        <v>2015</v>
      </c>
      <c r="D1278" t="s">
        <v>2025</v>
      </c>
      <c r="E1278" s="8">
        <v>1793</v>
      </c>
      <c r="F1278">
        <v>9</v>
      </c>
      <c r="G1278">
        <v>0</v>
      </c>
      <c r="H1278" s="8">
        <v>16137</v>
      </c>
      <c r="I1278">
        <v>1105.03</v>
      </c>
      <c r="J1278">
        <v>6191.74</v>
      </c>
      <c r="K1278" s="5">
        <f>IF(SalesData[[#This Row],[Total Revenue]]=0,0,SalesData[[#This Row],[Profit]]/SalesData[[#This Row],[Total Revenue]])</f>
        <v>0.38369833302348638</v>
      </c>
      <c r="L1278" s="5" t="str">
        <f>TEXT(SalesData[[#This Row],[Date]],"mmm")</f>
        <v>Oct</v>
      </c>
      <c r="M1278">
        <f>YEAR(SalesData[[#This Row],[Date]])</f>
        <v>2023</v>
      </c>
      <c r="N1278">
        <f>WEEKNUM(SalesData[[#This Row],[Date]])</f>
        <v>43</v>
      </c>
      <c r="O1278" t="s">
        <v>2365</v>
      </c>
      <c r="P1278" t="s">
        <v>2523</v>
      </c>
      <c r="Q1278" t="s">
        <v>2524</v>
      </c>
    </row>
    <row r="1279" spans="1:17" x14ac:dyDescent="0.35">
      <c r="A1279" t="s">
        <v>92</v>
      </c>
      <c r="B1279" s="3">
        <v>44950</v>
      </c>
      <c r="C1279" t="s">
        <v>2022</v>
      </c>
      <c r="D1279" t="s">
        <v>2024</v>
      </c>
      <c r="E1279" s="8">
        <v>3166</v>
      </c>
      <c r="F1279">
        <v>6</v>
      </c>
      <c r="G1279">
        <v>15</v>
      </c>
      <c r="H1279" s="8">
        <v>16146.6</v>
      </c>
      <c r="I1279">
        <v>1800.04</v>
      </c>
      <c r="J1279">
        <v>5346.39</v>
      </c>
      <c r="K1279" s="5">
        <f>IF(SalesData[[#This Row],[Total Revenue]]=0,0,SalesData[[#This Row],[Profit]]/SalesData[[#This Row],[Total Revenue]])</f>
        <v>0.33111552896585039</v>
      </c>
      <c r="L1279" s="5" t="str">
        <f>TEXT(SalesData[[#This Row],[Date]],"mmm")</f>
        <v>Jan</v>
      </c>
      <c r="M1279">
        <f>YEAR(SalesData[[#This Row],[Date]])</f>
        <v>2023</v>
      </c>
      <c r="N1279">
        <f>WEEKNUM(SalesData[[#This Row],[Date]])</f>
        <v>4</v>
      </c>
      <c r="O1279" t="s">
        <v>2097</v>
      </c>
      <c r="P1279" t="s">
        <v>2523</v>
      </c>
      <c r="Q1279" t="s">
        <v>2526</v>
      </c>
    </row>
    <row r="1280" spans="1:17" x14ac:dyDescent="0.35">
      <c r="A1280" t="s">
        <v>1616</v>
      </c>
      <c r="B1280" s="3">
        <v>45067</v>
      </c>
      <c r="C1280" t="s">
        <v>2017</v>
      </c>
      <c r="D1280" t="s">
        <v>2026</v>
      </c>
      <c r="E1280" s="8">
        <v>2310</v>
      </c>
      <c r="F1280">
        <v>7</v>
      </c>
      <c r="G1280">
        <v>0</v>
      </c>
      <c r="H1280" s="8">
        <v>16170</v>
      </c>
      <c r="I1280">
        <v>1679.23</v>
      </c>
      <c r="J1280">
        <v>4415.3999999999996</v>
      </c>
      <c r="K1280" s="5">
        <f>IF(SalesData[[#This Row],[Total Revenue]]=0,0,SalesData[[#This Row],[Profit]]/SalesData[[#This Row],[Total Revenue]])</f>
        <v>0.27306122448979592</v>
      </c>
      <c r="L1280" s="5" t="str">
        <f>TEXT(SalesData[[#This Row],[Date]],"mmm")</f>
        <v>May</v>
      </c>
      <c r="M1280">
        <f>YEAR(SalesData[[#This Row],[Date]])</f>
        <v>2023</v>
      </c>
      <c r="N1280">
        <f>WEEKNUM(SalesData[[#This Row],[Date]])</f>
        <v>21</v>
      </c>
      <c r="O1280" t="s">
        <v>2325</v>
      </c>
      <c r="P1280" t="s">
        <v>2523</v>
      </c>
      <c r="Q1280" t="s">
        <v>2527</v>
      </c>
    </row>
    <row r="1281" spans="1:17" x14ac:dyDescent="0.35">
      <c r="A1281" t="s">
        <v>1666</v>
      </c>
      <c r="B1281" s="3">
        <v>45018</v>
      </c>
      <c r="C1281" t="s">
        <v>2013</v>
      </c>
      <c r="D1281" t="s">
        <v>2023</v>
      </c>
      <c r="E1281" s="8">
        <v>2128</v>
      </c>
      <c r="F1281">
        <v>8</v>
      </c>
      <c r="G1281">
        <v>5</v>
      </c>
      <c r="H1281" s="8">
        <v>16172.8</v>
      </c>
      <c r="I1281">
        <v>1514.22</v>
      </c>
      <c r="J1281">
        <v>4059.01</v>
      </c>
      <c r="K1281" s="5">
        <f>IF(SalesData[[#This Row],[Total Revenue]]=0,0,SalesData[[#This Row],[Profit]]/SalesData[[#This Row],[Total Revenue]])</f>
        <v>0.25097756727344678</v>
      </c>
      <c r="L1281" s="5" t="str">
        <f>TEXT(SalesData[[#This Row],[Date]],"mmm")</f>
        <v>Apr</v>
      </c>
      <c r="M1281">
        <f>YEAR(SalesData[[#This Row],[Date]])</f>
        <v>2023</v>
      </c>
      <c r="N1281">
        <f>WEEKNUM(SalesData[[#This Row],[Date]])</f>
        <v>14</v>
      </c>
      <c r="O1281" t="s">
        <v>2057</v>
      </c>
      <c r="P1281" t="s">
        <v>2522</v>
      </c>
      <c r="Q1281" t="s">
        <v>2526</v>
      </c>
    </row>
    <row r="1282" spans="1:17" x14ac:dyDescent="0.35">
      <c r="A1282" t="s">
        <v>1994</v>
      </c>
      <c r="B1282" s="3">
        <v>45195</v>
      </c>
      <c r="C1282" t="s">
        <v>2015</v>
      </c>
      <c r="D1282" t="s">
        <v>2025</v>
      </c>
      <c r="E1282" s="8">
        <v>3237</v>
      </c>
      <c r="F1282">
        <v>5</v>
      </c>
      <c r="G1282">
        <v>0</v>
      </c>
      <c r="H1282" s="8">
        <v>16185</v>
      </c>
      <c r="I1282">
        <v>1621.06</v>
      </c>
      <c r="J1282">
        <v>8079.72</v>
      </c>
      <c r="K1282" s="5">
        <f>IF(SalesData[[#This Row],[Total Revenue]]=0,0,SalesData[[#This Row],[Profit]]/SalesData[[#This Row],[Total Revenue]])</f>
        <v>0.49921037998146434</v>
      </c>
      <c r="L1282" s="5" t="str">
        <f>TEXT(SalesData[[#This Row],[Date]],"mmm")</f>
        <v>Sep</v>
      </c>
      <c r="M1282">
        <f>YEAR(SalesData[[#This Row],[Date]])</f>
        <v>2023</v>
      </c>
      <c r="N1282">
        <f>WEEKNUM(SalesData[[#This Row],[Date]])</f>
        <v>39</v>
      </c>
      <c r="O1282" t="s">
        <v>2331</v>
      </c>
      <c r="P1282" t="s">
        <v>2522</v>
      </c>
      <c r="Q1282" t="s">
        <v>2525</v>
      </c>
    </row>
    <row r="1283" spans="1:17" x14ac:dyDescent="0.35">
      <c r="A1283" t="s">
        <v>1173</v>
      </c>
      <c r="B1283" s="3">
        <v>44927</v>
      </c>
      <c r="C1283" t="s">
        <v>2013</v>
      </c>
      <c r="D1283" t="s">
        <v>2023</v>
      </c>
      <c r="E1283" s="8">
        <v>4496</v>
      </c>
      <c r="F1283">
        <v>4</v>
      </c>
      <c r="G1283">
        <v>10</v>
      </c>
      <c r="H1283" s="8">
        <v>16185.6</v>
      </c>
      <c r="I1283">
        <v>2468.33</v>
      </c>
      <c r="J1283">
        <v>6312.28</v>
      </c>
      <c r="K1283" s="5">
        <f>IF(SalesData[[#This Row],[Total Revenue]]=0,0,SalesData[[#This Row],[Profit]]/SalesData[[#This Row],[Total Revenue]])</f>
        <v>0.38999357453538946</v>
      </c>
      <c r="L1283" s="5" t="str">
        <f>TEXT(SalesData[[#This Row],[Date]],"mmm")</f>
        <v>Jan</v>
      </c>
      <c r="M1283">
        <f>YEAR(SalesData[[#This Row],[Date]])</f>
        <v>2023</v>
      </c>
      <c r="N1283">
        <f>WEEKNUM(SalesData[[#This Row],[Date]])</f>
        <v>1</v>
      </c>
      <c r="O1283" t="s">
        <v>2480</v>
      </c>
      <c r="P1283" t="s">
        <v>2523</v>
      </c>
      <c r="Q1283" t="s">
        <v>2527</v>
      </c>
    </row>
    <row r="1284" spans="1:17" x14ac:dyDescent="0.35">
      <c r="A1284" t="s">
        <v>673</v>
      </c>
      <c r="B1284" s="3">
        <v>45218</v>
      </c>
      <c r="C1284" t="s">
        <v>2021</v>
      </c>
      <c r="D1284" t="s">
        <v>2028</v>
      </c>
      <c r="E1284" s="8">
        <v>2135</v>
      </c>
      <c r="F1284">
        <v>8</v>
      </c>
      <c r="G1284">
        <v>5</v>
      </c>
      <c r="H1284" s="8">
        <v>16226</v>
      </c>
      <c r="I1284">
        <v>1117.05</v>
      </c>
      <c r="J1284">
        <v>7289.58</v>
      </c>
      <c r="K1284" s="5">
        <f>IF(SalesData[[#This Row],[Total Revenue]]=0,0,SalesData[[#This Row],[Profit]]/SalesData[[#This Row],[Total Revenue]])</f>
        <v>0.44925305065943549</v>
      </c>
      <c r="L1284" s="5" t="str">
        <f>TEXT(SalesData[[#This Row],[Date]],"mmm")</f>
        <v>Oct</v>
      </c>
      <c r="M1284">
        <f>YEAR(SalesData[[#This Row],[Date]])</f>
        <v>2023</v>
      </c>
      <c r="N1284">
        <f>WEEKNUM(SalesData[[#This Row],[Date]])</f>
        <v>42</v>
      </c>
      <c r="O1284" t="s">
        <v>2177</v>
      </c>
      <c r="P1284" t="s">
        <v>2523</v>
      </c>
      <c r="Q1284" t="s">
        <v>2524</v>
      </c>
    </row>
    <row r="1285" spans="1:17" x14ac:dyDescent="0.35">
      <c r="A1285" t="s">
        <v>520</v>
      </c>
      <c r="B1285" s="3">
        <v>45202</v>
      </c>
      <c r="C1285" t="s">
        <v>2014</v>
      </c>
      <c r="D1285" t="s">
        <v>2024</v>
      </c>
      <c r="E1285" s="8">
        <v>3424</v>
      </c>
      <c r="F1285">
        <v>5</v>
      </c>
      <c r="G1285">
        <v>5</v>
      </c>
      <c r="H1285" s="8">
        <v>16264</v>
      </c>
      <c r="I1285">
        <v>2512.98</v>
      </c>
      <c r="J1285">
        <v>3699.08</v>
      </c>
      <c r="K1285" s="5">
        <f>IF(SalesData[[#This Row],[Total Revenue]]=0,0,SalesData[[#This Row],[Profit]]/SalesData[[#This Row],[Total Revenue]])</f>
        <v>0.22743974422036398</v>
      </c>
      <c r="L1285" s="5" t="str">
        <f>TEXT(SalesData[[#This Row],[Date]],"mmm")</f>
        <v>Oct</v>
      </c>
      <c r="M1285">
        <f>YEAR(SalesData[[#This Row],[Date]])</f>
        <v>2023</v>
      </c>
      <c r="N1285">
        <f>WEEKNUM(SalesData[[#This Row],[Date]])</f>
        <v>40</v>
      </c>
      <c r="O1285" t="s">
        <v>2122</v>
      </c>
      <c r="P1285" t="s">
        <v>2523</v>
      </c>
      <c r="Q1285" t="s">
        <v>2525</v>
      </c>
    </row>
    <row r="1286" spans="1:17" x14ac:dyDescent="0.35">
      <c r="A1286" t="s">
        <v>1584</v>
      </c>
      <c r="B1286" s="3">
        <v>45279</v>
      </c>
      <c r="C1286" t="s">
        <v>2021</v>
      </c>
      <c r="D1286" t="s">
        <v>2028</v>
      </c>
      <c r="E1286" s="8">
        <v>4520</v>
      </c>
      <c r="F1286">
        <v>4</v>
      </c>
      <c r="G1286">
        <v>10</v>
      </c>
      <c r="H1286" s="8">
        <v>16272</v>
      </c>
      <c r="I1286">
        <v>3384.81</v>
      </c>
      <c r="J1286">
        <v>2732.77</v>
      </c>
      <c r="K1286" s="5">
        <f>IF(SalesData[[#This Row],[Total Revenue]]=0,0,SalesData[[#This Row],[Profit]]/SalesData[[#This Row],[Total Revenue]])</f>
        <v>0.16794309242871189</v>
      </c>
      <c r="L1286" s="5" t="str">
        <f>TEXT(SalesData[[#This Row],[Date]],"mmm")</f>
        <v>Dec</v>
      </c>
      <c r="M1286">
        <f>YEAR(SalesData[[#This Row],[Date]])</f>
        <v>2023</v>
      </c>
      <c r="N1286">
        <f>WEEKNUM(SalesData[[#This Row],[Date]])</f>
        <v>51</v>
      </c>
      <c r="O1286" t="s">
        <v>2222</v>
      </c>
      <c r="P1286" t="s">
        <v>2522</v>
      </c>
      <c r="Q1286" t="s">
        <v>2525</v>
      </c>
    </row>
    <row r="1287" spans="1:17" x14ac:dyDescent="0.35">
      <c r="A1287" t="s">
        <v>1953</v>
      </c>
      <c r="B1287" s="3">
        <v>45250</v>
      </c>
      <c r="C1287" t="s">
        <v>2019</v>
      </c>
      <c r="D1287" t="s">
        <v>2027</v>
      </c>
      <c r="E1287" s="8">
        <v>3191</v>
      </c>
      <c r="F1287">
        <v>6</v>
      </c>
      <c r="G1287">
        <v>15</v>
      </c>
      <c r="H1287" s="8">
        <v>16274.1</v>
      </c>
      <c r="I1287">
        <v>1692.46</v>
      </c>
      <c r="J1287">
        <v>6119.34</v>
      </c>
      <c r="K1287" s="5">
        <f>IF(SalesData[[#This Row],[Total Revenue]]=0,0,SalesData[[#This Row],[Profit]]/SalesData[[#This Row],[Total Revenue]])</f>
        <v>0.37601710693678914</v>
      </c>
      <c r="L1287" s="5" t="str">
        <f>TEXT(SalesData[[#This Row],[Date]],"mmm")</f>
        <v>Nov</v>
      </c>
      <c r="M1287">
        <f>YEAR(SalesData[[#This Row],[Date]])</f>
        <v>2023</v>
      </c>
      <c r="N1287">
        <f>WEEKNUM(SalesData[[#This Row],[Date]])</f>
        <v>47</v>
      </c>
      <c r="O1287" t="s">
        <v>2318</v>
      </c>
      <c r="P1287" t="s">
        <v>2522</v>
      </c>
      <c r="Q1287" t="s">
        <v>2527</v>
      </c>
    </row>
    <row r="1288" spans="1:17" x14ac:dyDescent="0.35">
      <c r="A1288" t="s">
        <v>1917</v>
      </c>
      <c r="B1288" s="3">
        <v>45231</v>
      </c>
      <c r="C1288" t="s">
        <v>2014</v>
      </c>
      <c r="D1288" t="s">
        <v>2024</v>
      </c>
      <c r="E1288" s="8">
        <v>3198</v>
      </c>
      <c r="F1288">
        <v>6</v>
      </c>
      <c r="G1288">
        <v>15</v>
      </c>
      <c r="H1288" s="8">
        <v>16309.8</v>
      </c>
      <c r="I1288">
        <v>2127.1999999999998</v>
      </c>
      <c r="J1288">
        <v>3546.61</v>
      </c>
      <c r="K1288" s="5">
        <f>IF(SalesData[[#This Row],[Total Revenue]]=0,0,SalesData[[#This Row],[Profit]]/SalesData[[#This Row],[Total Revenue]])</f>
        <v>0.21745269715140592</v>
      </c>
      <c r="L1288" s="5" t="str">
        <f>TEXT(SalesData[[#This Row],[Date]],"mmm")</f>
        <v>Nov</v>
      </c>
      <c r="M1288">
        <f>YEAR(SalesData[[#This Row],[Date]])</f>
        <v>2023</v>
      </c>
      <c r="N1288">
        <f>WEEKNUM(SalesData[[#This Row],[Date]])</f>
        <v>44</v>
      </c>
      <c r="O1288" t="s">
        <v>2446</v>
      </c>
      <c r="P1288" t="s">
        <v>2523</v>
      </c>
      <c r="Q1288" t="s">
        <v>2527</v>
      </c>
    </row>
    <row r="1289" spans="1:17" x14ac:dyDescent="0.35">
      <c r="A1289" t="s">
        <v>1490</v>
      </c>
      <c r="B1289" s="3">
        <v>45017</v>
      </c>
      <c r="C1289" t="s">
        <v>2022</v>
      </c>
      <c r="D1289" t="s">
        <v>2024</v>
      </c>
      <c r="E1289" s="8">
        <v>2866</v>
      </c>
      <c r="F1289">
        <v>6</v>
      </c>
      <c r="G1289">
        <v>5</v>
      </c>
      <c r="H1289" s="8">
        <v>16336.2</v>
      </c>
      <c r="I1289">
        <v>2073.71</v>
      </c>
      <c r="J1289">
        <v>3893.94</v>
      </c>
      <c r="K1289" s="5">
        <f>IF(SalesData[[#This Row],[Total Revenue]]=0,0,SalesData[[#This Row],[Profit]]/SalesData[[#This Row],[Total Revenue]])</f>
        <v>0.2383626547177434</v>
      </c>
      <c r="L1289" s="5" t="str">
        <f>TEXT(SalesData[[#This Row],[Date]],"mmm")</f>
        <v>Apr</v>
      </c>
      <c r="M1289">
        <f>YEAR(SalesData[[#This Row],[Date]])</f>
        <v>2023</v>
      </c>
      <c r="N1289">
        <f>WEEKNUM(SalesData[[#This Row],[Date]])</f>
        <v>13</v>
      </c>
      <c r="O1289" t="s">
        <v>2503</v>
      </c>
      <c r="P1289" t="s">
        <v>2523</v>
      </c>
      <c r="Q1289" t="s">
        <v>2526</v>
      </c>
    </row>
    <row r="1290" spans="1:17" x14ac:dyDescent="0.35">
      <c r="A1290" t="s">
        <v>1896</v>
      </c>
      <c r="B1290" s="3">
        <v>45111</v>
      </c>
      <c r="C1290" t="s">
        <v>2018</v>
      </c>
      <c r="D1290" t="s">
        <v>2026</v>
      </c>
      <c r="E1290" s="8">
        <v>4539</v>
      </c>
      <c r="F1290">
        <v>4</v>
      </c>
      <c r="G1290">
        <v>10</v>
      </c>
      <c r="H1290" s="8">
        <v>16340.4</v>
      </c>
      <c r="I1290">
        <v>3186.6</v>
      </c>
      <c r="J1290">
        <v>3594.01</v>
      </c>
      <c r="K1290" s="5">
        <f>IF(SalesData[[#This Row],[Total Revenue]]=0,0,SalesData[[#This Row],[Profit]]/SalesData[[#This Row],[Total Revenue]])</f>
        <v>0.21994626814521065</v>
      </c>
      <c r="L1290" s="5" t="str">
        <f>TEXT(SalesData[[#This Row],[Date]],"mmm")</f>
        <v>Jul</v>
      </c>
      <c r="M1290">
        <f>YEAR(SalesData[[#This Row],[Date]])</f>
        <v>2023</v>
      </c>
      <c r="N1290">
        <f>WEEKNUM(SalesData[[#This Row],[Date]])</f>
        <v>27</v>
      </c>
      <c r="O1290" t="s">
        <v>2217</v>
      </c>
      <c r="P1290" t="s">
        <v>2523</v>
      </c>
      <c r="Q1290" t="s">
        <v>2524</v>
      </c>
    </row>
    <row r="1291" spans="1:17" x14ac:dyDescent="0.35">
      <c r="A1291" t="s">
        <v>1938</v>
      </c>
      <c r="B1291" s="3">
        <v>45171</v>
      </c>
      <c r="C1291" t="s">
        <v>2016</v>
      </c>
      <c r="D1291" t="s">
        <v>2025</v>
      </c>
      <c r="E1291" s="8">
        <v>4810</v>
      </c>
      <c r="F1291">
        <v>4</v>
      </c>
      <c r="G1291">
        <v>15</v>
      </c>
      <c r="H1291" s="8">
        <v>16354</v>
      </c>
      <c r="I1291">
        <v>3090.4</v>
      </c>
      <c r="J1291">
        <v>3992.4</v>
      </c>
      <c r="K1291" s="5">
        <f>IF(SalesData[[#This Row],[Total Revenue]]=0,0,SalesData[[#This Row],[Profit]]/SalesData[[#This Row],[Total Revenue]])</f>
        <v>0.2441237617708206</v>
      </c>
      <c r="L1291" s="5" t="str">
        <f>TEXT(SalesData[[#This Row],[Date]],"mmm")</f>
        <v>Sep</v>
      </c>
      <c r="M1291">
        <f>YEAR(SalesData[[#This Row],[Date]])</f>
        <v>2023</v>
      </c>
      <c r="N1291">
        <f>WEEKNUM(SalesData[[#This Row],[Date]])</f>
        <v>35</v>
      </c>
      <c r="O1291" t="s">
        <v>2425</v>
      </c>
      <c r="P1291" t="s">
        <v>2522</v>
      </c>
      <c r="Q1291" t="s">
        <v>2524</v>
      </c>
    </row>
    <row r="1292" spans="1:17" x14ac:dyDescent="0.35">
      <c r="A1292" t="s">
        <v>460</v>
      </c>
      <c r="B1292" s="3">
        <v>45016</v>
      </c>
      <c r="C1292" t="s">
        <v>2018</v>
      </c>
      <c r="D1292" t="s">
        <v>2026</v>
      </c>
      <c r="E1292" s="8">
        <v>2406</v>
      </c>
      <c r="F1292">
        <v>8</v>
      </c>
      <c r="G1292">
        <v>15</v>
      </c>
      <c r="H1292" s="8">
        <v>16360.8</v>
      </c>
      <c r="I1292">
        <v>1673.28</v>
      </c>
      <c r="J1292">
        <v>2974.6</v>
      </c>
      <c r="K1292" s="5">
        <f>IF(SalesData[[#This Row],[Total Revenue]]=0,0,SalesData[[#This Row],[Profit]]/SalesData[[#This Row],[Total Revenue]])</f>
        <v>0.18181262529949635</v>
      </c>
      <c r="L1292" s="5" t="str">
        <f>TEXT(SalesData[[#This Row],[Date]],"mmm")</f>
        <v>Mar</v>
      </c>
      <c r="M1292">
        <f>YEAR(SalesData[[#This Row],[Date]])</f>
        <v>2023</v>
      </c>
      <c r="N1292">
        <f>WEEKNUM(SalesData[[#This Row],[Date]])</f>
        <v>13</v>
      </c>
      <c r="O1292" t="s">
        <v>2296</v>
      </c>
      <c r="P1292" t="s">
        <v>2522</v>
      </c>
      <c r="Q1292" t="s">
        <v>2526</v>
      </c>
    </row>
    <row r="1293" spans="1:17" x14ac:dyDescent="0.35">
      <c r="A1293" t="s">
        <v>1427</v>
      </c>
      <c r="B1293" s="3">
        <v>45257</v>
      </c>
      <c r="C1293" t="s">
        <v>2015</v>
      </c>
      <c r="D1293" t="s">
        <v>2025</v>
      </c>
      <c r="E1293" s="8">
        <v>3276</v>
      </c>
      <c r="F1293">
        <v>5</v>
      </c>
      <c r="G1293">
        <v>0</v>
      </c>
      <c r="H1293" s="8">
        <v>16380</v>
      </c>
      <c r="I1293">
        <v>1740.25</v>
      </c>
      <c r="J1293">
        <v>7678.77</v>
      </c>
      <c r="K1293" s="5">
        <f>IF(SalesData[[#This Row],[Total Revenue]]=0,0,SalesData[[#This Row],[Profit]]/SalesData[[#This Row],[Total Revenue]])</f>
        <v>0.46878937728937731</v>
      </c>
      <c r="L1293" s="5" t="str">
        <f>TEXT(SalesData[[#This Row],[Date]],"mmm")</f>
        <v>Nov</v>
      </c>
      <c r="M1293">
        <f>YEAR(SalesData[[#This Row],[Date]])</f>
        <v>2023</v>
      </c>
      <c r="N1293">
        <f>WEEKNUM(SalesData[[#This Row],[Date]])</f>
        <v>48</v>
      </c>
      <c r="O1293" t="s">
        <v>2273</v>
      </c>
      <c r="P1293" t="s">
        <v>2523</v>
      </c>
      <c r="Q1293" t="s">
        <v>2527</v>
      </c>
    </row>
    <row r="1294" spans="1:17" x14ac:dyDescent="0.35">
      <c r="A1294" t="s">
        <v>1210</v>
      </c>
      <c r="B1294" s="3">
        <v>45116</v>
      </c>
      <c r="C1294" t="s">
        <v>2019</v>
      </c>
      <c r="D1294" t="s">
        <v>2027</v>
      </c>
      <c r="E1294" s="8">
        <v>3860</v>
      </c>
      <c r="F1294">
        <v>5</v>
      </c>
      <c r="G1294">
        <v>15</v>
      </c>
      <c r="H1294" s="8">
        <v>16405</v>
      </c>
      <c r="I1294">
        <v>2606.91</v>
      </c>
      <c r="J1294">
        <v>3370.45</v>
      </c>
      <c r="K1294" s="5">
        <f>IF(SalesData[[#This Row],[Total Revenue]]=0,0,SalesData[[#This Row],[Profit]]/SalesData[[#This Row],[Total Revenue]])</f>
        <v>0.20545260591283143</v>
      </c>
      <c r="L1294" s="5" t="str">
        <f>TEXT(SalesData[[#This Row],[Date]],"mmm")</f>
        <v>Jul</v>
      </c>
      <c r="M1294">
        <f>YEAR(SalesData[[#This Row],[Date]])</f>
        <v>2023</v>
      </c>
      <c r="N1294">
        <f>WEEKNUM(SalesData[[#This Row],[Date]])</f>
        <v>28</v>
      </c>
      <c r="O1294" t="s">
        <v>2487</v>
      </c>
      <c r="P1294" t="s">
        <v>2522</v>
      </c>
      <c r="Q1294" t="s">
        <v>2525</v>
      </c>
    </row>
    <row r="1295" spans="1:17" x14ac:dyDescent="0.35">
      <c r="A1295" t="s">
        <v>1514</v>
      </c>
      <c r="B1295" s="3">
        <v>45143</v>
      </c>
      <c r="C1295" t="s">
        <v>2015</v>
      </c>
      <c r="D1295" t="s">
        <v>2025</v>
      </c>
      <c r="E1295" s="8">
        <v>3456</v>
      </c>
      <c r="F1295">
        <v>5</v>
      </c>
      <c r="G1295">
        <v>5</v>
      </c>
      <c r="H1295" s="8">
        <v>16416</v>
      </c>
      <c r="I1295">
        <v>2637.54</v>
      </c>
      <c r="J1295">
        <v>3228.31</v>
      </c>
      <c r="K1295" s="5">
        <f>IF(SalesData[[#This Row],[Total Revenue]]=0,0,SalesData[[#This Row],[Profit]]/SalesData[[#This Row],[Total Revenue]])</f>
        <v>0.19665631091617933</v>
      </c>
      <c r="L1295" s="5" t="str">
        <f>TEXT(SalesData[[#This Row],[Date]],"mmm")</f>
        <v>Aug</v>
      </c>
      <c r="M1295">
        <f>YEAR(SalesData[[#This Row],[Date]])</f>
        <v>2023</v>
      </c>
      <c r="N1295">
        <f>WEEKNUM(SalesData[[#This Row],[Date]])</f>
        <v>31</v>
      </c>
      <c r="O1295" t="s">
        <v>2471</v>
      </c>
      <c r="P1295" t="s">
        <v>2522</v>
      </c>
      <c r="Q1295" t="s">
        <v>2525</v>
      </c>
    </row>
    <row r="1296" spans="1:17" x14ac:dyDescent="0.35">
      <c r="A1296" t="s">
        <v>1109</v>
      </c>
      <c r="B1296" s="3">
        <v>45055</v>
      </c>
      <c r="C1296" t="s">
        <v>2014</v>
      </c>
      <c r="D1296" t="s">
        <v>2024</v>
      </c>
      <c r="E1296" s="8">
        <v>1922</v>
      </c>
      <c r="F1296">
        <v>9</v>
      </c>
      <c r="G1296">
        <v>5</v>
      </c>
      <c r="H1296" s="8">
        <v>16433.099999999999</v>
      </c>
      <c r="I1296">
        <v>1445.58</v>
      </c>
      <c r="J1296">
        <v>3422.87</v>
      </c>
      <c r="K1296" s="5">
        <f>IF(SalesData[[#This Row],[Total Revenue]]=0,0,SalesData[[#This Row],[Profit]]/SalesData[[#This Row],[Total Revenue]])</f>
        <v>0.20829119277555666</v>
      </c>
      <c r="L1296" s="5" t="str">
        <f>TEXT(SalesData[[#This Row],[Date]],"mmm")</f>
        <v>May</v>
      </c>
      <c r="M1296">
        <f>YEAR(SalesData[[#This Row],[Date]])</f>
        <v>2023</v>
      </c>
      <c r="N1296">
        <f>WEEKNUM(SalesData[[#This Row],[Date]])</f>
        <v>19</v>
      </c>
      <c r="O1296" t="s">
        <v>2472</v>
      </c>
      <c r="P1296" t="s">
        <v>2522</v>
      </c>
      <c r="Q1296" t="s">
        <v>2527</v>
      </c>
    </row>
    <row r="1297" spans="1:17" x14ac:dyDescent="0.35">
      <c r="A1297" t="s">
        <v>1632</v>
      </c>
      <c r="B1297" s="3">
        <v>45017</v>
      </c>
      <c r="C1297" t="s">
        <v>2017</v>
      </c>
      <c r="D1297" t="s">
        <v>2026</v>
      </c>
      <c r="E1297" s="8">
        <v>1826</v>
      </c>
      <c r="F1297">
        <v>10</v>
      </c>
      <c r="G1297">
        <v>10</v>
      </c>
      <c r="H1297" s="8">
        <v>16434</v>
      </c>
      <c r="I1297">
        <v>1252.3499999999999</v>
      </c>
      <c r="J1297">
        <v>3910.46</v>
      </c>
      <c r="K1297" s="5">
        <f>IF(SalesData[[#This Row],[Total Revenue]]=0,0,SalesData[[#This Row],[Profit]]/SalesData[[#This Row],[Total Revenue]])</f>
        <v>0.23794937325057808</v>
      </c>
      <c r="L1297" s="5" t="str">
        <f>TEXT(SalesData[[#This Row],[Date]],"mmm")</f>
        <v>Apr</v>
      </c>
      <c r="M1297">
        <f>YEAR(SalesData[[#This Row],[Date]])</f>
        <v>2023</v>
      </c>
      <c r="N1297">
        <f>WEEKNUM(SalesData[[#This Row],[Date]])</f>
        <v>13</v>
      </c>
      <c r="O1297" t="s">
        <v>2162</v>
      </c>
      <c r="P1297" t="s">
        <v>2523</v>
      </c>
      <c r="Q1297" t="s">
        <v>2525</v>
      </c>
    </row>
    <row r="1298" spans="1:17" x14ac:dyDescent="0.35">
      <c r="A1298" t="s">
        <v>109</v>
      </c>
      <c r="B1298" s="3">
        <v>45113</v>
      </c>
      <c r="C1298" t="s">
        <v>2016</v>
      </c>
      <c r="D1298" t="s">
        <v>2025</v>
      </c>
      <c r="E1298" s="8">
        <v>2477</v>
      </c>
      <c r="F1298">
        <v>7</v>
      </c>
      <c r="G1298">
        <v>5</v>
      </c>
      <c r="H1298" s="8">
        <v>16472.05</v>
      </c>
      <c r="I1298">
        <v>1662.74</v>
      </c>
      <c r="J1298">
        <v>4832.8900000000003</v>
      </c>
      <c r="K1298" s="5">
        <f>IF(SalesData[[#This Row],[Total Revenue]]=0,0,SalesData[[#This Row],[Profit]]/SalesData[[#This Row],[Total Revenue]])</f>
        <v>0.29339942508673789</v>
      </c>
      <c r="L1298" s="5" t="str">
        <f>TEXT(SalesData[[#This Row],[Date]],"mmm")</f>
        <v>Jul</v>
      </c>
      <c r="M1298">
        <f>YEAR(SalesData[[#This Row],[Date]])</f>
        <v>2023</v>
      </c>
      <c r="N1298">
        <f>WEEKNUM(SalesData[[#This Row],[Date]])</f>
        <v>27</v>
      </c>
      <c r="O1298" t="s">
        <v>2114</v>
      </c>
      <c r="P1298" t="s">
        <v>2522</v>
      </c>
      <c r="Q1298" t="s">
        <v>2527</v>
      </c>
    </row>
    <row r="1299" spans="1:17" x14ac:dyDescent="0.35">
      <c r="A1299" t="s">
        <v>437</v>
      </c>
      <c r="B1299" s="3">
        <v>45190</v>
      </c>
      <c r="C1299" t="s">
        <v>2018</v>
      </c>
      <c r="D1299" t="s">
        <v>2026</v>
      </c>
      <c r="E1299" s="8">
        <v>2754</v>
      </c>
      <c r="F1299">
        <v>6</v>
      </c>
      <c r="G1299">
        <v>0</v>
      </c>
      <c r="H1299" s="8">
        <v>16524</v>
      </c>
      <c r="I1299">
        <v>2012.44</v>
      </c>
      <c r="J1299">
        <v>4449.3500000000004</v>
      </c>
      <c r="K1299" s="5">
        <f>IF(SalesData[[#This Row],[Total Revenue]]=0,0,SalesData[[#This Row],[Profit]]/SalesData[[#This Row],[Total Revenue]])</f>
        <v>0.26926591624304047</v>
      </c>
      <c r="L1299" s="5" t="str">
        <f>TEXT(SalesData[[#This Row],[Date]],"mmm")</f>
        <v>Sep</v>
      </c>
      <c r="M1299">
        <f>YEAR(SalesData[[#This Row],[Date]])</f>
        <v>2023</v>
      </c>
      <c r="N1299">
        <f>WEEKNUM(SalesData[[#This Row],[Date]])</f>
        <v>38</v>
      </c>
      <c r="O1299" t="s">
        <v>2041</v>
      </c>
      <c r="P1299" t="s">
        <v>2522</v>
      </c>
      <c r="Q1299" t="s">
        <v>2525</v>
      </c>
    </row>
    <row r="1300" spans="1:17" x14ac:dyDescent="0.35">
      <c r="A1300" t="s">
        <v>307</v>
      </c>
      <c r="B1300" s="3">
        <v>45052</v>
      </c>
      <c r="C1300" t="s">
        <v>2022</v>
      </c>
      <c r="D1300" t="s">
        <v>2024</v>
      </c>
      <c r="E1300" s="8">
        <v>4366</v>
      </c>
      <c r="F1300">
        <v>4</v>
      </c>
      <c r="G1300">
        <v>5</v>
      </c>
      <c r="H1300" s="8">
        <v>16590.8</v>
      </c>
      <c r="I1300">
        <v>3167.37</v>
      </c>
      <c r="J1300">
        <v>3921.32</v>
      </c>
      <c r="K1300" s="5">
        <f>IF(SalesData[[#This Row],[Total Revenue]]=0,0,SalesData[[#This Row],[Profit]]/SalesData[[#This Row],[Total Revenue]])</f>
        <v>0.23635508836222488</v>
      </c>
      <c r="L1300" s="5" t="str">
        <f>TEXT(SalesData[[#This Row],[Date]],"mmm")</f>
        <v>May</v>
      </c>
      <c r="M1300">
        <f>YEAR(SalesData[[#This Row],[Date]])</f>
        <v>2023</v>
      </c>
      <c r="N1300">
        <f>WEEKNUM(SalesData[[#This Row],[Date]])</f>
        <v>18</v>
      </c>
      <c r="O1300" t="s">
        <v>2184</v>
      </c>
      <c r="P1300" t="s">
        <v>2522</v>
      </c>
      <c r="Q1300" t="s">
        <v>2525</v>
      </c>
    </row>
    <row r="1301" spans="1:17" x14ac:dyDescent="0.35">
      <c r="A1301" t="s">
        <v>28</v>
      </c>
      <c r="B1301" s="3">
        <v>45254</v>
      </c>
      <c r="C1301" t="s">
        <v>2019</v>
      </c>
      <c r="D1301" t="s">
        <v>2027</v>
      </c>
      <c r="E1301" s="8">
        <v>3077</v>
      </c>
      <c r="F1301">
        <v>6</v>
      </c>
      <c r="G1301">
        <v>10</v>
      </c>
      <c r="H1301" s="8">
        <v>16615.8</v>
      </c>
      <c r="I1301">
        <v>1596.67</v>
      </c>
      <c r="J1301">
        <v>7035.75</v>
      </c>
      <c r="K1301" s="5">
        <f>IF(SalesData[[#This Row],[Total Revenue]]=0,0,SalesData[[#This Row],[Profit]]/SalesData[[#This Row],[Total Revenue]])</f>
        <v>0.42343733073339834</v>
      </c>
      <c r="L1301" s="5" t="str">
        <f>TEXT(SalesData[[#This Row],[Date]],"mmm")</f>
        <v>Nov</v>
      </c>
      <c r="M1301">
        <f>YEAR(SalesData[[#This Row],[Date]])</f>
        <v>2023</v>
      </c>
      <c r="N1301">
        <f>WEEKNUM(SalesData[[#This Row],[Date]])</f>
        <v>47</v>
      </c>
      <c r="O1301" t="s">
        <v>2044</v>
      </c>
      <c r="P1301" t="s">
        <v>2523</v>
      </c>
      <c r="Q1301" t="s">
        <v>2524</v>
      </c>
    </row>
    <row r="1302" spans="1:17" x14ac:dyDescent="0.35">
      <c r="A1302" t="s">
        <v>588</v>
      </c>
      <c r="B1302" s="3">
        <v>44950</v>
      </c>
      <c r="C1302" t="s">
        <v>2014</v>
      </c>
      <c r="D1302" t="s">
        <v>2024</v>
      </c>
      <c r="E1302" s="8">
        <v>3261</v>
      </c>
      <c r="F1302">
        <v>6</v>
      </c>
      <c r="G1302">
        <v>15</v>
      </c>
      <c r="H1302" s="8">
        <v>16631.099999999999</v>
      </c>
      <c r="I1302">
        <v>2409.23</v>
      </c>
      <c r="J1302">
        <v>2175.71</v>
      </c>
      <c r="K1302" s="5">
        <f>IF(SalesData[[#This Row],[Total Revenue]]=0,0,SalesData[[#This Row],[Profit]]/SalesData[[#This Row],[Total Revenue]])</f>
        <v>0.13082177366500114</v>
      </c>
      <c r="L1302" s="5" t="str">
        <f>TEXT(SalesData[[#This Row],[Date]],"mmm")</f>
        <v>Jan</v>
      </c>
      <c r="M1302">
        <f>YEAR(SalesData[[#This Row],[Date]])</f>
        <v>2023</v>
      </c>
      <c r="N1302">
        <f>WEEKNUM(SalesData[[#This Row],[Date]])</f>
        <v>4</v>
      </c>
      <c r="O1302" t="s">
        <v>2134</v>
      </c>
      <c r="P1302" t="s">
        <v>2523</v>
      </c>
      <c r="Q1302" t="s">
        <v>2525</v>
      </c>
    </row>
    <row r="1303" spans="1:17" x14ac:dyDescent="0.35">
      <c r="A1303" t="s">
        <v>1961</v>
      </c>
      <c r="B1303" s="3">
        <v>45162</v>
      </c>
      <c r="C1303" t="s">
        <v>2022</v>
      </c>
      <c r="D1303" t="s">
        <v>2024</v>
      </c>
      <c r="E1303" s="8">
        <v>2191</v>
      </c>
      <c r="F1303">
        <v>8</v>
      </c>
      <c r="G1303">
        <v>5</v>
      </c>
      <c r="H1303" s="8">
        <v>16651.599999999999</v>
      </c>
      <c r="I1303">
        <v>1458.21</v>
      </c>
      <c r="J1303">
        <v>4985.8900000000003</v>
      </c>
      <c r="K1303" s="5">
        <f>IF(SalesData[[#This Row],[Total Revenue]]=0,0,SalesData[[#This Row],[Profit]]/SalesData[[#This Row],[Total Revenue]])</f>
        <v>0.29942407936774851</v>
      </c>
      <c r="L1303" s="5" t="str">
        <f>TEXT(SalesData[[#This Row],[Date]],"mmm")</f>
        <v>Aug</v>
      </c>
      <c r="M1303">
        <f>YEAR(SalesData[[#This Row],[Date]])</f>
        <v>2023</v>
      </c>
      <c r="N1303">
        <f>WEEKNUM(SalesData[[#This Row],[Date]])</f>
        <v>34</v>
      </c>
      <c r="O1303" t="s">
        <v>2155</v>
      </c>
      <c r="P1303" t="s">
        <v>2523</v>
      </c>
      <c r="Q1303" t="s">
        <v>2524</v>
      </c>
    </row>
    <row r="1304" spans="1:17" x14ac:dyDescent="0.35">
      <c r="A1304" t="s">
        <v>1009</v>
      </c>
      <c r="B1304" s="3">
        <v>45107</v>
      </c>
      <c r="C1304" t="s">
        <v>2018</v>
      </c>
      <c r="D1304" t="s">
        <v>2026</v>
      </c>
      <c r="E1304" s="8">
        <v>4898</v>
      </c>
      <c r="F1304">
        <v>4</v>
      </c>
      <c r="G1304">
        <v>15</v>
      </c>
      <c r="H1304" s="8">
        <v>16653.2</v>
      </c>
      <c r="I1304">
        <v>2500.66</v>
      </c>
      <c r="J1304">
        <v>6650.55</v>
      </c>
      <c r="K1304" s="5">
        <f>IF(SalesData[[#This Row],[Total Revenue]]=0,0,SalesData[[#This Row],[Profit]]/SalesData[[#This Row],[Total Revenue]])</f>
        <v>0.39935567938894628</v>
      </c>
      <c r="L1304" s="5" t="str">
        <f>TEXT(SalesData[[#This Row],[Date]],"mmm")</f>
        <v>Jun</v>
      </c>
      <c r="M1304">
        <f>YEAR(SalesData[[#This Row],[Date]])</f>
        <v>2023</v>
      </c>
      <c r="N1304">
        <f>WEEKNUM(SalesData[[#This Row],[Date]])</f>
        <v>26</v>
      </c>
      <c r="O1304" t="s">
        <v>2140</v>
      </c>
      <c r="P1304" t="s">
        <v>2523</v>
      </c>
      <c r="Q1304" t="s">
        <v>2525</v>
      </c>
    </row>
    <row r="1305" spans="1:17" x14ac:dyDescent="0.35">
      <c r="A1305" t="s">
        <v>229</v>
      </c>
      <c r="B1305" s="3">
        <v>45119</v>
      </c>
      <c r="C1305" t="s">
        <v>2020</v>
      </c>
      <c r="D1305" t="s">
        <v>2028</v>
      </c>
      <c r="E1305" s="8">
        <v>2192</v>
      </c>
      <c r="F1305">
        <v>8</v>
      </c>
      <c r="G1305">
        <v>5</v>
      </c>
      <c r="H1305" s="8">
        <v>16659.2</v>
      </c>
      <c r="I1305">
        <v>1531.72</v>
      </c>
      <c r="J1305">
        <v>4405.43</v>
      </c>
      <c r="K1305" s="5">
        <f>IF(SalesData[[#This Row],[Total Revenue]]=0,0,SalesData[[#This Row],[Profit]]/SalesData[[#This Row],[Total Revenue]])</f>
        <v>0.264444271033423</v>
      </c>
      <c r="L1305" s="5" t="str">
        <f>TEXT(SalesData[[#This Row],[Date]],"mmm")</f>
        <v>Jul</v>
      </c>
      <c r="M1305">
        <f>YEAR(SalesData[[#This Row],[Date]])</f>
        <v>2023</v>
      </c>
      <c r="N1305">
        <f>WEEKNUM(SalesData[[#This Row],[Date]])</f>
        <v>28</v>
      </c>
      <c r="O1305" t="s">
        <v>2203</v>
      </c>
      <c r="P1305" t="s">
        <v>2522</v>
      </c>
      <c r="Q1305" t="s">
        <v>2527</v>
      </c>
    </row>
    <row r="1306" spans="1:17" x14ac:dyDescent="0.35">
      <c r="A1306" t="s">
        <v>1835</v>
      </c>
      <c r="B1306" s="3">
        <v>44959</v>
      </c>
      <c r="C1306" t="s">
        <v>2016</v>
      </c>
      <c r="D1306" t="s">
        <v>2025</v>
      </c>
      <c r="E1306" s="8">
        <v>2926</v>
      </c>
      <c r="F1306">
        <v>6</v>
      </c>
      <c r="G1306">
        <v>5</v>
      </c>
      <c r="H1306" s="8">
        <v>16678.2</v>
      </c>
      <c r="I1306">
        <v>1476.82</v>
      </c>
      <c r="J1306">
        <v>7817.25</v>
      </c>
      <c r="K1306" s="5">
        <f>IF(SalesData[[#This Row],[Total Revenue]]=0,0,SalesData[[#This Row],[Profit]]/SalesData[[#This Row],[Total Revenue]])</f>
        <v>0.46871065222865776</v>
      </c>
      <c r="L1306" s="5" t="str">
        <f>TEXT(SalesData[[#This Row],[Date]],"mmm")</f>
        <v>Feb</v>
      </c>
      <c r="M1306">
        <f>YEAR(SalesData[[#This Row],[Date]])</f>
        <v>2023</v>
      </c>
      <c r="N1306">
        <f>WEEKNUM(SalesData[[#This Row],[Date]])</f>
        <v>5</v>
      </c>
      <c r="O1306" t="s">
        <v>2253</v>
      </c>
      <c r="P1306" t="s">
        <v>2523</v>
      </c>
      <c r="Q1306" t="s">
        <v>2525</v>
      </c>
    </row>
    <row r="1307" spans="1:17" x14ac:dyDescent="0.35">
      <c r="A1307" t="s">
        <v>799</v>
      </c>
      <c r="B1307" s="3">
        <v>45110</v>
      </c>
      <c r="C1307" t="s">
        <v>2019</v>
      </c>
      <c r="D1307" t="s">
        <v>2027</v>
      </c>
      <c r="E1307" s="8">
        <v>3928</v>
      </c>
      <c r="F1307">
        <v>5</v>
      </c>
      <c r="G1307">
        <v>15</v>
      </c>
      <c r="H1307" s="8">
        <v>16694</v>
      </c>
      <c r="I1307">
        <v>2901.12</v>
      </c>
      <c r="J1307">
        <v>2188.41</v>
      </c>
      <c r="K1307" s="5">
        <f>IF(SalesData[[#This Row],[Total Revenue]]=0,0,SalesData[[#This Row],[Profit]]/SalesData[[#This Row],[Total Revenue]])</f>
        <v>0.13108961303462321</v>
      </c>
      <c r="L1307" s="5" t="str">
        <f>TEXT(SalesData[[#This Row],[Date]],"mmm")</f>
        <v>Jul</v>
      </c>
      <c r="M1307">
        <f>YEAR(SalesData[[#This Row],[Date]])</f>
        <v>2023</v>
      </c>
      <c r="N1307">
        <f>WEEKNUM(SalesData[[#This Row],[Date]])</f>
        <v>27</v>
      </c>
      <c r="O1307" t="s">
        <v>2115</v>
      </c>
      <c r="P1307" t="s">
        <v>2523</v>
      </c>
      <c r="Q1307" t="s">
        <v>2527</v>
      </c>
    </row>
    <row r="1308" spans="1:17" x14ac:dyDescent="0.35">
      <c r="A1308" t="s">
        <v>904</v>
      </c>
      <c r="B1308" s="3">
        <v>44989</v>
      </c>
      <c r="C1308" t="s">
        <v>2015</v>
      </c>
      <c r="D1308" t="s">
        <v>2025</v>
      </c>
      <c r="E1308" s="8">
        <v>2183</v>
      </c>
      <c r="F1308">
        <v>9</v>
      </c>
      <c r="G1308">
        <v>15</v>
      </c>
      <c r="H1308" s="8">
        <v>16699.95</v>
      </c>
      <c r="I1308">
        <v>1744.28</v>
      </c>
      <c r="J1308">
        <v>1001.39</v>
      </c>
      <c r="K1308" s="5">
        <f>IF(SalesData[[#This Row],[Total Revenue]]=0,0,SalesData[[#This Row],[Profit]]/SalesData[[#This Row],[Total Revenue]])</f>
        <v>5.9963652585786183E-2</v>
      </c>
      <c r="L1308" s="5" t="str">
        <f>TEXT(SalesData[[#This Row],[Date]],"mmm")</f>
        <v>Mar</v>
      </c>
      <c r="M1308">
        <f>YEAR(SalesData[[#This Row],[Date]])</f>
        <v>2023</v>
      </c>
      <c r="N1308">
        <f>WEEKNUM(SalesData[[#This Row],[Date]])</f>
        <v>9</v>
      </c>
      <c r="O1308" t="s">
        <v>2369</v>
      </c>
      <c r="P1308" t="s">
        <v>2522</v>
      </c>
      <c r="Q1308" t="s">
        <v>2524</v>
      </c>
    </row>
    <row r="1309" spans="1:17" x14ac:dyDescent="0.35">
      <c r="A1309" t="s">
        <v>406</v>
      </c>
      <c r="B1309" s="3">
        <v>45051</v>
      </c>
      <c r="C1309" t="s">
        <v>2016</v>
      </c>
      <c r="D1309" t="s">
        <v>2025</v>
      </c>
      <c r="E1309" s="8">
        <v>4928</v>
      </c>
      <c r="F1309">
        <v>4</v>
      </c>
      <c r="G1309">
        <v>15</v>
      </c>
      <c r="H1309" s="8">
        <v>16755.2</v>
      </c>
      <c r="I1309">
        <v>3691.03</v>
      </c>
      <c r="J1309">
        <v>1991.09</v>
      </c>
      <c r="K1309" s="5">
        <f>IF(SalesData[[#This Row],[Total Revenue]]=0,0,SalesData[[#This Row],[Profit]]/SalesData[[#This Row],[Total Revenue]])</f>
        <v>0.11883415297937355</v>
      </c>
      <c r="L1309" s="5" t="str">
        <f>TEXT(SalesData[[#This Row],[Date]],"mmm")</f>
        <v>May</v>
      </c>
      <c r="M1309">
        <f>YEAR(SalesData[[#This Row],[Date]])</f>
        <v>2023</v>
      </c>
      <c r="N1309">
        <f>WEEKNUM(SalesData[[#This Row],[Date]])</f>
        <v>18</v>
      </c>
      <c r="O1309" t="s">
        <v>2298</v>
      </c>
      <c r="P1309" t="s">
        <v>2523</v>
      </c>
      <c r="Q1309" t="s">
        <v>2526</v>
      </c>
    </row>
    <row r="1310" spans="1:17" x14ac:dyDescent="0.35">
      <c r="A1310" t="s">
        <v>153</v>
      </c>
      <c r="B1310" s="3">
        <v>45025</v>
      </c>
      <c r="C1310" t="s">
        <v>2022</v>
      </c>
      <c r="D1310" t="s">
        <v>2024</v>
      </c>
      <c r="E1310" s="8">
        <v>4410</v>
      </c>
      <c r="F1310">
        <v>4</v>
      </c>
      <c r="G1310">
        <v>5</v>
      </c>
      <c r="H1310" s="8">
        <v>16758</v>
      </c>
      <c r="I1310">
        <v>2245.2399999999998</v>
      </c>
      <c r="J1310">
        <v>7777.05</v>
      </c>
      <c r="K1310" s="5">
        <f>IF(SalesData[[#This Row],[Total Revenue]]=0,0,SalesData[[#This Row],[Profit]]/SalesData[[#This Row],[Total Revenue]])</f>
        <v>0.46407984246330114</v>
      </c>
      <c r="L1310" s="5" t="str">
        <f>TEXT(SalesData[[#This Row],[Date]],"mmm")</f>
        <v>Apr</v>
      </c>
      <c r="M1310">
        <f>YEAR(SalesData[[#This Row],[Date]])</f>
        <v>2023</v>
      </c>
      <c r="N1310">
        <f>WEEKNUM(SalesData[[#This Row],[Date]])</f>
        <v>15</v>
      </c>
      <c r="O1310" t="s">
        <v>2153</v>
      </c>
      <c r="P1310" t="s">
        <v>2523</v>
      </c>
      <c r="Q1310" t="s">
        <v>2527</v>
      </c>
    </row>
    <row r="1311" spans="1:17" x14ac:dyDescent="0.35">
      <c r="A1311" t="s">
        <v>1520</v>
      </c>
      <c r="B1311" s="3">
        <v>45279</v>
      </c>
      <c r="C1311" t="s">
        <v>2022</v>
      </c>
      <c r="D1311" t="s">
        <v>2024</v>
      </c>
      <c r="E1311" s="8">
        <v>1676</v>
      </c>
      <c r="F1311">
        <v>10</v>
      </c>
      <c r="G1311">
        <v>0</v>
      </c>
      <c r="H1311" s="8">
        <v>16760</v>
      </c>
      <c r="I1311">
        <v>857.98</v>
      </c>
      <c r="J1311">
        <v>8180.21</v>
      </c>
      <c r="K1311" s="5">
        <f>IF(SalesData[[#This Row],[Total Revenue]]=0,0,SalesData[[#This Row],[Profit]]/SalesData[[#This Row],[Total Revenue]])</f>
        <v>0.48807935560859189</v>
      </c>
      <c r="L1311" s="5" t="str">
        <f>TEXT(SalesData[[#This Row],[Date]],"mmm")</f>
        <v>Dec</v>
      </c>
      <c r="M1311">
        <f>YEAR(SalesData[[#This Row],[Date]])</f>
        <v>2023</v>
      </c>
      <c r="N1311">
        <f>WEEKNUM(SalesData[[#This Row],[Date]])</f>
        <v>51</v>
      </c>
      <c r="O1311" t="s">
        <v>2218</v>
      </c>
      <c r="P1311" t="s">
        <v>2523</v>
      </c>
      <c r="Q1311" t="s">
        <v>2526</v>
      </c>
    </row>
    <row r="1312" spans="1:17" x14ac:dyDescent="0.35">
      <c r="A1312" t="s">
        <v>394</v>
      </c>
      <c r="B1312" s="3">
        <v>44964</v>
      </c>
      <c r="C1312" t="s">
        <v>2013</v>
      </c>
      <c r="D1312" t="s">
        <v>2023</v>
      </c>
      <c r="E1312" s="8">
        <v>2328</v>
      </c>
      <c r="F1312">
        <v>8</v>
      </c>
      <c r="G1312">
        <v>10</v>
      </c>
      <c r="H1312" s="8">
        <v>16761.599999999999</v>
      </c>
      <c r="I1312">
        <v>1701.47</v>
      </c>
      <c r="J1312">
        <v>3149.83</v>
      </c>
      <c r="K1312" s="5">
        <f>IF(SalesData[[#This Row],[Total Revenue]]=0,0,SalesData[[#This Row],[Profit]]/SalesData[[#This Row],[Total Revenue]])</f>
        <v>0.1879194110347461</v>
      </c>
      <c r="L1312" s="5" t="str">
        <f>TEXT(SalesData[[#This Row],[Date]],"mmm")</f>
        <v>Feb</v>
      </c>
      <c r="M1312">
        <f>YEAR(SalesData[[#This Row],[Date]])</f>
        <v>2023</v>
      </c>
      <c r="N1312">
        <f>WEEKNUM(SalesData[[#This Row],[Date]])</f>
        <v>6</v>
      </c>
      <c r="O1312" t="s">
        <v>2056</v>
      </c>
      <c r="P1312" t="s">
        <v>2523</v>
      </c>
      <c r="Q1312" t="s">
        <v>2525</v>
      </c>
    </row>
    <row r="1313" spans="1:17" x14ac:dyDescent="0.35">
      <c r="A1313" t="s">
        <v>82</v>
      </c>
      <c r="B1313" s="3">
        <v>44932</v>
      </c>
      <c r="C1313" t="s">
        <v>2016</v>
      </c>
      <c r="D1313" t="s">
        <v>2025</v>
      </c>
      <c r="E1313" s="8">
        <v>4191</v>
      </c>
      <c r="F1313">
        <v>4</v>
      </c>
      <c r="G1313">
        <v>0</v>
      </c>
      <c r="H1313" s="8">
        <v>16764</v>
      </c>
      <c r="I1313">
        <v>3093.38</v>
      </c>
      <c r="J1313">
        <v>4390.4799999999996</v>
      </c>
      <c r="K1313" s="5">
        <f>IF(SalesData[[#This Row],[Total Revenue]]=0,0,SalesData[[#This Row],[Profit]]/SalesData[[#This Row],[Total Revenue]])</f>
        <v>0.26189930804104028</v>
      </c>
      <c r="L1313" s="5" t="str">
        <f>TEXT(SalesData[[#This Row],[Date]],"mmm")</f>
        <v>Jan</v>
      </c>
      <c r="M1313">
        <f>YEAR(SalesData[[#This Row],[Date]])</f>
        <v>2023</v>
      </c>
      <c r="N1313">
        <f>WEEKNUM(SalesData[[#This Row],[Date]])</f>
        <v>1</v>
      </c>
      <c r="O1313" t="s">
        <v>2090</v>
      </c>
      <c r="P1313" t="s">
        <v>2522</v>
      </c>
      <c r="Q1313" t="s">
        <v>2526</v>
      </c>
    </row>
    <row r="1314" spans="1:17" x14ac:dyDescent="0.35">
      <c r="A1314" t="s">
        <v>1033</v>
      </c>
      <c r="B1314" s="3">
        <v>45187</v>
      </c>
      <c r="C1314" t="s">
        <v>2016</v>
      </c>
      <c r="D1314" t="s">
        <v>2025</v>
      </c>
      <c r="E1314" s="8">
        <v>2803</v>
      </c>
      <c r="F1314">
        <v>6</v>
      </c>
      <c r="G1314">
        <v>0</v>
      </c>
      <c r="H1314" s="8">
        <v>16818</v>
      </c>
      <c r="I1314">
        <v>2030.13</v>
      </c>
      <c r="J1314">
        <v>4637.1899999999996</v>
      </c>
      <c r="K1314" s="5">
        <f>IF(SalesData[[#This Row],[Total Revenue]]=0,0,SalesData[[#This Row],[Profit]]/SalesData[[#This Row],[Total Revenue]])</f>
        <v>0.27572779165180161</v>
      </c>
      <c r="L1314" s="5" t="str">
        <f>TEXT(SalesData[[#This Row],[Date]],"mmm")</f>
        <v>Sep</v>
      </c>
      <c r="M1314">
        <f>YEAR(SalesData[[#This Row],[Date]])</f>
        <v>2023</v>
      </c>
      <c r="N1314">
        <f>WEEKNUM(SalesData[[#This Row],[Date]])</f>
        <v>38</v>
      </c>
      <c r="O1314" t="s">
        <v>2045</v>
      </c>
      <c r="P1314" t="s">
        <v>2522</v>
      </c>
      <c r="Q1314" t="s">
        <v>2526</v>
      </c>
    </row>
    <row r="1315" spans="1:17" x14ac:dyDescent="0.35">
      <c r="A1315" t="s">
        <v>1659</v>
      </c>
      <c r="B1315" s="3">
        <v>44950</v>
      </c>
      <c r="C1315" t="s">
        <v>2013</v>
      </c>
      <c r="D1315" t="s">
        <v>2023</v>
      </c>
      <c r="E1315" s="8">
        <v>1869</v>
      </c>
      <c r="F1315">
        <v>10</v>
      </c>
      <c r="G1315">
        <v>10</v>
      </c>
      <c r="H1315" s="8">
        <v>16821</v>
      </c>
      <c r="I1315">
        <v>1222.6400000000001</v>
      </c>
      <c r="J1315">
        <v>4594.62</v>
      </c>
      <c r="K1315" s="5">
        <f>IF(SalesData[[#This Row],[Total Revenue]]=0,0,SalesData[[#This Row],[Profit]]/SalesData[[#This Row],[Total Revenue]])</f>
        <v>0.27314785090065991</v>
      </c>
      <c r="L1315" s="5" t="str">
        <f>TEXT(SalesData[[#This Row],[Date]],"mmm")</f>
        <v>Jan</v>
      </c>
      <c r="M1315">
        <f>YEAR(SalesData[[#This Row],[Date]])</f>
        <v>2023</v>
      </c>
      <c r="N1315">
        <f>WEEKNUM(SalesData[[#This Row],[Date]])</f>
        <v>4</v>
      </c>
      <c r="O1315" t="s">
        <v>2108</v>
      </c>
      <c r="P1315" t="s">
        <v>2522</v>
      </c>
      <c r="Q1315" t="s">
        <v>2524</v>
      </c>
    </row>
    <row r="1316" spans="1:17" x14ac:dyDescent="0.35">
      <c r="A1316" t="s">
        <v>1730</v>
      </c>
      <c r="B1316" s="3">
        <v>45046</v>
      </c>
      <c r="C1316" t="s">
        <v>2020</v>
      </c>
      <c r="D1316" t="s">
        <v>2028</v>
      </c>
      <c r="E1316" s="8">
        <v>4221</v>
      </c>
      <c r="F1316">
        <v>4</v>
      </c>
      <c r="G1316">
        <v>0</v>
      </c>
      <c r="H1316" s="8">
        <v>16884</v>
      </c>
      <c r="I1316">
        <v>3286.62</v>
      </c>
      <c r="J1316">
        <v>3737.52</v>
      </c>
      <c r="K1316" s="5">
        <f>IF(SalesData[[#This Row],[Total Revenue]]=0,0,SalesData[[#This Row],[Profit]]/SalesData[[#This Row],[Total Revenue]])</f>
        <v>0.22136460554371001</v>
      </c>
      <c r="L1316" s="5" t="str">
        <f>TEXT(SalesData[[#This Row],[Date]],"mmm")</f>
        <v>Apr</v>
      </c>
      <c r="M1316">
        <f>YEAR(SalesData[[#This Row],[Date]])</f>
        <v>2023</v>
      </c>
      <c r="N1316">
        <f>WEEKNUM(SalesData[[#This Row],[Date]])</f>
        <v>18</v>
      </c>
      <c r="O1316" t="s">
        <v>2109</v>
      </c>
      <c r="P1316" t="s">
        <v>2523</v>
      </c>
      <c r="Q1316" t="s">
        <v>2526</v>
      </c>
    </row>
    <row r="1317" spans="1:17" x14ac:dyDescent="0.35">
      <c r="A1317" t="s">
        <v>86</v>
      </c>
      <c r="B1317" s="3">
        <v>45133</v>
      </c>
      <c r="C1317" t="s">
        <v>2021</v>
      </c>
      <c r="D1317" t="s">
        <v>2028</v>
      </c>
      <c r="E1317" s="8">
        <v>2541</v>
      </c>
      <c r="F1317">
        <v>7</v>
      </c>
      <c r="G1317">
        <v>5</v>
      </c>
      <c r="H1317" s="8">
        <v>16897.650000000001</v>
      </c>
      <c r="I1317">
        <v>1539.25</v>
      </c>
      <c r="J1317">
        <v>6122.93</v>
      </c>
      <c r="K1317" s="5">
        <f>IF(SalesData[[#This Row],[Total Revenue]]=0,0,SalesData[[#This Row],[Profit]]/SalesData[[#This Row],[Total Revenue]])</f>
        <v>0.36235393679002698</v>
      </c>
      <c r="L1317" s="5" t="str">
        <f>TEXT(SalesData[[#This Row],[Date]],"mmm")</f>
        <v>Jul</v>
      </c>
      <c r="M1317">
        <f>YEAR(SalesData[[#This Row],[Date]])</f>
        <v>2023</v>
      </c>
      <c r="N1317">
        <f>WEEKNUM(SalesData[[#This Row],[Date]])</f>
        <v>30</v>
      </c>
      <c r="O1317" t="s">
        <v>2094</v>
      </c>
      <c r="P1317" t="s">
        <v>2522</v>
      </c>
      <c r="Q1317" t="s">
        <v>2525</v>
      </c>
    </row>
    <row r="1318" spans="1:17" x14ac:dyDescent="0.35">
      <c r="A1318" t="s">
        <v>1285</v>
      </c>
      <c r="B1318" s="3">
        <v>45203</v>
      </c>
      <c r="C1318" t="s">
        <v>2022</v>
      </c>
      <c r="D1318" t="s">
        <v>2024</v>
      </c>
      <c r="E1318" s="8">
        <v>2965</v>
      </c>
      <c r="F1318">
        <v>6</v>
      </c>
      <c r="G1318">
        <v>5</v>
      </c>
      <c r="H1318" s="8">
        <v>16900.5</v>
      </c>
      <c r="I1318">
        <v>1529.43</v>
      </c>
      <c r="J1318">
        <v>7723.93</v>
      </c>
      <c r="K1318" s="5">
        <f>IF(SalesData[[#This Row],[Total Revenue]]=0,0,SalesData[[#This Row],[Profit]]/SalesData[[#This Row],[Total Revenue]])</f>
        <v>0.45702375669358897</v>
      </c>
      <c r="L1318" s="5" t="str">
        <f>TEXT(SalesData[[#This Row],[Date]],"mmm")</f>
        <v>Oct</v>
      </c>
      <c r="M1318">
        <f>YEAR(SalesData[[#This Row],[Date]])</f>
        <v>2023</v>
      </c>
      <c r="N1318">
        <f>WEEKNUM(SalesData[[#This Row],[Date]])</f>
        <v>40</v>
      </c>
      <c r="O1318" t="s">
        <v>2300</v>
      </c>
      <c r="P1318" t="s">
        <v>2522</v>
      </c>
      <c r="Q1318" t="s">
        <v>2526</v>
      </c>
    </row>
    <row r="1319" spans="1:17" x14ac:dyDescent="0.35">
      <c r="A1319" t="s">
        <v>459</v>
      </c>
      <c r="B1319" s="3">
        <v>45080</v>
      </c>
      <c r="C1319" t="s">
        <v>2021</v>
      </c>
      <c r="D1319" t="s">
        <v>2028</v>
      </c>
      <c r="E1319" s="8">
        <v>3758</v>
      </c>
      <c r="F1319">
        <v>5</v>
      </c>
      <c r="G1319">
        <v>10</v>
      </c>
      <c r="H1319" s="8">
        <v>16911</v>
      </c>
      <c r="I1319">
        <v>2296.1</v>
      </c>
      <c r="J1319">
        <v>5430.48</v>
      </c>
      <c r="K1319" s="5">
        <f>IF(SalesData[[#This Row],[Total Revenue]]=0,0,SalesData[[#This Row],[Profit]]/SalesData[[#This Row],[Total Revenue]])</f>
        <v>0.32112116373957778</v>
      </c>
      <c r="L1319" s="5" t="str">
        <f>TEXT(SalesData[[#This Row],[Date]],"mmm")</f>
        <v>Jun</v>
      </c>
      <c r="M1319">
        <f>YEAR(SalesData[[#This Row],[Date]])</f>
        <v>2023</v>
      </c>
      <c r="N1319">
        <f>WEEKNUM(SalesData[[#This Row],[Date]])</f>
        <v>22</v>
      </c>
      <c r="O1319" t="s">
        <v>2242</v>
      </c>
      <c r="P1319" t="s">
        <v>2523</v>
      </c>
      <c r="Q1319" t="s">
        <v>2527</v>
      </c>
    </row>
    <row r="1320" spans="1:17" x14ac:dyDescent="0.35">
      <c r="A1320" t="s">
        <v>818</v>
      </c>
      <c r="B1320" s="3">
        <v>45266</v>
      </c>
      <c r="C1320" t="s">
        <v>2018</v>
      </c>
      <c r="D1320" t="s">
        <v>2026</v>
      </c>
      <c r="E1320" s="8">
        <v>3563</v>
      </c>
      <c r="F1320">
        <v>5</v>
      </c>
      <c r="G1320">
        <v>5</v>
      </c>
      <c r="H1320" s="8">
        <v>16924.25</v>
      </c>
      <c r="I1320">
        <v>2198.2199999999998</v>
      </c>
      <c r="J1320">
        <v>5933.16</v>
      </c>
      <c r="K1320" s="5">
        <f>IF(SalesData[[#This Row],[Total Revenue]]=0,0,SalesData[[#This Row],[Profit]]/SalesData[[#This Row],[Total Revenue]])</f>
        <v>0.35057151720164853</v>
      </c>
      <c r="L1320" s="5" t="str">
        <f>TEXT(SalesData[[#This Row],[Date]],"mmm")</f>
        <v>Dec</v>
      </c>
      <c r="M1320">
        <f>YEAR(SalesData[[#This Row],[Date]])</f>
        <v>2023</v>
      </c>
      <c r="N1320">
        <f>WEEKNUM(SalesData[[#This Row],[Date]])</f>
        <v>49</v>
      </c>
      <c r="O1320" t="s">
        <v>2219</v>
      </c>
      <c r="P1320" t="s">
        <v>2522</v>
      </c>
      <c r="Q1320" t="s">
        <v>2526</v>
      </c>
    </row>
    <row r="1321" spans="1:17" x14ac:dyDescent="0.35">
      <c r="A1321" t="s">
        <v>558</v>
      </c>
      <c r="B1321" s="3">
        <v>45150</v>
      </c>
      <c r="C1321" t="s">
        <v>2015</v>
      </c>
      <c r="D1321" t="s">
        <v>2025</v>
      </c>
      <c r="E1321" s="8">
        <v>2546</v>
      </c>
      <c r="F1321">
        <v>7</v>
      </c>
      <c r="G1321">
        <v>5</v>
      </c>
      <c r="H1321" s="8">
        <v>16930.900000000001</v>
      </c>
      <c r="I1321">
        <v>1285.48</v>
      </c>
      <c r="J1321">
        <v>7932.54</v>
      </c>
      <c r="K1321" s="5">
        <f>IF(SalesData[[#This Row],[Total Revenue]]=0,0,SalesData[[#This Row],[Profit]]/SalesData[[#This Row],[Total Revenue]])</f>
        <v>0.4685244139413734</v>
      </c>
      <c r="L1321" s="5" t="str">
        <f>TEXT(SalesData[[#This Row],[Date]],"mmm")</f>
        <v>Aug</v>
      </c>
      <c r="M1321">
        <f>YEAR(SalesData[[#This Row],[Date]])</f>
        <v>2023</v>
      </c>
      <c r="N1321">
        <f>WEEKNUM(SalesData[[#This Row],[Date]])</f>
        <v>32</v>
      </c>
      <c r="O1321" t="s">
        <v>2357</v>
      </c>
      <c r="P1321" t="s">
        <v>2522</v>
      </c>
      <c r="Q1321" t="s">
        <v>2525</v>
      </c>
    </row>
    <row r="1322" spans="1:17" x14ac:dyDescent="0.35">
      <c r="A1322" t="s">
        <v>1228</v>
      </c>
      <c r="B1322" s="3">
        <v>45169</v>
      </c>
      <c r="C1322" t="s">
        <v>2016</v>
      </c>
      <c r="D1322" t="s">
        <v>2025</v>
      </c>
      <c r="E1322" s="8">
        <v>1993</v>
      </c>
      <c r="F1322">
        <v>10</v>
      </c>
      <c r="G1322">
        <v>15</v>
      </c>
      <c r="H1322" s="8">
        <v>16940.5</v>
      </c>
      <c r="I1322">
        <v>1189.95</v>
      </c>
      <c r="J1322">
        <v>5041.05</v>
      </c>
      <c r="K1322" s="5">
        <f>IF(SalesData[[#This Row],[Total Revenue]]=0,0,SalesData[[#This Row],[Profit]]/SalesData[[#This Row],[Total Revenue]])</f>
        <v>0.29757386145627346</v>
      </c>
      <c r="L1322" s="5" t="str">
        <f>TEXT(SalesData[[#This Row],[Date]],"mmm")</f>
        <v>Aug</v>
      </c>
      <c r="M1322">
        <f>YEAR(SalesData[[#This Row],[Date]])</f>
        <v>2023</v>
      </c>
      <c r="N1322">
        <f>WEEKNUM(SalesData[[#This Row],[Date]])</f>
        <v>35</v>
      </c>
      <c r="O1322" t="s">
        <v>2074</v>
      </c>
      <c r="P1322" t="s">
        <v>2522</v>
      </c>
      <c r="Q1322" t="s">
        <v>2527</v>
      </c>
    </row>
    <row r="1323" spans="1:17" x14ac:dyDescent="0.35">
      <c r="A1323" t="s">
        <v>1489</v>
      </c>
      <c r="B1323" s="3">
        <v>45098</v>
      </c>
      <c r="C1323" t="s">
        <v>2021</v>
      </c>
      <c r="D1323" t="s">
        <v>2028</v>
      </c>
      <c r="E1323" s="8">
        <v>2690</v>
      </c>
      <c r="F1323">
        <v>7</v>
      </c>
      <c r="G1323">
        <v>10</v>
      </c>
      <c r="H1323" s="8">
        <v>16947</v>
      </c>
      <c r="I1323">
        <v>1643.85</v>
      </c>
      <c r="J1323">
        <v>5440.06</v>
      </c>
      <c r="K1323" s="5">
        <f>IF(SalesData[[#This Row],[Total Revenue]]=0,0,SalesData[[#This Row],[Profit]]/SalesData[[#This Row],[Total Revenue]])</f>
        <v>0.3210043075470585</v>
      </c>
      <c r="L1323" s="5" t="str">
        <f>TEXT(SalesData[[#This Row],[Date]],"mmm")</f>
        <v>Jun</v>
      </c>
      <c r="M1323">
        <f>YEAR(SalesData[[#This Row],[Date]])</f>
        <v>2023</v>
      </c>
      <c r="N1323">
        <f>WEEKNUM(SalesData[[#This Row],[Date]])</f>
        <v>25</v>
      </c>
      <c r="O1323" t="s">
        <v>2215</v>
      </c>
      <c r="P1323" t="s">
        <v>2523</v>
      </c>
      <c r="Q1323" t="s">
        <v>2526</v>
      </c>
    </row>
    <row r="1324" spans="1:17" x14ac:dyDescent="0.35">
      <c r="A1324" t="s">
        <v>981</v>
      </c>
      <c r="B1324" s="3">
        <v>45004</v>
      </c>
      <c r="C1324" t="s">
        <v>2016</v>
      </c>
      <c r="D1324" t="s">
        <v>2025</v>
      </c>
      <c r="E1324" s="8">
        <v>3770</v>
      </c>
      <c r="F1324">
        <v>5</v>
      </c>
      <c r="G1324">
        <v>10</v>
      </c>
      <c r="H1324" s="8">
        <v>16965</v>
      </c>
      <c r="I1324">
        <v>3011.65</v>
      </c>
      <c r="J1324">
        <v>1906.73</v>
      </c>
      <c r="K1324" s="5">
        <f>IF(SalesData[[#This Row],[Total Revenue]]=0,0,SalesData[[#This Row],[Profit]]/SalesData[[#This Row],[Total Revenue]])</f>
        <v>0.11239198349543177</v>
      </c>
      <c r="L1324" s="5" t="str">
        <f>TEXT(SalesData[[#This Row],[Date]],"mmm")</f>
        <v>Mar</v>
      </c>
      <c r="M1324">
        <f>YEAR(SalesData[[#This Row],[Date]])</f>
        <v>2023</v>
      </c>
      <c r="N1324">
        <f>WEEKNUM(SalesData[[#This Row],[Date]])</f>
        <v>12</v>
      </c>
      <c r="O1324" t="s">
        <v>2293</v>
      </c>
      <c r="P1324" t="s">
        <v>2523</v>
      </c>
      <c r="Q1324" t="s">
        <v>2527</v>
      </c>
    </row>
    <row r="1325" spans="1:17" x14ac:dyDescent="0.35">
      <c r="A1325" t="s">
        <v>1877</v>
      </c>
      <c r="B1325" s="3">
        <v>44978</v>
      </c>
      <c r="C1325" t="s">
        <v>2019</v>
      </c>
      <c r="D1325" t="s">
        <v>2027</v>
      </c>
      <c r="E1325" s="8">
        <v>3144</v>
      </c>
      <c r="F1325">
        <v>6</v>
      </c>
      <c r="G1325">
        <v>10</v>
      </c>
      <c r="H1325" s="8">
        <v>16977.599999999999</v>
      </c>
      <c r="I1325">
        <v>2013.84</v>
      </c>
      <c r="J1325">
        <v>4894.59</v>
      </c>
      <c r="K1325" s="5">
        <f>IF(SalesData[[#This Row],[Total Revenue]]=0,0,SalesData[[#This Row],[Profit]]/SalesData[[#This Row],[Total Revenue]])</f>
        <v>0.28829693242861187</v>
      </c>
      <c r="L1325" s="5" t="str">
        <f>TEXT(SalesData[[#This Row],[Date]],"mmm")</f>
        <v>Feb</v>
      </c>
      <c r="M1325">
        <f>YEAR(SalesData[[#This Row],[Date]])</f>
        <v>2023</v>
      </c>
      <c r="N1325">
        <f>WEEKNUM(SalesData[[#This Row],[Date]])</f>
        <v>8</v>
      </c>
      <c r="O1325" t="s">
        <v>2084</v>
      </c>
      <c r="P1325" t="s">
        <v>2523</v>
      </c>
      <c r="Q1325" t="s">
        <v>2526</v>
      </c>
    </row>
    <row r="1326" spans="1:17" x14ac:dyDescent="0.35">
      <c r="A1326" t="s">
        <v>335</v>
      </c>
      <c r="B1326" s="3">
        <v>45130</v>
      </c>
      <c r="C1326" t="s">
        <v>2014</v>
      </c>
      <c r="D1326" t="s">
        <v>2024</v>
      </c>
      <c r="E1326" s="8">
        <v>2366</v>
      </c>
      <c r="F1326">
        <v>8</v>
      </c>
      <c r="G1326">
        <v>10</v>
      </c>
      <c r="H1326" s="8">
        <v>17035.2</v>
      </c>
      <c r="I1326">
        <v>1484.98</v>
      </c>
      <c r="J1326">
        <v>5155.3599999999997</v>
      </c>
      <c r="K1326" s="5">
        <f>IF(SalesData[[#This Row],[Total Revenue]]=0,0,SalesData[[#This Row],[Profit]]/SalesData[[#This Row],[Total Revenue]])</f>
        <v>0.30262984878369492</v>
      </c>
      <c r="L1326" s="5" t="str">
        <f>TEXT(SalesData[[#This Row],[Date]],"mmm")</f>
        <v>Jul</v>
      </c>
      <c r="M1326">
        <f>YEAR(SalesData[[#This Row],[Date]])</f>
        <v>2023</v>
      </c>
      <c r="N1326">
        <f>WEEKNUM(SalesData[[#This Row],[Date]])</f>
        <v>30</v>
      </c>
      <c r="O1326" t="s">
        <v>2265</v>
      </c>
      <c r="P1326" t="s">
        <v>2522</v>
      </c>
      <c r="Q1326" t="s">
        <v>2524</v>
      </c>
    </row>
    <row r="1327" spans="1:17" x14ac:dyDescent="0.35">
      <c r="A1327" t="s">
        <v>606</v>
      </c>
      <c r="B1327" s="3">
        <v>44968</v>
      </c>
      <c r="C1327" t="s">
        <v>2022</v>
      </c>
      <c r="D1327" t="s">
        <v>2024</v>
      </c>
      <c r="E1327" s="8">
        <v>3787</v>
      </c>
      <c r="F1327">
        <v>5</v>
      </c>
      <c r="G1327">
        <v>10</v>
      </c>
      <c r="H1327" s="8">
        <v>17041.5</v>
      </c>
      <c r="I1327">
        <v>2856.62</v>
      </c>
      <c r="J1327">
        <v>2758.41</v>
      </c>
      <c r="K1327" s="5">
        <f>IF(SalesData[[#This Row],[Total Revenue]]=0,0,SalesData[[#This Row],[Profit]]/SalesData[[#This Row],[Total Revenue]])</f>
        <v>0.1618642725112226</v>
      </c>
      <c r="L1327" s="5" t="str">
        <f>TEXT(SalesData[[#This Row],[Date]],"mmm")</f>
        <v>Feb</v>
      </c>
      <c r="M1327">
        <f>YEAR(SalesData[[#This Row],[Date]])</f>
        <v>2023</v>
      </c>
      <c r="N1327">
        <f>WEEKNUM(SalesData[[#This Row],[Date]])</f>
        <v>6</v>
      </c>
      <c r="O1327" t="s">
        <v>2371</v>
      </c>
      <c r="P1327" t="s">
        <v>2522</v>
      </c>
      <c r="Q1327" t="s">
        <v>2525</v>
      </c>
    </row>
    <row r="1328" spans="1:17" x14ac:dyDescent="0.35">
      <c r="A1328" t="s">
        <v>636</v>
      </c>
      <c r="B1328" s="3">
        <v>45282</v>
      </c>
      <c r="C1328" t="s">
        <v>2020</v>
      </c>
      <c r="D1328" t="s">
        <v>2028</v>
      </c>
      <c r="E1328" s="8">
        <v>2865</v>
      </c>
      <c r="F1328">
        <v>7</v>
      </c>
      <c r="G1328">
        <v>15</v>
      </c>
      <c r="H1328" s="8">
        <v>17046.75</v>
      </c>
      <c r="I1328">
        <v>1443.62</v>
      </c>
      <c r="J1328">
        <v>6941.43</v>
      </c>
      <c r="K1328" s="5">
        <f>IF(SalesData[[#This Row],[Total Revenue]]=0,0,SalesData[[#This Row],[Profit]]/SalesData[[#This Row],[Total Revenue]])</f>
        <v>0.40719961282942496</v>
      </c>
      <c r="L1328" s="5" t="str">
        <f>TEXT(SalesData[[#This Row],[Date]],"mmm")</f>
        <v>Dec</v>
      </c>
      <c r="M1328">
        <f>YEAR(SalesData[[#This Row],[Date]])</f>
        <v>2023</v>
      </c>
      <c r="N1328">
        <f>WEEKNUM(SalesData[[#This Row],[Date]])</f>
        <v>51</v>
      </c>
      <c r="O1328" t="s">
        <v>2386</v>
      </c>
      <c r="P1328" t="s">
        <v>2522</v>
      </c>
      <c r="Q1328" t="s">
        <v>2525</v>
      </c>
    </row>
    <row r="1329" spans="1:17" x14ac:dyDescent="0.35">
      <c r="A1329" t="s">
        <v>788</v>
      </c>
      <c r="B1329" s="3">
        <v>45250</v>
      </c>
      <c r="C1329" t="s">
        <v>2015</v>
      </c>
      <c r="D1329" t="s">
        <v>2025</v>
      </c>
      <c r="E1329" s="8">
        <v>2512</v>
      </c>
      <c r="F1329">
        <v>8</v>
      </c>
      <c r="G1329">
        <v>15</v>
      </c>
      <c r="H1329" s="8">
        <v>17081.599999999999</v>
      </c>
      <c r="I1329">
        <v>1836.88</v>
      </c>
      <c r="J1329">
        <v>2386.52</v>
      </c>
      <c r="K1329" s="5">
        <f>IF(SalesData[[#This Row],[Total Revenue]]=0,0,SalesData[[#This Row],[Profit]]/SalesData[[#This Row],[Total Revenue]])</f>
        <v>0.13971290745597603</v>
      </c>
      <c r="L1329" s="5" t="str">
        <f>TEXT(SalesData[[#This Row],[Date]],"mmm")</f>
        <v>Nov</v>
      </c>
      <c r="M1329">
        <f>YEAR(SalesData[[#This Row],[Date]])</f>
        <v>2023</v>
      </c>
      <c r="N1329">
        <f>WEEKNUM(SalesData[[#This Row],[Date]])</f>
        <v>47</v>
      </c>
      <c r="O1329" t="s">
        <v>2314</v>
      </c>
      <c r="P1329" t="s">
        <v>2523</v>
      </c>
      <c r="Q1329" t="s">
        <v>2525</v>
      </c>
    </row>
    <row r="1330" spans="1:17" x14ac:dyDescent="0.35">
      <c r="A1330" t="s">
        <v>1243</v>
      </c>
      <c r="B1330" s="3">
        <v>45134</v>
      </c>
      <c r="C1330" t="s">
        <v>2018</v>
      </c>
      <c r="D1330" t="s">
        <v>2026</v>
      </c>
      <c r="E1330" s="8">
        <v>3164</v>
      </c>
      <c r="F1330">
        <v>6</v>
      </c>
      <c r="G1330">
        <v>10</v>
      </c>
      <c r="H1330" s="8">
        <v>17085.599999999999</v>
      </c>
      <c r="I1330">
        <v>1631.13</v>
      </c>
      <c r="J1330">
        <v>7298.79</v>
      </c>
      <c r="K1330" s="5">
        <f>IF(SalesData[[#This Row],[Total Revenue]]=0,0,SalesData[[#This Row],[Profit]]/SalesData[[#This Row],[Total Revenue]])</f>
        <v>0.42718956314089063</v>
      </c>
      <c r="L1330" s="5" t="str">
        <f>TEXT(SalesData[[#This Row],[Date]],"mmm")</f>
        <v>Jul</v>
      </c>
      <c r="M1330">
        <f>YEAR(SalesData[[#This Row],[Date]])</f>
        <v>2023</v>
      </c>
      <c r="N1330">
        <f>WEEKNUM(SalesData[[#This Row],[Date]])</f>
        <v>30</v>
      </c>
      <c r="O1330" t="s">
        <v>2070</v>
      </c>
      <c r="P1330" t="s">
        <v>2523</v>
      </c>
      <c r="Q1330" t="s">
        <v>2526</v>
      </c>
    </row>
    <row r="1331" spans="1:17" x14ac:dyDescent="0.35">
      <c r="A1331" t="s">
        <v>739</v>
      </c>
      <c r="B1331" s="3">
        <v>45117</v>
      </c>
      <c r="C1331" t="s">
        <v>2020</v>
      </c>
      <c r="D1331" t="s">
        <v>2028</v>
      </c>
      <c r="E1331" s="8">
        <v>2513</v>
      </c>
      <c r="F1331">
        <v>8</v>
      </c>
      <c r="G1331">
        <v>15</v>
      </c>
      <c r="H1331" s="8">
        <v>17088.400000000001</v>
      </c>
      <c r="I1331">
        <v>1415.68</v>
      </c>
      <c r="J1331">
        <v>5762.95</v>
      </c>
      <c r="K1331" s="5">
        <f>IF(SalesData[[#This Row],[Total Revenue]]=0,0,SalesData[[#This Row],[Profit]]/SalesData[[#This Row],[Total Revenue]])</f>
        <v>0.3372433931789986</v>
      </c>
      <c r="L1331" s="5" t="str">
        <f>TEXT(SalesData[[#This Row],[Date]],"mmm")</f>
        <v>Jul</v>
      </c>
      <c r="M1331">
        <f>YEAR(SalesData[[#This Row],[Date]])</f>
        <v>2023</v>
      </c>
      <c r="N1331">
        <f>WEEKNUM(SalesData[[#This Row],[Date]])</f>
        <v>28</v>
      </c>
      <c r="O1331" t="s">
        <v>2206</v>
      </c>
      <c r="P1331" t="s">
        <v>2522</v>
      </c>
      <c r="Q1331" t="s">
        <v>2526</v>
      </c>
    </row>
    <row r="1332" spans="1:17" x14ac:dyDescent="0.35">
      <c r="A1332" t="s">
        <v>849</v>
      </c>
      <c r="B1332" s="3">
        <v>45194</v>
      </c>
      <c r="C1332" t="s">
        <v>2015</v>
      </c>
      <c r="D1332" t="s">
        <v>2025</v>
      </c>
      <c r="E1332" s="8">
        <v>1712</v>
      </c>
      <c r="F1332">
        <v>10</v>
      </c>
      <c r="G1332">
        <v>0</v>
      </c>
      <c r="H1332" s="8">
        <v>17120</v>
      </c>
      <c r="I1332">
        <v>1224.3900000000001</v>
      </c>
      <c r="J1332">
        <v>4876.1000000000004</v>
      </c>
      <c r="K1332" s="5">
        <f>IF(SalesData[[#This Row],[Total Revenue]]=0,0,SalesData[[#This Row],[Profit]]/SalesData[[#This Row],[Total Revenue]])</f>
        <v>0.28481892523364488</v>
      </c>
      <c r="L1332" s="5" t="str">
        <f>TEXT(SalesData[[#This Row],[Date]],"mmm")</f>
        <v>Sep</v>
      </c>
      <c r="M1332">
        <f>YEAR(SalesData[[#This Row],[Date]])</f>
        <v>2023</v>
      </c>
      <c r="N1332">
        <f>WEEKNUM(SalesData[[#This Row],[Date]])</f>
        <v>39</v>
      </c>
      <c r="O1332" t="s">
        <v>2216</v>
      </c>
      <c r="P1332" t="s">
        <v>2522</v>
      </c>
      <c r="Q1332" t="s">
        <v>2526</v>
      </c>
    </row>
    <row r="1333" spans="1:17" x14ac:dyDescent="0.35">
      <c r="A1333" t="s">
        <v>1341</v>
      </c>
      <c r="B1333" s="3">
        <v>44955</v>
      </c>
      <c r="C1333" t="s">
        <v>2021</v>
      </c>
      <c r="D1333" t="s">
        <v>2028</v>
      </c>
      <c r="E1333" s="8">
        <v>4031</v>
      </c>
      <c r="F1333">
        <v>5</v>
      </c>
      <c r="G1333">
        <v>15</v>
      </c>
      <c r="H1333" s="8">
        <v>17131.75</v>
      </c>
      <c r="I1333">
        <v>3019.66</v>
      </c>
      <c r="J1333">
        <v>2033.45</v>
      </c>
      <c r="K1333" s="5">
        <f>IF(SalesData[[#This Row],[Total Revenue]]=0,0,SalesData[[#This Row],[Profit]]/SalesData[[#This Row],[Total Revenue]])</f>
        <v>0.1186948210194522</v>
      </c>
      <c r="L1333" s="5" t="str">
        <f>TEXT(SalesData[[#This Row],[Date]],"mmm")</f>
        <v>Jan</v>
      </c>
      <c r="M1333">
        <f>YEAR(SalesData[[#This Row],[Date]])</f>
        <v>2023</v>
      </c>
      <c r="N1333">
        <f>WEEKNUM(SalesData[[#This Row],[Date]])</f>
        <v>5</v>
      </c>
      <c r="O1333" t="s">
        <v>2048</v>
      </c>
      <c r="P1333" t="s">
        <v>2523</v>
      </c>
      <c r="Q1333" t="s">
        <v>2526</v>
      </c>
    </row>
    <row r="1334" spans="1:17" x14ac:dyDescent="0.35">
      <c r="A1334" t="s">
        <v>920</v>
      </c>
      <c r="B1334" s="3">
        <v>45272</v>
      </c>
      <c r="C1334" t="s">
        <v>2022</v>
      </c>
      <c r="D1334" t="s">
        <v>2024</v>
      </c>
      <c r="E1334" s="8">
        <v>4288</v>
      </c>
      <c r="F1334">
        <v>4</v>
      </c>
      <c r="G1334">
        <v>0</v>
      </c>
      <c r="H1334" s="8">
        <v>17152</v>
      </c>
      <c r="I1334">
        <v>3378</v>
      </c>
      <c r="J1334">
        <v>3639.99</v>
      </c>
      <c r="K1334" s="5">
        <f>IF(SalesData[[#This Row],[Total Revenue]]=0,0,SalesData[[#This Row],[Profit]]/SalesData[[#This Row],[Total Revenue]])</f>
        <v>0.21221956623134328</v>
      </c>
      <c r="L1334" s="5" t="str">
        <f>TEXT(SalesData[[#This Row],[Date]],"mmm")</f>
        <v>Dec</v>
      </c>
      <c r="M1334">
        <f>YEAR(SalesData[[#This Row],[Date]])</f>
        <v>2023</v>
      </c>
      <c r="N1334">
        <f>WEEKNUM(SalesData[[#This Row],[Date]])</f>
        <v>50</v>
      </c>
      <c r="O1334" t="s">
        <v>2247</v>
      </c>
      <c r="P1334" t="s">
        <v>2523</v>
      </c>
      <c r="Q1334" t="s">
        <v>2525</v>
      </c>
    </row>
    <row r="1335" spans="1:17" x14ac:dyDescent="0.35">
      <c r="A1335" t="s">
        <v>1496</v>
      </c>
      <c r="B1335" s="3">
        <v>45015</v>
      </c>
      <c r="C1335" t="s">
        <v>2020</v>
      </c>
      <c r="D1335" t="s">
        <v>2028</v>
      </c>
      <c r="E1335" s="8">
        <v>4036</v>
      </c>
      <c r="F1335">
        <v>5</v>
      </c>
      <c r="G1335">
        <v>15</v>
      </c>
      <c r="H1335" s="8">
        <v>17153</v>
      </c>
      <c r="I1335">
        <v>2953.98</v>
      </c>
      <c r="J1335">
        <v>2383.1</v>
      </c>
      <c r="K1335" s="5">
        <f>IF(SalesData[[#This Row],[Total Revenue]]=0,0,SalesData[[#This Row],[Profit]]/SalesData[[#This Row],[Total Revenue]])</f>
        <v>0.13893196525389145</v>
      </c>
      <c r="L1335" s="5" t="str">
        <f>TEXT(SalesData[[#This Row],[Date]],"mmm")</f>
        <v>Mar</v>
      </c>
      <c r="M1335">
        <f>YEAR(SalesData[[#This Row],[Date]])</f>
        <v>2023</v>
      </c>
      <c r="N1335">
        <f>WEEKNUM(SalesData[[#This Row],[Date]])</f>
        <v>13</v>
      </c>
      <c r="O1335" t="s">
        <v>2193</v>
      </c>
      <c r="P1335" t="s">
        <v>2522</v>
      </c>
      <c r="Q1335" t="s">
        <v>2526</v>
      </c>
    </row>
    <row r="1336" spans="1:17" x14ac:dyDescent="0.35">
      <c r="A1336" t="s">
        <v>258</v>
      </c>
      <c r="B1336" s="3">
        <v>45022</v>
      </c>
      <c r="C1336" t="s">
        <v>2017</v>
      </c>
      <c r="D1336" t="s">
        <v>2026</v>
      </c>
      <c r="E1336" s="8">
        <v>4296</v>
      </c>
      <c r="F1336">
        <v>4</v>
      </c>
      <c r="G1336">
        <v>0</v>
      </c>
      <c r="H1336" s="8">
        <v>17184</v>
      </c>
      <c r="I1336">
        <v>3239.47</v>
      </c>
      <c r="J1336">
        <v>4226.13</v>
      </c>
      <c r="K1336" s="5">
        <f>IF(SalesData[[#This Row],[Total Revenue]]=0,0,SalesData[[#This Row],[Profit]]/SalesData[[#This Row],[Total Revenue]])</f>
        <v>0.24593400837988827</v>
      </c>
      <c r="L1336" s="5" t="str">
        <f>TEXT(SalesData[[#This Row],[Date]],"mmm")</f>
        <v>Apr</v>
      </c>
      <c r="M1336">
        <f>YEAR(SalesData[[#This Row],[Date]])</f>
        <v>2023</v>
      </c>
      <c r="N1336">
        <f>WEEKNUM(SalesData[[#This Row],[Date]])</f>
        <v>14</v>
      </c>
      <c r="O1336" t="s">
        <v>2141</v>
      </c>
      <c r="P1336" t="s">
        <v>2522</v>
      </c>
      <c r="Q1336" t="s">
        <v>2525</v>
      </c>
    </row>
    <row r="1337" spans="1:17" x14ac:dyDescent="0.35">
      <c r="A1337" t="s">
        <v>681</v>
      </c>
      <c r="B1337" s="3">
        <v>45015</v>
      </c>
      <c r="C1337" t="s">
        <v>2014</v>
      </c>
      <c r="D1337" t="s">
        <v>2024</v>
      </c>
      <c r="E1337" s="8">
        <v>2018</v>
      </c>
      <c r="F1337">
        <v>9</v>
      </c>
      <c r="G1337">
        <v>5</v>
      </c>
      <c r="H1337" s="8">
        <v>17253.900000000001</v>
      </c>
      <c r="I1337">
        <v>1209.52</v>
      </c>
      <c r="J1337">
        <v>6368.26</v>
      </c>
      <c r="K1337" s="5">
        <f>IF(SalesData[[#This Row],[Total Revenue]]=0,0,SalesData[[#This Row],[Profit]]/SalesData[[#This Row],[Total Revenue]])</f>
        <v>0.36909104608233501</v>
      </c>
      <c r="L1337" s="5" t="str">
        <f>TEXT(SalesData[[#This Row],[Date]],"mmm")</f>
        <v>Mar</v>
      </c>
      <c r="M1337">
        <f>YEAR(SalesData[[#This Row],[Date]])</f>
        <v>2023</v>
      </c>
      <c r="N1337">
        <f>WEEKNUM(SalesData[[#This Row],[Date]])</f>
        <v>13</v>
      </c>
      <c r="O1337" t="s">
        <v>2099</v>
      </c>
      <c r="P1337" t="s">
        <v>2522</v>
      </c>
      <c r="Q1337" t="s">
        <v>2526</v>
      </c>
    </row>
    <row r="1338" spans="1:17" x14ac:dyDescent="0.35">
      <c r="A1338" t="s">
        <v>1769</v>
      </c>
      <c r="B1338" s="3">
        <v>44928</v>
      </c>
      <c r="C1338" t="s">
        <v>2017</v>
      </c>
      <c r="D1338" t="s">
        <v>2026</v>
      </c>
      <c r="E1338" s="8">
        <v>3390</v>
      </c>
      <c r="F1338">
        <v>6</v>
      </c>
      <c r="G1338">
        <v>15</v>
      </c>
      <c r="H1338" s="8">
        <v>17289</v>
      </c>
      <c r="I1338">
        <v>2476.66</v>
      </c>
      <c r="J1338">
        <v>2429.0500000000002</v>
      </c>
      <c r="K1338" s="5">
        <f>IF(SalesData[[#This Row],[Total Revenue]]=0,0,SalesData[[#This Row],[Profit]]/SalesData[[#This Row],[Total Revenue]])</f>
        <v>0.14049684770663429</v>
      </c>
      <c r="L1338" s="5" t="str">
        <f>TEXT(SalesData[[#This Row],[Date]],"mmm")</f>
        <v>Jan</v>
      </c>
      <c r="M1338">
        <f>YEAR(SalesData[[#This Row],[Date]])</f>
        <v>2023</v>
      </c>
      <c r="N1338">
        <f>WEEKNUM(SalesData[[#This Row],[Date]])</f>
        <v>1</v>
      </c>
      <c r="O1338" t="s">
        <v>2434</v>
      </c>
      <c r="P1338" t="s">
        <v>2523</v>
      </c>
      <c r="Q1338" t="s">
        <v>2526</v>
      </c>
    </row>
    <row r="1339" spans="1:17" x14ac:dyDescent="0.35">
      <c r="A1339" t="s">
        <v>179</v>
      </c>
      <c r="B1339" s="3">
        <v>45221</v>
      </c>
      <c r="C1339" t="s">
        <v>2020</v>
      </c>
      <c r="D1339" t="s">
        <v>2028</v>
      </c>
      <c r="E1339" s="8">
        <v>3845</v>
      </c>
      <c r="F1339">
        <v>5</v>
      </c>
      <c r="G1339">
        <v>10</v>
      </c>
      <c r="H1339" s="8">
        <v>17302.5</v>
      </c>
      <c r="I1339">
        <v>2651.5</v>
      </c>
      <c r="J1339">
        <v>4045.01</v>
      </c>
      <c r="K1339" s="5">
        <f>IF(SalesData[[#This Row],[Total Revenue]]=0,0,SalesData[[#This Row],[Profit]]/SalesData[[#This Row],[Total Revenue]])</f>
        <v>0.23378182343591969</v>
      </c>
      <c r="L1339" s="5" t="str">
        <f>TEXT(SalesData[[#This Row],[Date]],"mmm")</f>
        <v>Oct</v>
      </c>
      <c r="M1339">
        <f>YEAR(SalesData[[#This Row],[Date]])</f>
        <v>2023</v>
      </c>
      <c r="N1339">
        <f>WEEKNUM(SalesData[[#This Row],[Date]])</f>
        <v>43</v>
      </c>
      <c r="O1339" t="s">
        <v>2053</v>
      </c>
      <c r="P1339" t="s">
        <v>2522</v>
      </c>
      <c r="Q1339" t="s">
        <v>2524</v>
      </c>
    </row>
    <row r="1340" spans="1:17" x14ac:dyDescent="0.35">
      <c r="A1340" t="s">
        <v>797</v>
      </c>
      <c r="B1340" s="3">
        <v>44963</v>
      </c>
      <c r="C1340" t="s">
        <v>2015</v>
      </c>
      <c r="D1340" t="s">
        <v>2025</v>
      </c>
      <c r="E1340" s="8">
        <v>3849</v>
      </c>
      <c r="F1340">
        <v>5</v>
      </c>
      <c r="G1340">
        <v>10</v>
      </c>
      <c r="H1340" s="8">
        <v>17320.5</v>
      </c>
      <c r="I1340">
        <v>2608.19</v>
      </c>
      <c r="J1340">
        <v>4279.57</v>
      </c>
      <c r="K1340" s="5">
        <f>IF(SalesData[[#This Row],[Total Revenue]]=0,0,SalesData[[#This Row],[Profit]]/SalesData[[#This Row],[Total Revenue]])</f>
        <v>0.24708120435322303</v>
      </c>
      <c r="L1340" s="5" t="str">
        <f>TEXT(SalesData[[#This Row],[Date]],"mmm")</f>
        <v>Feb</v>
      </c>
      <c r="M1340">
        <f>YEAR(SalesData[[#This Row],[Date]])</f>
        <v>2023</v>
      </c>
      <c r="N1340">
        <f>WEEKNUM(SalesData[[#This Row],[Date]])</f>
        <v>6</v>
      </c>
      <c r="O1340" t="s">
        <v>2422</v>
      </c>
      <c r="P1340" t="s">
        <v>2523</v>
      </c>
      <c r="Q1340" t="s">
        <v>2525</v>
      </c>
    </row>
    <row r="1341" spans="1:17" x14ac:dyDescent="0.35">
      <c r="A1341" t="s">
        <v>1214</v>
      </c>
      <c r="B1341" s="3">
        <v>45121</v>
      </c>
      <c r="C1341" t="s">
        <v>2020</v>
      </c>
      <c r="D1341" t="s">
        <v>2028</v>
      </c>
      <c r="E1341" s="8">
        <v>2552</v>
      </c>
      <c r="F1341">
        <v>8</v>
      </c>
      <c r="G1341">
        <v>15</v>
      </c>
      <c r="H1341" s="8">
        <v>17353.599999999999</v>
      </c>
      <c r="I1341">
        <v>1420.09</v>
      </c>
      <c r="J1341">
        <v>5992.92</v>
      </c>
      <c r="K1341" s="5">
        <f>IF(SalesData[[#This Row],[Total Revenue]]=0,0,SalesData[[#This Row],[Profit]]/SalesData[[#This Row],[Total Revenue]])</f>
        <v>0.34534160059007935</v>
      </c>
      <c r="L1341" s="5" t="str">
        <f>TEXT(SalesData[[#This Row],[Date]],"mmm")</f>
        <v>Jul</v>
      </c>
      <c r="M1341">
        <f>YEAR(SalesData[[#This Row],[Date]])</f>
        <v>2023</v>
      </c>
      <c r="N1341">
        <f>WEEKNUM(SalesData[[#This Row],[Date]])</f>
        <v>28</v>
      </c>
      <c r="O1341" t="s">
        <v>2387</v>
      </c>
      <c r="P1341" t="s">
        <v>2522</v>
      </c>
      <c r="Q1341" t="s">
        <v>2524</v>
      </c>
    </row>
    <row r="1342" spans="1:17" x14ac:dyDescent="0.35">
      <c r="A1342" t="s">
        <v>1369</v>
      </c>
      <c r="B1342" s="3">
        <v>45194</v>
      </c>
      <c r="C1342" t="s">
        <v>2015</v>
      </c>
      <c r="D1342" t="s">
        <v>2025</v>
      </c>
      <c r="E1342" s="8">
        <v>3474</v>
      </c>
      <c r="F1342">
        <v>5</v>
      </c>
      <c r="G1342">
        <v>0</v>
      </c>
      <c r="H1342" s="8">
        <v>17370</v>
      </c>
      <c r="I1342">
        <v>2472.23</v>
      </c>
      <c r="J1342">
        <v>5008.8500000000004</v>
      </c>
      <c r="K1342" s="5">
        <f>IF(SalesData[[#This Row],[Total Revenue]]=0,0,SalesData[[#This Row],[Profit]]/SalesData[[#This Row],[Total Revenue]])</f>
        <v>0.28836211859527922</v>
      </c>
      <c r="L1342" s="5" t="str">
        <f>TEXT(SalesData[[#This Row],[Date]],"mmm")</f>
        <v>Sep</v>
      </c>
      <c r="M1342">
        <f>YEAR(SalesData[[#This Row],[Date]])</f>
        <v>2023</v>
      </c>
      <c r="N1342">
        <f>WEEKNUM(SalesData[[#This Row],[Date]])</f>
        <v>39</v>
      </c>
      <c r="O1342" t="s">
        <v>2450</v>
      </c>
      <c r="P1342" t="s">
        <v>2523</v>
      </c>
      <c r="Q1342" t="s">
        <v>2526</v>
      </c>
    </row>
    <row r="1343" spans="1:17" x14ac:dyDescent="0.35">
      <c r="A1343" t="s">
        <v>654</v>
      </c>
      <c r="B1343" s="3">
        <v>45081</v>
      </c>
      <c r="C1343" t="s">
        <v>2016</v>
      </c>
      <c r="D1343" t="s">
        <v>2025</v>
      </c>
      <c r="E1343" s="8">
        <v>2924</v>
      </c>
      <c r="F1343">
        <v>7</v>
      </c>
      <c r="G1343">
        <v>15</v>
      </c>
      <c r="H1343" s="8">
        <v>17397.8</v>
      </c>
      <c r="I1343">
        <v>2222.91</v>
      </c>
      <c r="J1343">
        <v>1837.43</v>
      </c>
      <c r="K1343" s="5">
        <f>IF(SalesData[[#This Row],[Total Revenue]]=0,0,SalesData[[#This Row],[Profit]]/SalesData[[#This Row],[Total Revenue]])</f>
        <v>0.10561277862718275</v>
      </c>
      <c r="L1343" s="5" t="str">
        <f>TEXT(SalesData[[#This Row],[Date]],"mmm")</f>
        <v>Jun</v>
      </c>
      <c r="M1343">
        <f>YEAR(SalesData[[#This Row],[Date]])</f>
        <v>2023</v>
      </c>
      <c r="N1343">
        <f>WEEKNUM(SalesData[[#This Row],[Date]])</f>
        <v>23</v>
      </c>
      <c r="O1343" t="s">
        <v>2084</v>
      </c>
      <c r="P1343" t="s">
        <v>2522</v>
      </c>
      <c r="Q1343" t="s">
        <v>2524</v>
      </c>
    </row>
    <row r="1344" spans="1:17" x14ac:dyDescent="0.35">
      <c r="A1344" t="s">
        <v>1770</v>
      </c>
      <c r="B1344" s="3">
        <v>45108</v>
      </c>
      <c r="C1344" t="s">
        <v>2018</v>
      </c>
      <c r="D1344" t="s">
        <v>2026</v>
      </c>
      <c r="E1344" s="8">
        <v>2050</v>
      </c>
      <c r="F1344">
        <v>10</v>
      </c>
      <c r="G1344">
        <v>15</v>
      </c>
      <c r="H1344" s="8">
        <v>17425</v>
      </c>
      <c r="I1344">
        <v>1603.49</v>
      </c>
      <c r="J1344">
        <v>1390.1</v>
      </c>
      <c r="K1344" s="5">
        <f>IF(SalesData[[#This Row],[Total Revenue]]=0,0,SalesData[[#This Row],[Profit]]/SalesData[[#This Row],[Total Revenue]])</f>
        <v>7.9776183644189383E-2</v>
      </c>
      <c r="L1344" s="5" t="str">
        <f>TEXT(SalesData[[#This Row],[Date]],"mmm")</f>
        <v>Jul</v>
      </c>
      <c r="M1344">
        <f>YEAR(SalesData[[#This Row],[Date]])</f>
        <v>2023</v>
      </c>
      <c r="N1344">
        <f>WEEKNUM(SalesData[[#This Row],[Date]])</f>
        <v>26</v>
      </c>
      <c r="O1344" t="s">
        <v>2184</v>
      </c>
      <c r="P1344" t="s">
        <v>2522</v>
      </c>
      <c r="Q1344" t="s">
        <v>2525</v>
      </c>
    </row>
    <row r="1345" spans="1:17" x14ac:dyDescent="0.35">
      <c r="A1345" t="s">
        <v>72</v>
      </c>
      <c r="B1345" s="3">
        <v>44986</v>
      </c>
      <c r="C1345" t="s">
        <v>2017</v>
      </c>
      <c r="D1345" t="s">
        <v>2026</v>
      </c>
      <c r="E1345" s="8">
        <v>2490</v>
      </c>
      <c r="F1345">
        <v>7</v>
      </c>
      <c r="G1345">
        <v>0</v>
      </c>
      <c r="H1345" s="8">
        <v>17430</v>
      </c>
      <c r="I1345">
        <v>1578.83</v>
      </c>
      <c r="J1345">
        <v>6378.22</v>
      </c>
      <c r="K1345" s="5">
        <f>IF(SalesData[[#This Row],[Total Revenue]]=0,0,SalesData[[#This Row],[Profit]]/SalesData[[#This Row],[Total Revenue]])</f>
        <v>0.36593344807802641</v>
      </c>
      <c r="L1345" s="5" t="str">
        <f>TEXT(SalesData[[#This Row],[Date]],"mmm")</f>
        <v>Mar</v>
      </c>
      <c r="M1345">
        <f>YEAR(SalesData[[#This Row],[Date]])</f>
        <v>2023</v>
      </c>
      <c r="N1345">
        <f>WEEKNUM(SalesData[[#This Row],[Date]])</f>
        <v>9</v>
      </c>
      <c r="O1345" t="s">
        <v>2032</v>
      </c>
      <c r="P1345" t="s">
        <v>2522</v>
      </c>
      <c r="Q1345" t="s">
        <v>2526</v>
      </c>
    </row>
    <row r="1346" spans="1:17" x14ac:dyDescent="0.35">
      <c r="A1346" t="s">
        <v>1822</v>
      </c>
      <c r="B1346" s="3">
        <v>45205</v>
      </c>
      <c r="C1346" t="s">
        <v>2016</v>
      </c>
      <c r="D1346" t="s">
        <v>2025</v>
      </c>
      <c r="E1346" s="8">
        <v>2052</v>
      </c>
      <c r="F1346">
        <v>10</v>
      </c>
      <c r="G1346">
        <v>15</v>
      </c>
      <c r="H1346" s="8">
        <v>17442</v>
      </c>
      <c r="I1346">
        <v>1629.45</v>
      </c>
      <c r="J1346">
        <v>1147.52</v>
      </c>
      <c r="K1346" s="5">
        <f>IF(SalesData[[#This Row],[Total Revenue]]=0,0,SalesData[[#This Row],[Profit]]/SalesData[[#This Row],[Total Revenue]])</f>
        <v>6.5790620341703937E-2</v>
      </c>
      <c r="L1346" s="5" t="str">
        <f>TEXT(SalesData[[#This Row],[Date]],"mmm")</f>
        <v>Oct</v>
      </c>
      <c r="M1346">
        <f>YEAR(SalesData[[#This Row],[Date]])</f>
        <v>2023</v>
      </c>
      <c r="N1346">
        <f>WEEKNUM(SalesData[[#This Row],[Date]])</f>
        <v>40</v>
      </c>
      <c r="O1346" t="s">
        <v>2381</v>
      </c>
      <c r="P1346" t="s">
        <v>2522</v>
      </c>
      <c r="Q1346" t="s">
        <v>2524</v>
      </c>
    </row>
    <row r="1347" spans="1:17" x14ac:dyDescent="0.35">
      <c r="A1347" t="s">
        <v>854</v>
      </c>
      <c r="B1347" s="3">
        <v>45005</v>
      </c>
      <c r="C1347" t="s">
        <v>2017</v>
      </c>
      <c r="D1347" t="s">
        <v>2026</v>
      </c>
      <c r="E1347" s="8">
        <v>2567</v>
      </c>
      <c r="F1347">
        <v>8</v>
      </c>
      <c r="G1347">
        <v>15</v>
      </c>
      <c r="H1347" s="8">
        <v>17455.599999999999</v>
      </c>
      <c r="I1347">
        <v>1488.14</v>
      </c>
      <c r="J1347">
        <v>5550.48</v>
      </c>
      <c r="K1347" s="5">
        <f>IF(SalesData[[#This Row],[Total Revenue]]=0,0,SalesData[[#This Row],[Profit]]/SalesData[[#This Row],[Total Revenue]])</f>
        <v>0.31797703888723389</v>
      </c>
      <c r="L1347" s="5" t="str">
        <f>TEXT(SalesData[[#This Row],[Date]],"mmm")</f>
        <v>Mar</v>
      </c>
      <c r="M1347">
        <f>YEAR(SalesData[[#This Row],[Date]])</f>
        <v>2023</v>
      </c>
      <c r="N1347">
        <f>WEEKNUM(SalesData[[#This Row],[Date]])</f>
        <v>12</v>
      </c>
      <c r="O1347" t="s">
        <v>2422</v>
      </c>
      <c r="P1347" t="s">
        <v>2523</v>
      </c>
      <c r="Q1347" t="s">
        <v>2525</v>
      </c>
    </row>
    <row r="1348" spans="1:17" x14ac:dyDescent="0.35">
      <c r="A1348" t="s">
        <v>1933</v>
      </c>
      <c r="B1348" s="3">
        <v>45027</v>
      </c>
      <c r="C1348" t="s">
        <v>2020</v>
      </c>
      <c r="D1348" t="s">
        <v>2028</v>
      </c>
      <c r="E1348" s="8">
        <v>3495</v>
      </c>
      <c r="F1348">
        <v>5</v>
      </c>
      <c r="G1348">
        <v>0</v>
      </c>
      <c r="H1348" s="8">
        <v>17475</v>
      </c>
      <c r="I1348">
        <v>2045.53</v>
      </c>
      <c r="J1348">
        <v>7247.35</v>
      </c>
      <c r="K1348" s="5">
        <f>IF(SalesData[[#This Row],[Total Revenue]]=0,0,SalesData[[#This Row],[Profit]]/SalesData[[#This Row],[Total Revenue]])</f>
        <v>0.41472675250357655</v>
      </c>
      <c r="L1348" s="5" t="str">
        <f>TEXT(SalesData[[#This Row],[Date]],"mmm")</f>
        <v>Apr</v>
      </c>
      <c r="M1348">
        <f>YEAR(SalesData[[#This Row],[Date]])</f>
        <v>2023</v>
      </c>
      <c r="N1348">
        <f>WEEKNUM(SalesData[[#This Row],[Date]])</f>
        <v>15</v>
      </c>
      <c r="O1348" t="s">
        <v>2475</v>
      </c>
      <c r="P1348" t="s">
        <v>2522</v>
      </c>
      <c r="Q1348" t="s">
        <v>2527</v>
      </c>
    </row>
    <row r="1349" spans="1:17" x14ac:dyDescent="0.35">
      <c r="A1349" t="s">
        <v>1166</v>
      </c>
      <c r="B1349" s="3">
        <v>44977</v>
      </c>
      <c r="C1349" t="s">
        <v>2020</v>
      </c>
      <c r="D1349" t="s">
        <v>2028</v>
      </c>
      <c r="E1349" s="8">
        <v>1753</v>
      </c>
      <c r="F1349">
        <v>10</v>
      </c>
      <c r="G1349">
        <v>0</v>
      </c>
      <c r="H1349" s="8">
        <v>17530</v>
      </c>
      <c r="I1349">
        <v>1189.6400000000001</v>
      </c>
      <c r="J1349">
        <v>5633.64</v>
      </c>
      <c r="K1349" s="5">
        <f>IF(SalesData[[#This Row],[Total Revenue]]=0,0,SalesData[[#This Row],[Profit]]/SalesData[[#This Row],[Total Revenue]])</f>
        <v>0.3213713633770679</v>
      </c>
      <c r="L1349" s="5" t="str">
        <f>TEXT(SalesData[[#This Row],[Date]],"mmm")</f>
        <v>Feb</v>
      </c>
      <c r="M1349">
        <f>YEAR(SalesData[[#This Row],[Date]])</f>
        <v>2023</v>
      </c>
      <c r="N1349">
        <f>WEEKNUM(SalesData[[#This Row],[Date]])</f>
        <v>8</v>
      </c>
      <c r="O1349" t="s">
        <v>2430</v>
      </c>
      <c r="P1349" t="s">
        <v>2522</v>
      </c>
      <c r="Q1349" t="s">
        <v>2527</v>
      </c>
    </row>
    <row r="1350" spans="1:17" x14ac:dyDescent="0.35">
      <c r="A1350" t="s">
        <v>93</v>
      </c>
      <c r="B1350" s="3">
        <v>45233</v>
      </c>
      <c r="C1350" t="s">
        <v>2015</v>
      </c>
      <c r="D1350" t="s">
        <v>2025</v>
      </c>
      <c r="E1350" s="8">
        <v>3694</v>
      </c>
      <c r="F1350">
        <v>5</v>
      </c>
      <c r="G1350">
        <v>5</v>
      </c>
      <c r="H1350" s="8">
        <v>17546.5</v>
      </c>
      <c r="I1350">
        <v>2116.91</v>
      </c>
      <c r="J1350">
        <v>6961.94</v>
      </c>
      <c r="K1350" s="5">
        <f>IF(SalesData[[#This Row],[Total Revenue]]=0,0,SalesData[[#This Row],[Profit]]/SalesData[[#This Row],[Total Revenue]])</f>
        <v>0.39677086598466926</v>
      </c>
      <c r="L1350" s="5" t="str">
        <f>TEXT(SalesData[[#This Row],[Date]],"mmm")</f>
        <v>Nov</v>
      </c>
      <c r="M1350">
        <f>YEAR(SalesData[[#This Row],[Date]])</f>
        <v>2023</v>
      </c>
      <c r="N1350">
        <f>WEEKNUM(SalesData[[#This Row],[Date]])</f>
        <v>44</v>
      </c>
      <c r="O1350" t="s">
        <v>2100</v>
      </c>
      <c r="P1350" t="s">
        <v>2522</v>
      </c>
      <c r="Q1350" t="s">
        <v>2524</v>
      </c>
    </row>
    <row r="1351" spans="1:17" x14ac:dyDescent="0.35">
      <c r="A1351" t="s">
        <v>755</v>
      </c>
      <c r="B1351" s="3">
        <v>45204</v>
      </c>
      <c r="C1351" t="s">
        <v>2014</v>
      </c>
      <c r="D1351" t="s">
        <v>2024</v>
      </c>
      <c r="E1351" s="8">
        <v>3252</v>
      </c>
      <c r="F1351">
        <v>6</v>
      </c>
      <c r="G1351">
        <v>10</v>
      </c>
      <c r="H1351" s="8">
        <v>17560.8</v>
      </c>
      <c r="I1351">
        <v>2188.89</v>
      </c>
      <c r="J1351">
        <v>4427.4799999999996</v>
      </c>
      <c r="K1351" s="5">
        <f>IF(SalesData[[#This Row],[Total Revenue]]=0,0,SalesData[[#This Row],[Profit]]/SalesData[[#This Row],[Total Revenue]])</f>
        <v>0.25212291011799004</v>
      </c>
      <c r="L1351" s="5" t="str">
        <f>TEXT(SalesData[[#This Row],[Date]],"mmm")</f>
        <v>Oct</v>
      </c>
      <c r="M1351">
        <f>YEAR(SalesData[[#This Row],[Date]])</f>
        <v>2023</v>
      </c>
      <c r="N1351">
        <f>WEEKNUM(SalesData[[#This Row],[Date]])</f>
        <v>40</v>
      </c>
      <c r="O1351" t="s">
        <v>2413</v>
      </c>
      <c r="P1351" t="s">
        <v>2522</v>
      </c>
      <c r="Q1351" t="s">
        <v>2525</v>
      </c>
    </row>
    <row r="1352" spans="1:17" x14ac:dyDescent="0.35">
      <c r="A1352" t="s">
        <v>813</v>
      </c>
      <c r="B1352" s="3">
        <v>45286</v>
      </c>
      <c r="C1352" t="s">
        <v>2014</v>
      </c>
      <c r="D1352" t="s">
        <v>2024</v>
      </c>
      <c r="E1352" s="8">
        <v>1952</v>
      </c>
      <c r="F1352">
        <v>9</v>
      </c>
      <c r="G1352">
        <v>0</v>
      </c>
      <c r="H1352" s="8">
        <v>17568</v>
      </c>
      <c r="I1352">
        <v>1051.0999999999999</v>
      </c>
      <c r="J1352">
        <v>8108.12</v>
      </c>
      <c r="K1352" s="5">
        <f>IF(SalesData[[#This Row],[Total Revenue]]=0,0,SalesData[[#This Row],[Profit]]/SalesData[[#This Row],[Total Revenue]])</f>
        <v>0.46152777777777776</v>
      </c>
      <c r="L1352" s="5" t="str">
        <f>TEXT(SalesData[[#This Row],[Date]],"mmm")</f>
        <v>Dec</v>
      </c>
      <c r="M1352">
        <f>YEAR(SalesData[[#This Row],[Date]])</f>
        <v>2023</v>
      </c>
      <c r="N1352">
        <f>WEEKNUM(SalesData[[#This Row],[Date]])</f>
        <v>52</v>
      </c>
      <c r="O1352" t="s">
        <v>2281</v>
      </c>
      <c r="P1352" t="s">
        <v>2522</v>
      </c>
      <c r="Q1352" t="s">
        <v>2524</v>
      </c>
    </row>
    <row r="1353" spans="1:17" x14ac:dyDescent="0.35">
      <c r="A1353" t="s">
        <v>79</v>
      </c>
      <c r="B1353" s="3">
        <v>45029</v>
      </c>
      <c r="C1353" t="s">
        <v>2021</v>
      </c>
      <c r="D1353" t="s">
        <v>2028</v>
      </c>
      <c r="E1353" s="8">
        <v>4880</v>
      </c>
      <c r="F1353">
        <v>4</v>
      </c>
      <c r="G1353">
        <v>10</v>
      </c>
      <c r="H1353" s="8">
        <v>17568</v>
      </c>
      <c r="I1353">
        <v>2478.27</v>
      </c>
      <c r="J1353">
        <v>7654.92</v>
      </c>
      <c r="K1353" s="5">
        <f>IF(SalesData[[#This Row],[Total Revenue]]=0,0,SalesData[[#This Row],[Profit]]/SalesData[[#This Row],[Total Revenue]])</f>
        <v>0.43573087431693991</v>
      </c>
      <c r="L1353" s="5" t="str">
        <f>TEXT(SalesData[[#This Row],[Date]],"mmm")</f>
        <v>Apr</v>
      </c>
      <c r="M1353">
        <f>YEAR(SalesData[[#This Row],[Date]])</f>
        <v>2023</v>
      </c>
      <c r="N1353">
        <f>WEEKNUM(SalesData[[#This Row],[Date]])</f>
        <v>15</v>
      </c>
      <c r="O1353" t="s">
        <v>2087</v>
      </c>
      <c r="P1353" t="s">
        <v>2523</v>
      </c>
      <c r="Q1353" t="s">
        <v>2525</v>
      </c>
    </row>
    <row r="1354" spans="1:17" x14ac:dyDescent="0.35">
      <c r="A1354" t="s">
        <v>261</v>
      </c>
      <c r="B1354" s="3">
        <v>44978</v>
      </c>
      <c r="C1354" t="s">
        <v>2017</v>
      </c>
      <c r="D1354" t="s">
        <v>2026</v>
      </c>
      <c r="E1354" s="8">
        <v>2056</v>
      </c>
      <c r="F1354">
        <v>9</v>
      </c>
      <c r="G1354">
        <v>5</v>
      </c>
      <c r="H1354" s="8">
        <v>17578.8</v>
      </c>
      <c r="I1354">
        <v>1317.45</v>
      </c>
      <c r="J1354">
        <v>5721.76</v>
      </c>
      <c r="K1354" s="5">
        <f>IF(SalesData[[#This Row],[Total Revenue]]=0,0,SalesData[[#This Row],[Profit]]/SalesData[[#This Row],[Total Revenue]])</f>
        <v>0.32549206999340119</v>
      </c>
      <c r="L1354" s="5" t="str">
        <f>TEXT(SalesData[[#This Row],[Date]],"mmm")</f>
        <v>Feb</v>
      </c>
      <c r="M1354">
        <f>YEAR(SalesData[[#This Row],[Date]])</f>
        <v>2023</v>
      </c>
      <c r="N1354">
        <f>WEEKNUM(SalesData[[#This Row],[Date]])</f>
        <v>8</v>
      </c>
      <c r="O1354" t="s">
        <v>2225</v>
      </c>
      <c r="P1354" t="s">
        <v>2523</v>
      </c>
      <c r="Q1354" t="s">
        <v>2524</v>
      </c>
    </row>
    <row r="1355" spans="1:17" x14ac:dyDescent="0.35">
      <c r="A1355" t="s">
        <v>99</v>
      </c>
      <c r="B1355" s="3">
        <v>45094</v>
      </c>
      <c r="C1355" t="s">
        <v>2014</v>
      </c>
      <c r="D1355" t="s">
        <v>2024</v>
      </c>
      <c r="E1355" s="8">
        <v>4407</v>
      </c>
      <c r="F1355">
        <v>4</v>
      </c>
      <c r="G1355">
        <v>0</v>
      </c>
      <c r="H1355" s="8">
        <v>17628</v>
      </c>
      <c r="I1355">
        <v>3254.1</v>
      </c>
      <c r="J1355">
        <v>4611.6099999999997</v>
      </c>
      <c r="K1355" s="5">
        <f>IF(SalesData[[#This Row],[Total Revenue]]=0,0,SalesData[[#This Row],[Profit]]/SalesData[[#This Row],[Total Revenue]])</f>
        <v>0.26160710233719081</v>
      </c>
      <c r="L1355" s="5" t="str">
        <f>TEXT(SalesData[[#This Row],[Date]],"mmm")</f>
        <v>Jun</v>
      </c>
      <c r="M1355">
        <f>YEAR(SalesData[[#This Row],[Date]])</f>
        <v>2023</v>
      </c>
      <c r="N1355">
        <f>WEEKNUM(SalesData[[#This Row],[Date]])</f>
        <v>24</v>
      </c>
      <c r="O1355" t="s">
        <v>2106</v>
      </c>
      <c r="P1355" t="s">
        <v>2522</v>
      </c>
      <c r="Q1355" t="s">
        <v>2527</v>
      </c>
    </row>
    <row r="1356" spans="1:17" x14ac:dyDescent="0.35">
      <c r="A1356" t="s">
        <v>393</v>
      </c>
      <c r="B1356" s="3">
        <v>45147</v>
      </c>
      <c r="C1356" t="s">
        <v>2015</v>
      </c>
      <c r="D1356" t="s">
        <v>2025</v>
      </c>
      <c r="E1356" s="8">
        <v>2523</v>
      </c>
      <c r="F1356">
        <v>7</v>
      </c>
      <c r="G1356">
        <v>0</v>
      </c>
      <c r="H1356" s="8">
        <v>17661</v>
      </c>
      <c r="I1356">
        <v>1545.66</v>
      </c>
      <c r="J1356">
        <v>6841.38</v>
      </c>
      <c r="K1356" s="5">
        <f>IF(SalesData[[#This Row],[Total Revenue]]=0,0,SalesData[[#This Row],[Profit]]/SalesData[[#This Row],[Total Revenue]])</f>
        <v>0.38737217598097501</v>
      </c>
      <c r="L1356" s="5" t="str">
        <f>TEXT(SalesData[[#This Row],[Date]],"mmm")</f>
        <v>Aug</v>
      </c>
      <c r="M1356">
        <f>YEAR(SalesData[[#This Row],[Date]])</f>
        <v>2023</v>
      </c>
      <c r="N1356">
        <f>WEEKNUM(SalesData[[#This Row],[Date]])</f>
        <v>32</v>
      </c>
      <c r="O1356" t="s">
        <v>2163</v>
      </c>
      <c r="P1356" t="s">
        <v>2522</v>
      </c>
      <c r="Q1356" t="s">
        <v>2524</v>
      </c>
    </row>
    <row r="1357" spans="1:17" x14ac:dyDescent="0.35">
      <c r="A1357" t="s">
        <v>953</v>
      </c>
      <c r="B1357" s="3">
        <v>45216</v>
      </c>
      <c r="C1357" t="s">
        <v>2013</v>
      </c>
      <c r="D1357" t="s">
        <v>2023</v>
      </c>
      <c r="E1357" s="8">
        <v>1769</v>
      </c>
      <c r="F1357">
        <v>10</v>
      </c>
      <c r="G1357">
        <v>0</v>
      </c>
      <c r="H1357" s="8">
        <v>17690</v>
      </c>
      <c r="I1357">
        <v>1183.97</v>
      </c>
      <c r="J1357">
        <v>5850.34</v>
      </c>
      <c r="K1357" s="5">
        <f>IF(SalesData[[#This Row],[Total Revenue]]=0,0,SalesData[[#This Row],[Profit]]/SalesData[[#This Row],[Total Revenue]])</f>
        <v>0.3307145279819107</v>
      </c>
      <c r="L1357" s="5" t="str">
        <f>TEXT(SalesData[[#This Row],[Date]],"mmm")</f>
        <v>Oct</v>
      </c>
      <c r="M1357">
        <f>YEAR(SalesData[[#This Row],[Date]])</f>
        <v>2023</v>
      </c>
      <c r="N1357">
        <f>WEEKNUM(SalesData[[#This Row],[Date]])</f>
        <v>42</v>
      </c>
      <c r="O1357" t="s">
        <v>2348</v>
      </c>
      <c r="P1357" t="s">
        <v>2522</v>
      </c>
      <c r="Q1357" t="s">
        <v>2524</v>
      </c>
    </row>
    <row r="1358" spans="1:17" x14ac:dyDescent="0.35">
      <c r="A1358" t="s">
        <v>488</v>
      </c>
      <c r="B1358" s="3">
        <v>44935</v>
      </c>
      <c r="C1358" t="s">
        <v>2022</v>
      </c>
      <c r="D1358" t="s">
        <v>2024</v>
      </c>
      <c r="E1358" s="8">
        <v>3726</v>
      </c>
      <c r="F1358">
        <v>5</v>
      </c>
      <c r="G1358">
        <v>5</v>
      </c>
      <c r="H1358" s="8">
        <v>17698.5</v>
      </c>
      <c r="I1358">
        <v>2337.77</v>
      </c>
      <c r="J1358">
        <v>6009.67</v>
      </c>
      <c r="K1358" s="5">
        <f>IF(SalesData[[#This Row],[Total Revenue]]=0,0,SalesData[[#This Row],[Profit]]/SalesData[[#This Row],[Total Revenue]])</f>
        <v>0.33955815464587397</v>
      </c>
      <c r="L1358" s="5" t="str">
        <f>TEXT(SalesData[[#This Row],[Date]],"mmm")</f>
        <v>Jan</v>
      </c>
      <c r="M1358">
        <f>YEAR(SalesData[[#This Row],[Date]])</f>
        <v>2023</v>
      </c>
      <c r="N1358">
        <f>WEEKNUM(SalesData[[#This Row],[Date]])</f>
        <v>2</v>
      </c>
      <c r="O1358" t="s">
        <v>2331</v>
      </c>
      <c r="P1358" t="s">
        <v>2522</v>
      </c>
      <c r="Q1358" t="s">
        <v>2524</v>
      </c>
    </row>
    <row r="1359" spans="1:17" x14ac:dyDescent="0.35">
      <c r="A1359" t="s">
        <v>1639</v>
      </c>
      <c r="B1359" s="3">
        <v>45094</v>
      </c>
      <c r="C1359" t="s">
        <v>2020</v>
      </c>
      <c r="D1359" t="s">
        <v>2028</v>
      </c>
      <c r="E1359" s="8">
        <v>2604</v>
      </c>
      <c r="F1359">
        <v>8</v>
      </c>
      <c r="G1359">
        <v>15</v>
      </c>
      <c r="H1359" s="8">
        <v>17707.2</v>
      </c>
      <c r="I1359">
        <v>2002.96</v>
      </c>
      <c r="J1359">
        <v>1683.54</v>
      </c>
      <c r="K1359" s="5">
        <f>IF(SalesData[[#This Row],[Total Revenue]]=0,0,SalesData[[#This Row],[Profit]]/SalesData[[#This Row],[Total Revenue]])</f>
        <v>9.5076579018704255E-2</v>
      </c>
      <c r="L1359" s="5" t="str">
        <f>TEXT(SalesData[[#This Row],[Date]],"mmm")</f>
        <v>Jun</v>
      </c>
      <c r="M1359">
        <f>YEAR(SalesData[[#This Row],[Date]])</f>
        <v>2023</v>
      </c>
      <c r="N1359">
        <f>WEEKNUM(SalesData[[#This Row],[Date]])</f>
        <v>24</v>
      </c>
      <c r="O1359" t="s">
        <v>2086</v>
      </c>
      <c r="P1359" t="s">
        <v>2522</v>
      </c>
      <c r="Q1359" t="s">
        <v>2526</v>
      </c>
    </row>
    <row r="1360" spans="1:17" x14ac:dyDescent="0.35">
      <c r="A1360" t="s">
        <v>24</v>
      </c>
      <c r="B1360" s="3">
        <v>45247</v>
      </c>
      <c r="C1360" t="s">
        <v>2020</v>
      </c>
      <c r="D1360" t="s">
        <v>2028</v>
      </c>
      <c r="E1360" s="8">
        <v>4174</v>
      </c>
      <c r="F1360">
        <v>5</v>
      </c>
      <c r="G1360">
        <v>15</v>
      </c>
      <c r="H1360" s="8">
        <v>17739.5</v>
      </c>
      <c r="I1360">
        <v>3291.5</v>
      </c>
      <c r="J1360">
        <v>1281.98</v>
      </c>
      <c r="K1360" s="5">
        <f>IF(SalesData[[#This Row],[Total Revenue]]=0,0,SalesData[[#This Row],[Profit]]/SalesData[[#This Row],[Total Revenue]])</f>
        <v>7.2266974830181241E-2</v>
      </c>
      <c r="L1360" s="5" t="str">
        <f>TEXT(SalesData[[#This Row],[Date]],"mmm")</f>
        <v>Nov</v>
      </c>
      <c r="M1360">
        <f>YEAR(SalesData[[#This Row],[Date]])</f>
        <v>2023</v>
      </c>
      <c r="N1360">
        <f>WEEKNUM(SalesData[[#This Row],[Date]])</f>
        <v>46</v>
      </c>
      <c r="O1360" t="s">
        <v>2040</v>
      </c>
      <c r="P1360" t="s">
        <v>2523</v>
      </c>
      <c r="Q1360" t="s">
        <v>2527</v>
      </c>
    </row>
    <row r="1361" spans="1:17" x14ac:dyDescent="0.35">
      <c r="A1361" t="s">
        <v>1687</v>
      </c>
      <c r="B1361" s="3">
        <v>45122</v>
      </c>
      <c r="C1361" t="s">
        <v>2021</v>
      </c>
      <c r="D1361" t="s">
        <v>2028</v>
      </c>
      <c r="E1361" s="8">
        <v>3288</v>
      </c>
      <c r="F1361">
        <v>6</v>
      </c>
      <c r="G1361">
        <v>10</v>
      </c>
      <c r="H1361" s="8">
        <v>17755.2</v>
      </c>
      <c r="I1361">
        <v>2144.98</v>
      </c>
      <c r="J1361">
        <v>4885.34</v>
      </c>
      <c r="K1361" s="5">
        <f>IF(SalesData[[#This Row],[Total Revenue]]=0,0,SalesData[[#This Row],[Profit]]/SalesData[[#This Row],[Total Revenue]])</f>
        <v>0.27514981526538707</v>
      </c>
      <c r="L1361" s="5" t="str">
        <f>TEXT(SalesData[[#This Row],[Date]],"mmm")</f>
        <v>Jul</v>
      </c>
      <c r="M1361">
        <f>YEAR(SalesData[[#This Row],[Date]])</f>
        <v>2023</v>
      </c>
      <c r="N1361">
        <f>WEEKNUM(SalesData[[#This Row],[Date]])</f>
        <v>28</v>
      </c>
      <c r="O1361" t="s">
        <v>2459</v>
      </c>
      <c r="P1361" t="s">
        <v>2522</v>
      </c>
      <c r="Q1361" t="s">
        <v>2526</v>
      </c>
    </row>
    <row r="1362" spans="1:17" x14ac:dyDescent="0.35">
      <c r="A1362" t="s">
        <v>137</v>
      </c>
      <c r="B1362" s="3">
        <v>45223</v>
      </c>
      <c r="C1362" t="s">
        <v>2014</v>
      </c>
      <c r="D1362" t="s">
        <v>2024</v>
      </c>
      <c r="E1362" s="8">
        <v>2537</v>
      </c>
      <c r="F1362">
        <v>7</v>
      </c>
      <c r="G1362">
        <v>0</v>
      </c>
      <c r="H1362" s="8">
        <v>17759</v>
      </c>
      <c r="I1362">
        <v>1477.9</v>
      </c>
      <c r="J1362">
        <v>7413.69</v>
      </c>
      <c r="K1362" s="5">
        <f>IF(SalesData[[#This Row],[Total Revenue]]=0,0,SalesData[[#This Row],[Profit]]/SalesData[[#This Row],[Total Revenue]])</f>
        <v>0.41746100568725714</v>
      </c>
      <c r="L1362" s="5" t="str">
        <f>TEXT(SalesData[[#This Row],[Date]],"mmm")</f>
        <v>Oct</v>
      </c>
      <c r="M1362">
        <f>YEAR(SalesData[[#This Row],[Date]])</f>
        <v>2023</v>
      </c>
      <c r="N1362">
        <f>WEEKNUM(SalesData[[#This Row],[Date]])</f>
        <v>43</v>
      </c>
      <c r="O1362" t="s">
        <v>2140</v>
      </c>
      <c r="P1362" t="s">
        <v>2523</v>
      </c>
      <c r="Q1362" t="s">
        <v>2527</v>
      </c>
    </row>
    <row r="1363" spans="1:17" x14ac:dyDescent="0.35">
      <c r="A1363" t="s">
        <v>793</v>
      </c>
      <c r="B1363" s="3">
        <v>44963</v>
      </c>
      <c r="C1363" t="s">
        <v>2019</v>
      </c>
      <c r="D1363" t="s">
        <v>2027</v>
      </c>
      <c r="E1363" s="8">
        <v>2323</v>
      </c>
      <c r="F1363">
        <v>9</v>
      </c>
      <c r="G1363">
        <v>15</v>
      </c>
      <c r="H1363" s="8">
        <v>17770.95</v>
      </c>
      <c r="I1363">
        <v>1615.81</v>
      </c>
      <c r="J1363">
        <v>3228.65</v>
      </c>
      <c r="K1363" s="5">
        <f>IF(SalesData[[#This Row],[Total Revenue]]=0,0,SalesData[[#This Row],[Profit]]/SalesData[[#This Row],[Total Revenue]])</f>
        <v>0.18168133948944767</v>
      </c>
      <c r="L1363" s="5" t="str">
        <f>TEXT(SalesData[[#This Row],[Date]],"mmm")</f>
        <v>Feb</v>
      </c>
      <c r="M1363">
        <f>YEAR(SalesData[[#This Row],[Date]])</f>
        <v>2023</v>
      </c>
      <c r="N1363">
        <f>WEEKNUM(SalesData[[#This Row],[Date]])</f>
        <v>6</v>
      </c>
      <c r="O1363" t="s">
        <v>2045</v>
      </c>
      <c r="P1363" t="s">
        <v>2522</v>
      </c>
      <c r="Q1363" t="s">
        <v>2526</v>
      </c>
    </row>
    <row r="1364" spans="1:17" x14ac:dyDescent="0.35">
      <c r="A1364" t="s">
        <v>262</v>
      </c>
      <c r="B1364" s="3">
        <v>45019</v>
      </c>
      <c r="C1364" t="s">
        <v>2019</v>
      </c>
      <c r="D1364" t="s">
        <v>2027</v>
      </c>
      <c r="E1364" s="8">
        <v>2540</v>
      </c>
      <c r="F1364">
        <v>7</v>
      </c>
      <c r="G1364">
        <v>0</v>
      </c>
      <c r="H1364" s="8">
        <v>17780</v>
      </c>
      <c r="I1364">
        <v>1271.8900000000001</v>
      </c>
      <c r="J1364">
        <v>8876.75</v>
      </c>
      <c r="K1364" s="5">
        <f>IF(SalesData[[#This Row],[Total Revenue]]=0,0,SalesData[[#This Row],[Profit]]/SalesData[[#This Row],[Total Revenue]])</f>
        <v>0.49925478065241846</v>
      </c>
      <c r="L1364" s="5" t="str">
        <f>TEXT(SalesData[[#This Row],[Date]],"mmm")</f>
        <v>Apr</v>
      </c>
      <c r="M1364">
        <f>YEAR(SalesData[[#This Row],[Date]])</f>
        <v>2023</v>
      </c>
      <c r="N1364">
        <f>WEEKNUM(SalesData[[#This Row],[Date]])</f>
        <v>14</v>
      </c>
      <c r="O1364" t="s">
        <v>2226</v>
      </c>
      <c r="P1364" t="s">
        <v>2523</v>
      </c>
      <c r="Q1364" t="s">
        <v>2527</v>
      </c>
    </row>
    <row r="1365" spans="1:17" x14ac:dyDescent="0.35">
      <c r="A1365" t="s">
        <v>1807</v>
      </c>
      <c r="B1365" s="3">
        <v>45201</v>
      </c>
      <c r="C1365" t="s">
        <v>2020</v>
      </c>
      <c r="D1365" t="s">
        <v>2028</v>
      </c>
      <c r="E1365" s="8">
        <v>2197</v>
      </c>
      <c r="F1365">
        <v>9</v>
      </c>
      <c r="G1365">
        <v>10</v>
      </c>
      <c r="H1365" s="8">
        <v>17795.7</v>
      </c>
      <c r="I1365">
        <v>1592.92</v>
      </c>
      <c r="J1365">
        <v>3459.45</v>
      </c>
      <c r="K1365" s="5">
        <f>IF(SalesData[[#This Row],[Total Revenue]]=0,0,SalesData[[#This Row],[Profit]]/SalesData[[#This Row],[Total Revenue]])</f>
        <v>0.19439808493062929</v>
      </c>
      <c r="L1365" s="5" t="str">
        <f>TEXT(SalesData[[#This Row],[Date]],"mmm")</f>
        <v>Oct</v>
      </c>
      <c r="M1365">
        <f>YEAR(SalesData[[#This Row],[Date]])</f>
        <v>2023</v>
      </c>
      <c r="N1365">
        <f>WEEKNUM(SalesData[[#This Row],[Date]])</f>
        <v>40</v>
      </c>
      <c r="O1365" t="s">
        <v>2074</v>
      </c>
      <c r="P1365" t="s">
        <v>2522</v>
      </c>
      <c r="Q1365" t="s">
        <v>2527</v>
      </c>
    </row>
    <row r="1366" spans="1:17" x14ac:dyDescent="0.35">
      <c r="A1366" t="s">
        <v>1040</v>
      </c>
      <c r="B1366" s="3">
        <v>45029</v>
      </c>
      <c r="C1366" t="s">
        <v>2022</v>
      </c>
      <c r="D1366" t="s">
        <v>2024</v>
      </c>
      <c r="E1366" s="8">
        <v>2083</v>
      </c>
      <c r="F1366">
        <v>9</v>
      </c>
      <c r="G1366">
        <v>5</v>
      </c>
      <c r="H1366" s="8">
        <v>17809.650000000001</v>
      </c>
      <c r="I1366">
        <v>1294.96</v>
      </c>
      <c r="J1366">
        <v>6154.99</v>
      </c>
      <c r="K1366" s="5">
        <f>IF(SalesData[[#This Row],[Total Revenue]]=0,0,SalesData[[#This Row],[Profit]]/SalesData[[#This Row],[Total Revenue]])</f>
        <v>0.34559859402065729</v>
      </c>
      <c r="L1366" s="5" t="str">
        <f>TEXT(SalesData[[#This Row],[Date]],"mmm")</f>
        <v>Apr</v>
      </c>
      <c r="M1366">
        <f>YEAR(SalesData[[#This Row],[Date]])</f>
        <v>2023</v>
      </c>
      <c r="N1366">
        <f>WEEKNUM(SalesData[[#This Row],[Date]])</f>
        <v>15</v>
      </c>
      <c r="O1366" t="s">
        <v>2262</v>
      </c>
      <c r="P1366" t="s">
        <v>2523</v>
      </c>
      <c r="Q1366" t="s">
        <v>2525</v>
      </c>
    </row>
    <row r="1367" spans="1:17" x14ac:dyDescent="0.35">
      <c r="A1367" t="s">
        <v>1165</v>
      </c>
      <c r="B1367" s="3">
        <v>45184</v>
      </c>
      <c r="C1367" t="s">
        <v>2016</v>
      </c>
      <c r="D1367" t="s">
        <v>2025</v>
      </c>
      <c r="E1367" s="8">
        <v>1979</v>
      </c>
      <c r="F1367">
        <v>10</v>
      </c>
      <c r="G1367">
        <v>10</v>
      </c>
      <c r="H1367" s="8">
        <v>17811</v>
      </c>
      <c r="I1367">
        <v>1263.58</v>
      </c>
      <c r="J1367">
        <v>5175.2</v>
      </c>
      <c r="K1367" s="5">
        <f>IF(SalesData[[#This Row],[Total Revenue]]=0,0,SalesData[[#This Row],[Profit]]/SalesData[[#This Row],[Total Revenue]])</f>
        <v>0.29056201223962719</v>
      </c>
      <c r="L1367" s="5" t="str">
        <f>TEXT(SalesData[[#This Row],[Date]],"mmm")</f>
        <v>Sep</v>
      </c>
      <c r="M1367">
        <f>YEAR(SalesData[[#This Row],[Date]])</f>
        <v>2023</v>
      </c>
      <c r="N1367">
        <f>WEEKNUM(SalesData[[#This Row],[Date]])</f>
        <v>37</v>
      </c>
      <c r="O1367" t="s">
        <v>2359</v>
      </c>
      <c r="P1367" t="s">
        <v>2523</v>
      </c>
      <c r="Q1367" t="s">
        <v>2525</v>
      </c>
    </row>
    <row r="1368" spans="1:17" x14ac:dyDescent="0.35">
      <c r="A1368" t="s">
        <v>983</v>
      </c>
      <c r="B1368" s="3">
        <v>45035</v>
      </c>
      <c r="C1368" t="s">
        <v>2021</v>
      </c>
      <c r="D1368" t="s">
        <v>2028</v>
      </c>
      <c r="E1368" s="8">
        <v>4950</v>
      </c>
      <c r="F1368">
        <v>4</v>
      </c>
      <c r="G1368">
        <v>10</v>
      </c>
      <c r="H1368" s="8">
        <v>17820</v>
      </c>
      <c r="I1368">
        <v>3366.29</v>
      </c>
      <c r="J1368">
        <v>4354.84</v>
      </c>
      <c r="K1368" s="5">
        <f>IF(SalesData[[#This Row],[Total Revenue]]=0,0,SalesData[[#This Row],[Profit]]/SalesData[[#This Row],[Total Revenue]])</f>
        <v>0.24437934904601571</v>
      </c>
      <c r="L1368" s="5" t="str">
        <f>TEXT(SalesData[[#This Row],[Date]],"mmm")</f>
        <v>Apr</v>
      </c>
      <c r="M1368">
        <f>YEAR(SalesData[[#This Row],[Date]])</f>
        <v>2023</v>
      </c>
      <c r="N1368">
        <f>WEEKNUM(SalesData[[#This Row],[Date]])</f>
        <v>16</v>
      </c>
      <c r="O1368" t="s">
        <v>2452</v>
      </c>
      <c r="P1368" t="s">
        <v>2523</v>
      </c>
      <c r="Q1368" t="s">
        <v>2525</v>
      </c>
    </row>
    <row r="1369" spans="1:17" x14ac:dyDescent="0.35">
      <c r="A1369" t="s">
        <v>1744</v>
      </c>
      <c r="B1369" s="3">
        <v>45143</v>
      </c>
      <c r="C1369" t="s">
        <v>2015</v>
      </c>
      <c r="D1369" t="s">
        <v>2025</v>
      </c>
      <c r="E1369" s="8">
        <v>2680</v>
      </c>
      <c r="F1369">
        <v>7</v>
      </c>
      <c r="G1369">
        <v>5</v>
      </c>
      <c r="H1369" s="8">
        <v>17822</v>
      </c>
      <c r="I1369">
        <v>1882.3</v>
      </c>
      <c r="J1369">
        <v>4645.92</v>
      </c>
      <c r="K1369" s="5">
        <f>IF(SalesData[[#This Row],[Total Revenue]]=0,0,SalesData[[#This Row],[Profit]]/SalesData[[#This Row],[Total Revenue]])</f>
        <v>0.26068454718886769</v>
      </c>
      <c r="L1369" s="5" t="str">
        <f>TEXT(SalesData[[#This Row],[Date]],"mmm")</f>
        <v>Aug</v>
      </c>
      <c r="M1369">
        <f>YEAR(SalesData[[#This Row],[Date]])</f>
        <v>2023</v>
      </c>
      <c r="N1369">
        <f>WEEKNUM(SalesData[[#This Row],[Date]])</f>
        <v>31</v>
      </c>
      <c r="O1369" t="s">
        <v>2138</v>
      </c>
      <c r="P1369" t="s">
        <v>2522</v>
      </c>
      <c r="Q1369" t="s">
        <v>2524</v>
      </c>
    </row>
    <row r="1370" spans="1:17" x14ac:dyDescent="0.35">
      <c r="A1370" t="s">
        <v>1974</v>
      </c>
      <c r="B1370" s="3">
        <v>45098</v>
      </c>
      <c r="C1370" t="s">
        <v>2013</v>
      </c>
      <c r="D1370" t="s">
        <v>2023</v>
      </c>
      <c r="E1370" s="8">
        <v>4200</v>
      </c>
      <c r="F1370">
        <v>5</v>
      </c>
      <c r="G1370">
        <v>15</v>
      </c>
      <c r="H1370" s="8">
        <v>17850</v>
      </c>
      <c r="I1370">
        <v>2187.56</v>
      </c>
      <c r="J1370">
        <v>6912.2</v>
      </c>
      <c r="K1370" s="5">
        <f>IF(SalesData[[#This Row],[Total Revenue]]=0,0,SalesData[[#This Row],[Profit]]/SalesData[[#This Row],[Total Revenue]])</f>
        <v>0.38723809523809521</v>
      </c>
      <c r="L1370" s="5" t="str">
        <f>TEXT(SalesData[[#This Row],[Date]],"mmm")</f>
        <v>Jun</v>
      </c>
      <c r="M1370">
        <f>YEAR(SalesData[[#This Row],[Date]])</f>
        <v>2023</v>
      </c>
      <c r="N1370">
        <f>WEEKNUM(SalesData[[#This Row],[Date]])</f>
        <v>25</v>
      </c>
      <c r="O1370" t="s">
        <v>2482</v>
      </c>
      <c r="P1370" t="s">
        <v>2523</v>
      </c>
      <c r="Q1370" t="s">
        <v>2526</v>
      </c>
    </row>
    <row r="1371" spans="1:17" x14ac:dyDescent="0.35">
      <c r="A1371" t="s">
        <v>1704</v>
      </c>
      <c r="B1371" s="3">
        <v>45094</v>
      </c>
      <c r="C1371" t="s">
        <v>2013</v>
      </c>
      <c r="D1371" t="s">
        <v>2023</v>
      </c>
      <c r="E1371" s="8">
        <v>2551</v>
      </c>
      <c r="F1371">
        <v>7</v>
      </c>
      <c r="G1371">
        <v>0</v>
      </c>
      <c r="H1371" s="8">
        <v>17857</v>
      </c>
      <c r="I1371">
        <v>1586.96</v>
      </c>
      <c r="J1371">
        <v>6748.29</v>
      </c>
      <c r="K1371" s="5">
        <f>IF(SalesData[[#This Row],[Total Revenue]]=0,0,SalesData[[#This Row],[Profit]]/SalesData[[#This Row],[Total Revenue]])</f>
        <v>0.37790726325810609</v>
      </c>
      <c r="L1371" s="5" t="str">
        <f>TEXT(SalesData[[#This Row],[Date]],"mmm")</f>
        <v>Jun</v>
      </c>
      <c r="M1371">
        <f>YEAR(SalesData[[#This Row],[Date]])</f>
        <v>2023</v>
      </c>
      <c r="N1371">
        <f>WEEKNUM(SalesData[[#This Row],[Date]])</f>
        <v>24</v>
      </c>
      <c r="O1371" t="s">
        <v>2484</v>
      </c>
      <c r="P1371" t="s">
        <v>2523</v>
      </c>
      <c r="Q1371" t="s">
        <v>2526</v>
      </c>
    </row>
    <row r="1372" spans="1:17" x14ac:dyDescent="0.35">
      <c r="A1372" t="s">
        <v>827</v>
      </c>
      <c r="B1372" s="3">
        <v>45200</v>
      </c>
      <c r="C1372" t="s">
        <v>2015</v>
      </c>
      <c r="D1372" t="s">
        <v>2025</v>
      </c>
      <c r="E1372" s="8">
        <v>3578</v>
      </c>
      <c r="F1372">
        <v>5</v>
      </c>
      <c r="G1372">
        <v>0</v>
      </c>
      <c r="H1372" s="8">
        <v>17890</v>
      </c>
      <c r="I1372">
        <v>2161.2800000000002</v>
      </c>
      <c r="J1372">
        <v>7083.61</v>
      </c>
      <c r="K1372" s="5">
        <f>IF(SalesData[[#This Row],[Total Revenue]]=0,0,SalesData[[#This Row],[Profit]]/SalesData[[#This Row],[Total Revenue]])</f>
        <v>0.39595360536612628</v>
      </c>
      <c r="L1372" s="5" t="str">
        <f>TEXT(SalesData[[#This Row],[Date]],"mmm")</f>
        <v>Oct</v>
      </c>
      <c r="M1372">
        <f>YEAR(SalesData[[#This Row],[Date]])</f>
        <v>2023</v>
      </c>
      <c r="N1372">
        <f>WEEKNUM(SalesData[[#This Row],[Date]])</f>
        <v>40</v>
      </c>
      <c r="O1372" t="s">
        <v>2387</v>
      </c>
      <c r="P1372" t="s">
        <v>2522</v>
      </c>
      <c r="Q1372" t="s">
        <v>2525</v>
      </c>
    </row>
    <row r="1373" spans="1:17" x14ac:dyDescent="0.35">
      <c r="A1373" t="s">
        <v>525</v>
      </c>
      <c r="B1373" s="3">
        <v>45101</v>
      </c>
      <c r="C1373" t="s">
        <v>2018</v>
      </c>
      <c r="D1373" t="s">
        <v>2026</v>
      </c>
      <c r="E1373" s="8">
        <v>2210</v>
      </c>
      <c r="F1373">
        <v>9</v>
      </c>
      <c r="G1373">
        <v>10</v>
      </c>
      <c r="H1373" s="8">
        <v>17901</v>
      </c>
      <c r="I1373">
        <v>1656.12</v>
      </c>
      <c r="J1373">
        <v>2995.96</v>
      </c>
      <c r="K1373" s="5">
        <f>IF(SalesData[[#This Row],[Total Revenue]]=0,0,SalesData[[#This Row],[Profit]]/SalesData[[#This Row],[Total Revenue]])</f>
        <v>0.16736271716663872</v>
      </c>
      <c r="L1373" s="5" t="str">
        <f>TEXT(SalesData[[#This Row],[Date]],"mmm")</f>
        <v>Jun</v>
      </c>
      <c r="M1373">
        <f>YEAR(SalesData[[#This Row],[Date]])</f>
        <v>2023</v>
      </c>
      <c r="N1373">
        <f>WEEKNUM(SalesData[[#This Row],[Date]])</f>
        <v>25</v>
      </c>
      <c r="O1373" t="s">
        <v>2345</v>
      </c>
      <c r="P1373" t="s">
        <v>2522</v>
      </c>
      <c r="Q1373" t="s">
        <v>2526</v>
      </c>
    </row>
    <row r="1374" spans="1:17" x14ac:dyDescent="0.35">
      <c r="A1374" t="s">
        <v>1116</v>
      </c>
      <c r="B1374" s="3">
        <v>45237</v>
      </c>
      <c r="C1374" t="s">
        <v>2020</v>
      </c>
      <c r="D1374" t="s">
        <v>2028</v>
      </c>
      <c r="E1374" s="8">
        <v>3996</v>
      </c>
      <c r="F1374">
        <v>5</v>
      </c>
      <c r="G1374">
        <v>10</v>
      </c>
      <c r="H1374" s="8">
        <v>17982</v>
      </c>
      <c r="I1374">
        <v>2511.02</v>
      </c>
      <c r="J1374">
        <v>5426.92</v>
      </c>
      <c r="K1374" s="5">
        <f>IF(SalesData[[#This Row],[Total Revenue]]=0,0,SalesData[[#This Row],[Profit]]/SalesData[[#This Row],[Total Revenue]])</f>
        <v>0.30179735290846404</v>
      </c>
      <c r="L1374" s="5" t="str">
        <f>TEXT(SalesData[[#This Row],[Date]],"mmm")</f>
        <v>Nov</v>
      </c>
      <c r="M1374">
        <f>YEAR(SalesData[[#This Row],[Date]])</f>
        <v>2023</v>
      </c>
      <c r="N1374">
        <f>WEEKNUM(SalesData[[#This Row],[Date]])</f>
        <v>45</v>
      </c>
      <c r="O1374" t="s">
        <v>2212</v>
      </c>
      <c r="P1374" t="s">
        <v>2523</v>
      </c>
      <c r="Q1374" t="s">
        <v>2527</v>
      </c>
    </row>
    <row r="1375" spans="1:17" x14ac:dyDescent="0.35">
      <c r="A1375" t="s">
        <v>551</v>
      </c>
      <c r="B1375" s="3">
        <v>45072</v>
      </c>
      <c r="C1375" t="s">
        <v>2016</v>
      </c>
      <c r="D1375" t="s">
        <v>2025</v>
      </c>
      <c r="E1375" s="8">
        <v>4501</v>
      </c>
      <c r="F1375">
        <v>4</v>
      </c>
      <c r="G1375">
        <v>0</v>
      </c>
      <c r="H1375" s="8">
        <v>18004</v>
      </c>
      <c r="I1375">
        <v>2475.79</v>
      </c>
      <c r="J1375">
        <v>8100.86</v>
      </c>
      <c r="K1375" s="5">
        <f>IF(SalesData[[#This Row],[Total Revenue]]=0,0,SalesData[[#This Row],[Profit]]/SalesData[[#This Row],[Total Revenue]])</f>
        <v>0.44994778938013774</v>
      </c>
      <c r="L1375" s="5" t="str">
        <f>TEXT(SalesData[[#This Row],[Date]],"mmm")</f>
        <v>May</v>
      </c>
      <c r="M1375">
        <f>YEAR(SalesData[[#This Row],[Date]])</f>
        <v>2023</v>
      </c>
      <c r="N1375">
        <f>WEEKNUM(SalesData[[#This Row],[Date]])</f>
        <v>21</v>
      </c>
      <c r="O1375" t="s">
        <v>2032</v>
      </c>
      <c r="P1375" t="s">
        <v>2523</v>
      </c>
      <c r="Q1375" t="s">
        <v>2526</v>
      </c>
    </row>
    <row r="1376" spans="1:17" x14ac:dyDescent="0.35">
      <c r="A1376" t="s">
        <v>1463</v>
      </c>
      <c r="B1376" s="3">
        <v>45097</v>
      </c>
      <c r="C1376" t="s">
        <v>2013</v>
      </c>
      <c r="D1376" t="s">
        <v>2023</v>
      </c>
      <c r="E1376" s="8">
        <v>2224</v>
      </c>
      <c r="F1376">
        <v>9</v>
      </c>
      <c r="G1376">
        <v>10</v>
      </c>
      <c r="H1376" s="8">
        <v>18014.400000000001</v>
      </c>
      <c r="I1376">
        <v>1409.45</v>
      </c>
      <c r="J1376">
        <v>5329.35</v>
      </c>
      <c r="K1376" s="5">
        <f>IF(SalesData[[#This Row],[Total Revenue]]=0,0,SalesData[[#This Row],[Profit]]/SalesData[[#This Row],[Total Revenue]])</f>
        <v>0.29583832933653076</v>
      </c>
      <c r="L1376" s="5" t="str">
        <f>TEXT(SalesData[[#This Row],[Date]],"mmm")</f>
        <v>Jun</v>
      </c>
      <c r="M1376">
        <f>YEAR(SalesData[[#This Row],[Date]])</f>
        <v>2023</v>
      </c>
      <c r="N1376">
        <f>WEEKNUM(SalesData[[#This Row],[Date]])</f>
        <v>25</v>
      </c>
      <c r="O1376" t="s">
        <v>2433</v>
      </c>
      <c r="P1376" t="s">
        <v>2522</v>
      </c>
      <c r="Q1376" t="s">
        <v>2526</v>
      </c>
    </row>
    <row r="1377" spans="1:17" x14ac:dyDescent="0.35">
      <c r="A1377" t="s">
        <v>359</v>
      </c>
      <c r="B1377" s="3">
        <v>45139</v>
      </c>
      <c r="C1377" t="s">
        <v>2015</v>
      </c>
      <c r="D1377" t="s">
        <v>2025</v>
      </c>
      <c r="E1377" s="8">
        <v>3162</v>
      </c>
      <c r="F1377">
        <v>6</v>
      </c>
      <c r="G1377">
        <v>5</v>
      </c>
      <c r="H1377" s="8">
        <v>18023.400000000001</v>
      </c>
      <c r="I1377">
        <v>1607.92</v>
      </c>
      <c r="J1377">
        <v>8375.89</v>
      </c>
      <c r="K1377" s="5">
        <f>IF(SalesData[[#This Row],[Total Revenue]]=0,0,SalesData[[#This Row],[Profit]]/SalesData[[#This Row],[Total Revenue]])</f>
        <v>0.4647230822153422</v>
      </c>
      <c r="L1377" s="5" t="str">
        <f>TEXT(SalesData[[#This Row],[Date]],"mmm")</f>
        <v>Aug</v>
      </c>
      <c r="M1377">
        <f>YEAR(SalesData[[#This Row],[Date]])</f>
        <v>2023</v>
      </c>
      <c r="N1377">
        <f>WEEKNUM(SalesData[[#This Row],[Date]])</f>
        <v>31</v>
      </c>
      <c r="O1377" t="s">
        <v>2228</v>
      </c>
      <c r="P1377" t="s">
        <v>2522</v>
      </c>
      <c r="Q1377" t="s">
        <v>2524</v>
      </c>
    </row>
    <row r="1378" spans="1:17" x14ac:dyDescent="0.35">
      <c r="A1378" t="s">
        <v>120</v>
      </c>
      <c r="B1378" s="3">
        <v>45207</v>
      </c>
      <c r="C1378" t="s">
        <v>2015</v>
      </c>
      <c r="D1378" t="s">
        <v>2025</v>
      </c>
      <c r="E1378" s="8">
        <v>3338</v>
      </c>
      <c r="F1378">
        <v>6</v>
      </c>
      <c r="G1378">
        <v>10</v>
      </c>
      <c r="H1378" s="8">
        <v>18025.2</v>
      </c>
      <c r="I1378">
        <v>1857.16</v>
      </c>
      <c r="J1378">
        <v>6882.23</v>
      </c>
      <c r="K1378" s="5">
        <f>IF(SalesData[[#This Row],[Total Revenue]]=0,0,SalesData[[#This Row],[Profit]]/SalesData[[#This Row],[Total Revenue]])</f>
        <v>0.38181157490624235</v>
      </c>
      <c r="L1378" s="5" t="str">
        <f>TEXT(SalesData[[#This Row],[Date]],"mmm")</f>
        <v>Oct</v>
      </c>
      <c r="M1378">
        <f>YEAR(SalesData[[#This Row],[Date]])</f>
        <v>2023</v>
      </c>
      <c r="N1378">
        <f>WEEKNUM(SalesData[[#This Row],[Date]])</f>
        <v>41</v>
      </c>
      <c r="O1378" t="s">
        <v>2125</v>
      </c>
      <c r="P1378" t="s">
        <v>2523</v>
      </c>
      <c r="Q1378" t="s">
        <v>2524</v>
      </c>
    </row>
    <row r="1379" spans="1:17" x14ac:dyDescent="0.35">
      <c r="A1379" t="s">
        <v>1140</v>
      </c>
      <c r="B1379" s="3">
        <v>44998</v>
      </c>
      <c r="C1379" t="s">
        <v>2017</v>
      </c>
      <c r="D1379" t="s">
        <v>2026</v>
      </c>
      <c r="E1379" s="8">
        <v>4247</v>
      </c>
      <c r="F1379">
        <v>5</v>
      </c>
      <c r="G1379">
        <v>15</v>
      </c>
      <c r="H1379" s="8">
        <v>18049.75</v>
      </c>
      <c r="I1379">
        <v>2216.0700000000002</v>
      </c>
      <c r="J1379">
        <v>6969.4</v>
      </c>
      <c r="K1379" s="5">
        <f>IF(SalesData[[#This Row],[Total Revenue]]=0,0,SalesData[[#This Row],[Profit]]/SalesData[[#This Row],[Total Revenue]])</f>
        <v>0.38612169143616948</v>
      </c>
      <c r="L1379" s="5" t="str">
        <f>TEXT(SalesData[[#This Row],[Date]],"mmm")</f>
        <v>Mar</v>
      </c>
      <c r="M1379">
        <f>YEAR(SalesData[[#This Row],[Date]])</f>
        <v>2023</v>
      </c>
      <c r="N1379">
        <f>WEEKNUM(SalesData[[#This Row],[Date]])</f>
        <v>11</v>
      </c>
      <c r="O1379" t="s">
        <v>2081</v>
      </c>
      <c r="P1379" t="s">
        <v>2523</v>
      </c>
      <c r="Q1379" t="s">
        <v>2527</v>
      </c>
    </row>
    <row r="1380" spans="1:17" x14ac:dyDescent="0.35">
      <c r="A1380" t="s">
        <v>1333</v>
      </c>
      <c r="B1380" s="3">
        <v>45030</v>
      </c>
      <c r="C1380" t="s">
        <v>2022</v>
      </c>
      <c r="D1380" t="s">
        <v>2024</v>
      </c>
      <c r="E1380" s="8">
        <v>3169</v>
      </c>
      <c r="F1380">
        <v>6</v>
      </c>
      <c r="G1380">
        <v>5</v>
      </c>
      <c r="H1380" s="8">
        <v>18063.3</v>
      </c>
      <c r="I1380">
        <v>1901.6</v>
      </c>
      <c r="J1380">
        <v>6653.68</v>
      </c>
      <c r="K1380" s="5">
        <f>IF(SalesData[[#This Row],[Total Revenue]]=0,0,SalesData[[#This Row],[Profit]]/SalesData[[#This Row],[Total Revenue]])</f>
        <v>0.36835351237038638</v>
      </c>
      <c r="L1380" s="5" t="str">
        <f>TEXT(SalesData[[#This Row],[Date]],"mmm")</f>
        <v>Apr</v>
      </c>
      <c r="M1380">
        <f>YEAR(SalesData[[#This Row],[Date]])</f>
        <v>2023</v>
      </c>
      <c r="N1380">
        <f>WEEKNUM(SalesData[[#This Row],[Date]])</f>
        <v>15</v>
      </c>
      <c r="O1380" t="s">
        <v>2126</v>
      </c>
      <c r="P1380" t="s">
        <v>2523</v>
      </c>
      <c r="Q1380" t="s">
        <v>2526</v>
      </c>
    </row>
    <row r="1381" spans="1:17" x14ac:dyDescent="0.35">
      <c r="A1381" t="s">
        <v>1969</v>
      </c>
      <c r="B1381" s="3">
        <v>44960</v>
      </c>
      <c r="C1381" t="s">
        <v>2017</v>
      </c>
      <c r="D1381" t="s">
        <v>2026</v>
      </c>
      <c r="E1381" s="8">
        <v>2365</v>
      </c>
      <c r="F1381">
        <v>9</v>
      </c>
      <c r="G1381">
        <v>15</v>
      </c>
      <c r="H1381" s="8">
        <v>18092.25</v>
      </c>
      <c r="I1381">
        <v>1677.93</v>
      </c>
      <c r="J1381">
        <v>2990.84</v>
      </c>
      <c r="K1381" s="5">
        <f>IF(SalesData[[#This Row],[Total Revenue]]=0,0,SalesData[[#This Row],[Profit]]/SalesData[[#This Row],[Total Revenue]])</f>
        <v>0.16531056115187442</v>
      </c>
      <c r="L1381" s="5" t="str">
        <f>TEXT(SalesData[[#This Row],[Date]],"mmm")</f>
        <v>Feb</v>
      </c>
      <c r="M1381">
        <f>YEAR(SalesData[[#This Row],[Date]])</f>
        <v>2023</v>
      </c>
      <c r="N1381">
        <f>WEEKNUM(SalesData[[#This Row],[Date]])</f>
        <v>5</v>
      </c>
      <c r="O1381" t="s">
        <v>2277</v>
      </c>
      <c r="P1381" t="s">
        <v>2523</v>
      </c>
      <c r="Q1381" t="s">
        <v>2526</v>
      </c>
    </row>
    <row r="1382" spans="1:17" x14ac:dyDescent="0.35">
      <c r="A1382" t="s">
        <v>573</v>
      </c>
      <c r="B1382" s="3">
        <v>45151</v>
      </c>
      <c r="C1382" t="s">
        <v>2018</v>
      </c>
      <c r="D1382" t="s">
        <v>2026</v>
      </c>
      <c r="E1382" s="8">
        <v>1906</v>
      </c>
      <c r="F1382">
        <v>10</v>
      </c>
      <c r="G1382">
        <v>5</v>
      </c>
      <c r="H1382" s="8">
        <v>18107</v>
      </c>
      <c r="I1382">
        <v>1268.32</v>
      </c>
      <c r="J1382">
        <v>5423.83</v>
      </c>
      <c r="K1382" s="5">
        <f>IF(SalesData[[#This Row],[Total Revenue]]=0,0,SalesData[[#This Row],[Profit]]/SalesData[[#This Row],[Total Revenue]])</f>
        <v>0.29954327055834762</v>
      </c>
      <c r="L1382" s="5" t="str">
        <f>TEXT(SalesData[[#This Row],[Date]],"mmm")</f>
        <v>Aug</v>
      </c>
      <c r="M1382">
        <f>YEAR(SalesData[[#This Row],[Date]])</f>
        <v>2023</v>
      </c>
      <c r="N1382">
        <f>WEEKNUM(SalesData[[#This Row],[Date]])</f>
        <v>33</v>
      </c>
      <c r="O1382" t="s">
        <v>2362</v>
      </c>
      <c r="P1382" t="s">
        <v>2522</v>
      </c>
      <c r="Q1382" t="s">
        <v>2527</v>
      </c>
    </row>
    <row r="1383" spans="1:17" x14ac:dyDescent="0.35">
      <c r="A1383" t="s">
        <v>656</v>
      </c>
      <c r="B1383" s="3">
        <v>45206</v>
      </c>
      <c r="C1383" t="s">
        <v>2022</v>
      </c>
      <c r="D1383" t="s">
        <v>2024</v>
      </c>
      <c r="E1383" s="8">
        <v>2876</v>
      </c>
      <c r="F1383">
        <v>7</v>
      </c>
      <c r="G1383">
        <v>10</v>
      </c>
      <c r="H1383" s="8">
        <v>18118.8</v>
      </c>
      <c r="I1383">
        <v>1517.94</v>
      </c>
      <c r="J1383">
        <v>7493.22</v>
      </c>
      <c r="K1383" s="5">
        <f>IF(SalesData[[#This Row],[Total Revenue]]=0,0,SalesData[[#This Row],[Profit]]/SalesData[[#This Row],[Total Revenue]])</f>
        <v>0.41356050069541034</v>
      </c>
      <c r="L1383" s="5" t="str">
        <f>TEXT(SalesData[[#This Row],[Date]],"mmm")</f>
        <v>Oct</v>
      </c>
      <c r="M1383">
        <f>YEAR(SalesData[[#This Row],[Date]])</f>
        <v>2023</v>
      </c>
      <c r="N1383">
        <f>WEEKNUM(SalesData[[#This Row],[Date]])</f>
        <v>40</v>
      </c>
      <c r="O1383" t="s">
        <v>2383</v>
      </c>
      <c r="P1383" t="s">
        <v>2522</v>
      </c>
      <c r="Q1383" t="s">
        <v>2524</v>
      </c>
    </row>
    <row r="1384" spans="1:17" x14ac:dyDescent="0.35">
      <c r="A1384" t="s">
        <v>445</v>
      </c>
      <c r="B1384" s="3">
        <v>45172</v>
      </c>
      <c r="C1384" t="s">
        <v>2016</v>
      </c>
      <c r="D1384" t="s">
        <v>2025</v>
      </c>
      <c r="E1384" s="8">
        <v>4031</v>
      </c>
      <c r="F1384">
        <v>5</v>
      </c>
      <c r="G1384">
        <v>10</v>
      </c>
      <c r="H1384" s="8">
        <v>18139.5</v>
      </c>
      <c r="I1384">
        <v>2121.91</v>
      </c>
      <c r="J1384">
        <v>7529.94</v>
      </c>
      <c r="K1384" s="5">
        <f>IF(SalesData[[#This Row],[Total Revenue]]=0,0,SalesData[[#This Row],[Profit]]/SalesData[[#This Row],[Total Revenue]])</f>
        <v>0.41511287521706769</v>
      </c>
      <c r="L1384" s="5" t="str">
        <f>TEXT(SalesData[[#This Row],[Date]],"mmm")</f>
        <v>Sep</v>
      </c>
      <c r="M1384">
        <f>YEAR(SalesData[[#This Row],[Date]])</f>
        <v>2023</v>
      </c>
      <c r="N1384">
        <f>WEEKNUM(SalesData[[#This Row],[Date]])</f>
        <v>36</v>
      </c>
      <c r="O1384" t="s">
        <v>2203</v>
      </c>
      <c r="P1384" t="s">
        <v>2523</v>
      </c>
      <c r="Q1384" t="s">
        <v>2526</v>
      </c>
    </row>
    <row r="1385" spans="1:17" x14ac:dyDescent="0.35">
      <c r="A1385" t="s">
        <v>1775</v>
      </c>
      <c r="B1385" s="3">
        <v>45124</v>
      </c>
      <c r="C1385" t="s">
        <v>2013</v>
      </c>
      <c r="D1385" t="s">
        <v>2023</v>
      </c>
      <c r="E1385" s="8">
        <v>3630</v>
      </c>
      <c r="F1385">
        <v>5</v>
      </c>
      <c r="G1385">
        <v>0</v>
      </c>
      <c r="H1385" s="8">
        <v>18150</v>
      </c>
      <c r="I1385">
        <v>1985.31</v>
      </c>
      <c r="J1385">
        <v>8223.43</v>
      </c>
      <c r="K1385" s="5">
        <f>IF(SalesData[[#This Row],[Total Revenue]]=0,0,SalesData[[#This Row],[Profit]]/SalesData[[#This Row],[Total Revenue]])</f>
        <v>0.45308154269972456</v>
      </c>
      <c r="L1385" s="5" t="str">
        <f>TEXT(SalesData[[#This Row],[Date]],"mmm")</f>
        <v>Jul</v>
      </c>
      <c r="M1385">
        <f>YEAR(SalesData[[#This Row],[Date]])</f>
        <v>2023</v>
      </c>
      <c r="N1385">
        <f>WEEKNUM(SalesData[[#This Row],[Date]])</f>
        <v>29</v>
      </c>
      <c r="O1385" t="s">
        <v>2049</v>
      </c>
      <c r="P1385" t="s">
        <v>2522</v>
      </c>
      <c r="Q1385" t="s">
        <v>2526</v>
      </c>
    </row>
    <row r="1386" spans="1:17" x14ac:dyDescent="0.35">
      <c r="A1386" t="s">
        <v>71</v>
      </c>
      <c r="B1386" s="3">
        <v>44943</v>
      </c>
      <c r="C1386" t="s">
        <v>2015</v>
      </c>
      <c r="D1386" t="s">
        <v>2025</v>
      </c>
      <c r="E1386" s="8">
        <v>3822</v>
      </c>
      <c r="F1386">
        <v>5</v>
      </c>
      <c r="G1386">
        <v>5</v>
      </c>
      <c r="H1386" s="8">
        <v>18154.5</v>
      </c>
      <c r="I1386">
        <v>2122.92</v>
      </c>
      <c r="J1386">
        <v>7539.89</v>
      </c>
      <c r="K1386" s="5">
        <f>IF(SalesData[[#This Row],[Total Revenue]]=0,0,SalesData[[#This Row],[Profit]]/SalesData[[#This Row],[Total Revenue]])</f>
        <v>0.41531796524277731</v>
      </c>
      <c r="L1386" s="5" t="str">
        <f>TEXT(SalesData[[#This Row],[Date]],"mmm")</f>
        <v>Jan</v>
      </c>
      <c r="M1386">
        <f>YEAR(SalesData[[#This Row],[Date]])</f>
        <v>2023</v>
      </c>
      <c r="N1386">
        <f>WEEKNUM(SalesData[[#This Row],[Date]])</f>
        <v>3</v>
      </c>
      <c r="O1386" t="s">
        <v>2081</v>
      </c>
      <c r="P1386" t="s">
        <v>2522</v>
      </c>
      <c r="Q1386" t="s">
        <v>2527</v>
      </c>
    </row>
    <row r="1387" spans="1:17" x14ac:dyDescent="0.35">
      <c r="A1387" t="s">
        <v>500</v>
      </c>
      <c r="B1387" s="3">
        <v>45095</v>
      </c>
      <c r="C1387" t="s">
        <v>2013</v>
      </c>
      <c r="D1387" t="s">
        <v>2023</v>
      </c>
      <c r="E1387" s="8">
        <v>2674</v>
      </c>
      <c r="F1387">
        <v>8</v>
      </c>
      <c r="G1387">
        <v>15</v>
      </c>
      <c r="H1387" s="8">
        <v>18183.2</v>
      </c>
      <c r="I1387">
        <v>2036.2</v>
      </c>
      <c r="J1387">
        <v>1893.63</v>
      </c>
      <c r="K1387" s="5">
        <f>IF(SalesData[[#This Row],[Total Revenue]]=0,0,SalesData[[#This Row],[Profit]]/SalesData[[#This Row],[Total Revenue]])</f>
        <v>0.10414173522812266</v>
      </c>
      <c r="L1387" s="5" t="str">
        <f>TEXT(SalesData[[#This Row],[Date]],"mmm")</f>
        <v>Jun</v>
      </c>
      <c r="M1387">
        <f>YEAR(SalesData[[#This Row],[Date]])</f>
        <v>2023</v>
      </c>
      <c r="N1387">
        <f>WEEKNUM(SalesData[[#This Row],[Date]])</f>
        <v>25</v>
      </c>
      <c r="O1387" t="s">
        <v>2061</v>
      </c>
      <c r="P1387" t="s">
        <v>2522</v>
      </c>
      <c r="Q1387" t="s">
        <v>2526</v>
      </c>
    </row>
    <row r="1388" spans="1:17" x14ac:dyDescent="0.35">
      <c r="A1388" t="s">
        <v>1079</v>
      </c>
      <c r="B1388" s="3">
        <v>45064</v>
      </c>
      <c r="C1388" t="s">
        <v>2017</v>
      </c>
      <c r="D1388" t="s">
        <v>2026</v>
      </c>
      <c r="E1388" s="8">
        <v>3208</v>
      </c>
      <c r="F1388">
        <v>6</v>
      </c>
      <c r="G1388">
        <v>5</v>
      </c>
      <c r="H1388" s="8">
        <v>18285.599999999999</v>
      </c>
      <c r="I1388">
        <v>2479.52</v>
      </c>
      <c r="J1388">
        <v>3408.5</v>
      </c>
      <c r="K1388" s="5">
        <f>IF(SalesData[[#This Row],[Total Revenue]]=0,0,SalesData[[#This Row],[Profit]]/SalesData[[#This Row],[Total Revenue]])</f>
        <v>0.18640350877192985</v>
      </c>
      <c r="L1388" s="5" t="str">
        <f>TEXT(SalesData[[#This Row],[Date]],"mmm")</f>
        <v>May</v>
      </c>
      <c r="M1388">
        <f>YEAR(SalesData[[#This Row],[Date]])</f>
        <v>2023</v>
      </c>
      <c r="N1388">
        <f>WEEKNUM(SalesData[[#This Row],[Date]])</f>
        <v>20</v>
      </c>
      <c r="O1388" t="s">
        <v>2047</v>
      </c>
      <c r="P1388" t="s">
        <v>2522</v>
      </c>
      <c r="Q1388" t="s">
        <v>2524</v>
      </c>
    </row>
    <row r="1389" spans="1:17" x14ac:dyDescent="0.35">
      <c r="A1389" t="s">
        <v>1305</v>
      </c>
      <c r="B1389" s="3">
        <v>45121</v>
      </c>
      <c r="C1389" t="s">
        <v>2022</v>
      </c>
      <c r="D1389" t="s">
        <v>2024</v>
      </c>
      <c r="E1389" s="8">
        <v>4064</v>
      </c>
      <c r="F1389">
        <v>5</v>
      </c>
      <c r="G1389">
        <v>10</v>
      </c>
      <c r="H1389" s="8">
        <v>18288</v>
      </c>
      <c r="I1389">
        <v>2124.0300000000002</v>
      </c>
      <c r="J1389">
        <v>7667.84</v>
      </c>
      <c r="K1389" s="5">
        <f>IF(SalesData[[#This Row],[Total Revenue]]=0,0,SalesData[[#This Row],[Profit]]/SalesData[[#This Row],[Total Revenue]])</f>
        <v>0.41928258967629045</v>
      </c>
      <c r="L1389" s="5" t="str">
        <f>TEXT(SalesData[[#This Row],[Date]],"mmm")</f>
        <v>Jul</v>
      </c>
      <c r="M1389">
        <f>YEAR(SalesData[[#This Row],[Date]])</f>
        <v>2023</v>
      </c>
      <c r="N1389">
        <f>WEEKNUM(SalesData[[#This Row],[Date]])</f>
        <v>28</v>
      </c>
      <c r="O1389" t="s">
        <v>2102</v>
      </c>
      <c r="P1389" t="s">
        <v>2522</v>
      </c>
      <c r="Q1389" t="s">
        <v>2526</v>
      </c>
    </row>
    <row r="1390" spans="1:17" x14ac:dyDescent="0.35">
      <c r="A1390" t="s">
        <v>950</v>
      </c>
      <c r="B1390" s="3">
        <v>45065</v>
      </c>
      <c r="C1390" t="s">
        <v>2013</v>
      </c>
      <c r="D1390" t="s">
        <v>2023</v>
      </c>
      <c r="E1390" s="8">
        <v>2694</v>
      </c>
      <c r="F1390">
        <v>8</v>
      </c>
      <c r="G1390">
        <v>15</v>
      </c>
      <c r="H1390" s="8">
        <v>18319.2</v>
      </c>
      <c r="I1390">
        <v>1487.56</v>
      </c>
      <c r="J1390">
        <v>6418.74</v>
      </c>
      <c r="K1390" s="5">
        <f>IF(SalesData[[#This Row],[Total Revenue]]=0,0,SalesData[[#This Row],[Profit]]/SalesData[[#This Row],[Total Revenue]])</f>
        <v>0.35038320450674698</v>
      </c>
      <c r="L1390" s="5" t="str">
        <f>TEXT(SalesData[[#This Row],[Date]],"mmm")</f>
        <v>May</v>
      </c>
      <c r="M1390">
        <f>YEAR(SalesData[[#This Row],[Date]])</f>
        <v>2023</v>
      </c>
      <c r="N1390">
        <f>WEEKNUM(SalesData[[#This Row],[Date]])</f>
        <v>20</v>
      </c>
      <c r="O1390" t="s">
        <v>2448</v>
      </c>
      <c r="P1390" t="s">
        <v>2523</v>
      </c>
      <c r="Q1390" t="s">
        <v>2524</v>
      </c>
    </row>
    <row r="1391" spans="1:17" x14ac:dyDescent="0.35">
      <c r="A1391" t="s">
        <v>89</v>
      </c>
      <c r="B1391" s="3">
        <v>44986</v>
      </c>
      <c r="C1391" t="s">
        <v>2018</v>
      </c>
      <c r="D1391" t="s">
        <v>2026</v>
      </c>
      <c r="E1391" s="8">
        <v>2553</v>
      </c>
      <c r="F1391">
        <v>8</v>
      </c>
      <c r="G1391">
        <v>10</v>
      </c>
      <c r="H1391" s="8">
        <v>18381.599999999999</v>
      </c>
      <c r="I1391">
        <v>1316.74</v>
      </c>
      <c r="J1391">
        <v>7847.64</v>
      </c>
      <c r="K1391" s="5">
        <f>IF(SalesData[[#This Row],[Total Revenue]]=0,0,SalesData[[#This Row],[Profit]]/SalesData[[#This Row],[Total Revenue]])</f>
        <v>0.42692910301605957</v>
      </c>
      <c r="L1391" s="5" t="str">
        <f>TEXT(SalesData[[#This Row],[Date]],"mmm")</f>
        <v>Mar</v>
      </c>
      <c r="M1391">
        <f>YEAR(SalesData[[#This Row],[Date]])</f>
        <v>2023</v>
      </c>
      <c r="N1391">
        <f>WEEKNUM(SalesData[[#This Row],[Date]])</f>
        <v>9</v>
      </c>
      <c r="O1391" t="s">
        <v>2097</v>
      </c>
      <c r="P1391" t="s">
        <v>2523</v>
      </c>
      <c r="Q1391" t="s">
        <v>2525</v>
      </c>
    </row>
    <row r="1392" spans="1:17" x14ac:dyDescent="0.35">
      <c r="A1392" t="s">
        <v>1220</v>
      </c>
      <c r="B1392" s="3">
        <v>45167</v>
      </c>
      <c r="C1392" t="s">
        <v>2019</v>
      </c>
      <c r="D1392" t="s">
        <v>2027</v>
      </c>
      <c r="E1392" s="8">
        <v>3091</v>
      </c>
      <c r="F1392">
        <v>7</v>
      </c>
      <c r="G1392">
        <v>15</v>
      </c>
      <c r="H1392" s="8">
        <v>18391.45</v>
      </c>
      <c r="I1392">
        <v>2132.85</v>
      </c>
      <c r="J1392">
        <v>3461.5</v>
      </c>
      <c r="K1392" s="5">
        <f>IF(SalesData[[#This Row],[Total Revenue]]=0,0,SalesData[[#This Row],[Profit]]/SalesData[[#This Row],[Total Revenue]])</f>
        <v>0.18821245741907244</v>
      </c>
      <c r="L1392" s="5" t="str">
        <f>TEXT(SalesData[[#This Row],[Date]],"mmm")</f>
        <v>Aug</v>
      </c>
      <c r="M1392">
        <f>YEAR(SalesData[[#This Row],[Date]])</f>
        <v>2023</v>
      </c>
      <c r="N1392">
        <f>WEEKNUM(SalesData[[#This Row],[Date]])</f>
        <v>35</v>
      </c>
      <c r="O1392" t="s">
        <v>2078</v>
      </c>
      <c r="P1392" t="s">
        <v>2522</v>
      </c>
      <c r="Q1392" t="s">
        <v>2527</v>
      </c>
    </row>
    <row r="1393" spans="1:17" x14ac:dyDescent="0.35">
      <c r="A1393" t="s">
        <v>921</v>
      </c>
      <c r="B1393" s="3">
        <v>45111</v>
      </c>
      <c r="C1393" t="s">
        <v>2022</v>
      </c>
      <c r="D1393" t="s">
        <v>2024</v>
      </c>
      <c r="E1393" s="8">
        <v>4601</v>
      </c>
      <c r="F1393">
        <v>4</v>
      </c>
      <c r="G1393">
        <v>0</v>
      </c>
      <c r="H1393" s="8">
        <v>18404</v>
      </c>
      <c r="I1393">
        <v>2401.2800000000002</v>
      </c>
      <c r="J1393">
        <v>8798.8700000000008</v>
      </c>
      <c r="K1393" s="5">
        <f>IF(SalesData[[#This Row],[Total Revenue]]=0,0,SalesData[[#This Row],[Profit]]/SalesData[[#This Row],[Total Revenue]])</f>
        <v>0.47809552271245387</v>
      </c>
      <c r="L1393" s="5" t="str">
        <f>TEXT(SalesData[[#This Row],[Date]],"mmm")</f>
        <v>Jul</v>
      </c>
      <c r="M1393">
        <f>YEAR(SalesData[[#This Row],[Date]])</f>
        <v>2023</v>
      </c>
      <c r="N1393">
        <f>WEEKNUM(SalesData[[#This Row],[Date]])</f>
        <v>27</v>
      </c>
      <c r="O1393" t="s">
        <v>2101</v>
      </c>
      <c r="P1393" t="s">
        <v>2522</v>
      </c>
      <c r="Q1393" t="s">
        <v>2525</v>
      </c>
    </row>
    <row r="1394" spans="1:17" x14ac:dyDescent="0.35">
      <c r="A1394" t="s">
        <v>66</v>
      </c>
      <c r="B1394" s="3">
        <v>45127</v>
      </c>
      <c r="C1394" t="s">
        <v>2018</v>
      </c>
      <c r="D1394" t="s">
        <v>2026</v>
      </c>
      <c r="E1394" s="8">
        <v>2425</v>
      </c>
      <c r="F1394">
        <v>8</v>
      </c>
      <c r="G1394">
        <v>5</v>
      </c>
      <c r="H1394" s="8">
        <v>18430</v>
      </c>
      <c r="I1394">
        <v>1865.73</v>
      </c>
      <c r="J1394">
        <v>3504.12</v>
      </c>
      <c r="K1394" s="5">
        <f>IF(SalesData[[#This Row],[Total Revenue]]=0,0,SalesData[[#This Row],[Profit]]/SalesData[[#This Row],[Total Revenue]])</f>
        <v>0.19013130765056971</v>
      </c>
      <c r="L1394" s="5" t="str">
        <f>TEXT(SalesData[[#This Row],[Date]],"mmm")</f>
        <v>Jul</v>
      </c>
      <c r="M1394">
        <f>YEAR(SalesData[[#This Row],[Date]])</f>
        <v>2023</v>
      </c>
      <c r="N1394">
        <f>WEEKNUM(SalesData[[#This Row],[Date]])</f>
        <v>29</v>
      </c>
      <c r="O1394" t="s">
        <v>2077</v>
      </c>
      <c r="P1394" t="s">
        <v>2523</v>
      </c>
      <c r="Q1394" t="s">
        <v>2527</v>
      </c>
    </row>
    <row r="1395" spans="1:17" x14ac:dyDescent="0.35">
      <c r="A1395" t="s">
        <v>225</v>
      </c>
      <c r="B1395" s="3">
        <v>45130</v>
      </c>
      <c r="C1395" t="s">
        <v>2013</v>
      </c>
      <c r="D1395" t="s">
        <v>2023</v>
      </c>
      <c r="E1395" s="8">
        <v>3238</v>
      </c>
      <c r="F1395">
        <v>6</v>
      </c>
      <c r="G1395">
        <v>5</v>
      </c>
      <c r="H1395" s="8">
        <v>18456.599999999999</v>
      </c>
      <c r="I1395">
        <v>2269.83</v>
      </c>
      <c r="J1395">
        <v>4837.6099999999997</v>
      </c>
      <c r="K1395" s="5">
        <f>IF(SalesData[[#This Row],[Total Revenue]]=0,0,SalesData[[#This Row],[Profit]]/SalesData[[#This Row],[Total Revenue]])</f>
        <v>0.26210732204197956</v>
      </c>
      <c r="L1395" s="5" t="str">
        <f>TEXT(SalesData[[#This Row],[Date]],"mmm")</f>
        <v>Jul</v>
      </c>
      <c r="M1395">
        <f>YEAR(SalesData[[#This Row],[Date]])</f>
        <v>2023</v>
      </c>
      <c r="N1395">
        <f>WEEKNUM(SalesData[[#This Row],[Date]])</f>
        <v>30</v>
      </c>
      <c r="O1395" t="s">
        <v>2200</v>
      </c>
      <c r="P1395" t="s">
        <v>2522</v>
      </c>
      <c r="Q1395" t="s">
        <v>2524</v>
      </c>
    </row>
    <row r="1396" spans="1:17" x14ac:dyDescent="0.35">
      <c r="A1396" t="s">
        <v>766</v>
      </c>
      <c r="B1396" s="3">
        <v>45130</v>
      </c>
      <c r="C1396" t="s">
        <v>2013</v>
      </c>
      <c r="D1396" t="s">
        <v>2023</v>
      </c>
      <c r="E1396" s="8">
        <v>2308</v>
      </c>
      <c r="F1396">
        <v>8</v>
      </c>
      <c r="G1396">
        <v>0</v>
      </c>
      <c r="H1396" s="8">
        <v>18464</v>
      </c>
      <c r="I1396">
        <v>1356.83</v>
      </c>
      <c r="J1396">
        <v>7609.35</v>
      </c>
      <c r="K1396" s="5">
        <f>IF(SalesData[[#This Row],[Total Revenue]]=0,0,SalesData[[#This Row],[Profit]]/SalesData[[#This Row],[Total Revenue]])</f>
        <v>0.4121181759098787</v>
      </c>
      <c r="L1396" s="5" t="str">
        <f>TEXT(SalesData[[#This Row],[Date]],"mmm")</f>
        <v>Jul</v>
      </c>
      <c r="M1396">
        <f>YEAR(SalesData[[#This Row],[Date]])</f>
        <v>2023</v>
      </c>
      <c r="N1396">
        <f>WEEKNUM(SalesData[[#This Row],[Date]])</f>
        <v>30</v>
      </c>
      <c r="O1396" t="s">
        <v>2231</v>
      </c>
      <c r="P1396" t="s">
        <v>2523</v>
      </c>
      <c r="Q1396" t="s">
        <v>2524</v>
      </c>
    </row>
    <row r="1397" spans="1:17" x14ac:dyDescent="0.35">
      <c r="A1397" t="s">
        <v>279</v>
      </c>
      <c r="B1397" s="3">
        <v>45165</v>
      </c>
      <c r="C1397" t="s">
        <v>2014</v>
      </c>
      <c r="D1397" t="s">
        <v>2024</v>
      </c>
      <c r="E1397" s="8">
        <v>3427</v>
      </c>
      <c r="F1397">
        <v>6</v>
      </c>
      <c r="G1397">
        <v>10</v>
      </c>
      <c r="H1397" s="8">
        <v>18505.8</v>
      </c>
      <c r="I1397">
        <v>2566.9299999999998</v>
      </c>
      <c r="J1397">
        <v>3104.25</v>
      </c>
      <c r="K1397" s="5">
        <f>IF(SalesData[[#This Row],[Total Revenue]]=0,0,SalesData[[#This Row],[Profit]]/SalesData[[#This Row],[Total Revenue]])</f>
        <v>0.16774470706481212</v>
      </c>
      <c r="L1397" s="5" t="str">
        <f>TEXT(SalesData[[#This Row],[Date]],"mmm")</f>
        <v>Aug</v>
      </c>
      <c r="M1397">
        <f>YEAR(SalesData[[#This Row],[Date]])</f>
        <v>2023</v>
      </c>
      <c r="N1397">
        <f>WEEKNUM(SalesData[[#This Row],[Date]])</f>
        <v>35</v>
      </c>
      <c r="O1397" t="s">
        <v>2202</v>
      </c>
      <c r="P1397" t="s">
        <v>2522</v>
      </c>
      <c r="Q1397" t="s">
        <v>2525</v>
      </c>
    </row>
    <row r="1398" spans="1:17" x14ac:dyDescent="0.35">
      <c r="A1398" t="s">
        <v>1686</v>
      </c>
      <c r="B1398" s="3">
        <v>45066</v>
      </c>
      <c r="C1398" t="s">
        <v>2022</v>
      </c>
      <c r="D1398" t="s">
        <v>2024</v>
      </c>
      <c r="E1398" s="8">
        <v>4873</v>
      </c>
      <c r="F1398">
        <v>4</v>
      </c>
      <c r="G1398">
        <v>5</v>
      </c>
      <c r="H1398" s="8">
        <v>18517.400000000001</v>
      </c>
      <c r="I1398">
        <v>3665.43</v>
      </c>
      <c r="J1398">
        <v>3855.67</v>
      </c>
      <c r="K1398" s="5">
        <f>IF(SalesData[[#This Row],[Total Revenue]]=0,0,SalesData[[#This Row],[Profit]]/SalesData[[#This Row],[Total Revenue]])</f>
        <v>0.20821875641288731</v>
      </c>
      <c r="L1398" s="5" t="str">
        <f>TEXT(SalesData[[#This Row],[Date]],"mmm")</f>
        <v>May</v>
      </c>
      <c r="M1398">
        <f>YEAR(SalesData[[#This Row],[Date]])</f>
        <v>2023</v>
      </c>
      <c r="N1398">
        <f>WEEKNUM(SalesData[[#This Row],[Date]])</f>
        <v>20</v>
      </c>
      <c r="O1398" t="s">
        <v>2358</v>
      </c>
      <c r="P1398" t="s">
        <v>2522</v>
      </c>
      <c r="Q1398" t="s">
        <v>2526</v>
      </c>
    </row>
    <row r="1399" spans="1:17" x14ac:dyDescent="0.35">
      <c r="A1399" t="s">
        <v>434</v>
      </c>
      <c r="B1399" s="3">
        <v>45114</v>
      </c>
      <c r="C1399" t="s">
        <v>2014</v>
      </c>
      <c r="D1399" t="s">
        <v>2024</v>
      </c>
      <c r="E1399" s="8">
        <v>2059</v>
      </c>
      <c r="F1399">
        <v>10</v>
      </c>
      <c r="G1399">
        <v>10</v>
      </c>
      <c r="H1399" s="8">
        <v>18531</v>
      </c>
      <c r="I1399">
        <v>1504.16</v>
      </c>
      <c r="J1399">
        <v>3489.44</v>
      </c>
      <c r="K1399" s="5">
        <f>IF(SalesData[[#This Row],[Total Revenue]]=0,0,SalesData[[#This Row],[Profit]]/SalesData[[#This Row],[Total Revenue]])</f>
        <v>0.18830284388322271</v>
      </c>
      <c r="L1399" s="5" t="str">
        <f>TEXT(SalesData[[#This Row],[Date]],"mmm")</f>
        <v>Jul</v>
      </c>
      <c r="M1399">
        <f>YEAR(SalesData[[#This Row],[Date]])</f>
        <v>2023</v>
      </c>
      <c r="N1399">
        <f>WEEKNUM(SalesData[[#This Row],[Date]])</f>
        <v>27</v>
      </c>
      <c r="O1399" t="s">
        <v>2091</v>
      </c>
      <c r="P1399" t="s">
        <v>2522</v>
      </c>
      <c r="Q1399" t="s">
        <v>2527</v>
      </c>
    </row>
    <row r="1400" spans="1:17" x14ac:dyDescent="0.35">
      <c r="A1400" t="s">
        <v>1476</v>
      </c>
      <c r="B1400" s="3">
        <v>45156</v>
      </c>
      <c r="C1400" t="s">
        <v>2017</v>
      </c>
      <c r="D1400" t="s">
        <v>2026</v>
      </c>
      <c r="E1400" s="8">
        <v>3902</v>
      </c>
      <c r="F1400">
        <v>5</v>
      </c>
      <c r="G1400">
        <v>5</v>
      </c>
      <c r="H1400" s="8">
        <v>18534.5</v>
      </c>
      <c r="I1400">
        <v>2056.44</v>
      </c>
      <c r="J1400">
        <v>8252.2900000000009</v>
      </c>
      <c r="K1400" s="5">
        <f>IF(SalesData[[#This Row],[Total Revenue]]=0,0,SalesData[[#This Row],[Profit]]/SalesData[[#This Row],[Total Revenue]])</f>
        <v>0.44523941838193642</v>
      </c>
      <c r="L1400" s="5" t="str">
        <f>TEXT(SalesData[[#This Row],[Date]],"mmm")</f>
        <v>Aug</v>
      </c>
      <c r="M1400">
        <f>YEAR(SalesData[[#This Row],[Date]])</f>
        <v>2023</v>
      </c>
      <c r="N1400">
        <f>WEEKNUM(SalesData[[#This Row],[Date]])</f>
        <v>33</v>
      </c>
      <c r="O1400" t="s">
        <v>2210</v>
      </c>
      <c r="P1400" t="s">
        <v>2522</v>
      </c>
      <c r="Q1400" t="s">
        <v>2525</v>
      </c>
    </row>
    <row r="1401" spans="1:17" x14ac:dyDescent="0.35">
      <c r="A1401" t="s">
        <v>1277</v>
      </c>
      <c r="B1401" s="3">
        <v>45227</v>
      </c>
      <c r="C1401" t="s">
        <v>2015</v>
      </c>
      <c r="D1401" t="s">
        <v>2025</v>
      </c>
      <c r="E1401" s="8">
        <v>3903</v>
      </c>
      <c r="F1401">
        <v>5</v>
      </c>
      <c r="G1401">
        <v>5</v>
      </c>
      <c r="H1401" s="8">
        <v>18539.25</v>
      </c>
      <c r="I1401">
        <v>2874.91</v>
      </c>
      <c r="J1401">
        <v>4164.68</v>
      </c>
      <c r="K1401" s="5">
        <f>IF(SalesData[[#This Row],[Total Revenue]]=0,0,SalesData[[#This Row],[Profit]]/SalesData[[#This Row],[Total Revenue]])</f>
        <v>0.22464123413838211</v>
      </c>
      <c r="L1401" s="5" t="str">
        <f>TEXT(SalesData[[#This Row],[Date]],"mmm")</f>
        <v>Oct</v>
      </c>
      <c r="M1401">
        <f>YEAR(SalesData[[#This Row],[Date]])</f>
        <v>2023</v>
      </c>
      <c r="N1401">
        <f>WEEKNUM(SalesData[[#This Row],[Date]])</f>
        <v>43</v>
      </c>
      <c r="O1401" t="s">
        <v>2454</v>
      </c>
      <c r="P1401" t="s">
        <v>2522</v>
      </c>
      <c r="Q1401" t="s">
        <v>2525</v>
      </c>
    </row>
    <row r="1402" spans="1:17" x14ac:dyDescent="0.35">
      <c r="A1402" t="s">
        <v>300</v>
      </c>
      <c r="B1402" s="3">
        <v>44971</v>
      </c>
      <c r="C1402" t="s">
        <v>2022</v>
      </c>
      <c r="D1402" t="s">
        <v>2024</v>
      </c>
      <c r="E1402" s="8">
        <v>4636</v>
      </c>
      <c r="F1402">
        <v>4</v>
      </c>
      <c r="G1402">
        <v>0</v>
      </c>
      <c r="H1402" s="8">
        <v>18544</v>
      </c>
      <c r="I1402">
        <v>3610.1</v>
      </c>
      <c r="J1402">
        <v>4103.6000000000004</v>
      </c>
      <c r="K1402" s="5">
        <f>IF(SalesData[[#This Row],[Total Revenue]]=0,0,SalesData[[#This Row],[Profit]]/SalesData[[#This Row],[Total Revenue]])</f>
        <v>0.22128990509059537</v>
      </c>
      <c r="L1402" s="5" t="str">
        <f>TEXT(SalesData[[#This Row],[Date]],"mmm")</f>
        <v>Feb</v>
      </c>
      <c r="M1402">
        <f>YEAR(SalesData[[#This Row],[Date]])</f>
        <v>2023</v>
      </c>
      <c r="N1402">
        <f>WEEKNUM(SalesData[[#This Row],[Date]])</f>
        <v>7</v>
      </c>
      <c r="O1402" t="s">
        <v>2245</v>
      </c>
      <c r="P1402" t="s">
        <v>2523</v>
      </c>
      <c r="Q1402" t="s">
        <v>2524</v>
      </c>
    </row>
    <row r="1403" spans="1:17" x14ac:dyDescent="0.35">
      <c r="A1403" t="s">
        <v>25</v>
      </c>
      <c r="B1403" s="3">
        <v>45011</v>
      </c>
      <c r="C1403" t="s">
        <v>2019</v>
      </c>
      <c r="D1403" t="s">
        <v>2027</v>
      </c>
      <c r="E1403" s="8">
        <v>2427</v>
      </c>
      <c r="F1403">
        <v>9</v>
      </c>
      <c r="G1403">
        <v>15</v>
      </c>
      <c r="H1403" s="8">
        <v>18566.55</v>
      </c>
      <c r="I1403">
        <v>1488.73</v>
      </c>
      <c r="J1403">
        <v>5168.0200000000004</v>
      </c>
      <c r="K1403" s="5">
        <f>IF(SalesData[[#This Row],[Total Revenue]]=0,0,SalesData[[#This Row],[Profit]]/SalesData[[#This Row],[Total Revenue]])</f>
        <v>0.27835112069824497</v>
      </c>
      <c r="L1403" s="5" t="str">
        <f>TEXT(SalesData[[#This Row],[Date]],"mmm")</f>
        <v>Mar</v>
      </c>
      <c r="M1403">
        <f>YEAR(SalesData[[#This Row],[Date]])</f>
        <v>2023</v>
      </c>
      <c r="N1403">
        <f>WEEKNUM(SalesData[[#This Row],[Date]])</f>
        <v>13</v>
      </c>
      <c r="O1403" t="s">
        <v>2041</v>
      </c>
      <c r="P1403" t="s">
        <v>2522</v>
      </c>
      <c r="Q1403" t="s">
        <v>2525</v>
      </c>
    </row>
    <row r="1404" spans="1:17" x14ac:dyDescent="0.35">
      <c r="A1404" t="s">
        <v>655</v>
      </c>
      <c r="B1404" s="3">
        <v>45045</v>
      </c>
      <c r="C1404" t="s">
        <v>2018</v>
      </c>
      <c r="D1404" t="s">
        <v>2026</v>
      </c>
      <c r="E1404" s="8">
        <v>2579</v>
      </c>
      <c r="F1404">
        <v>8</v>
      </c>
      <c r="G1404">
        <v>10</v>
      </c>
      <c r="H1404" s="8">
        <v>18568.8</v>
      </c>
      <c r="I1404">
        <v>1392.07</v>
      </c>
      <c r="J1404">
        <v>7432.27</v>
      </c>
      <c r="K1404" s="5">
        <f>IF(SalesData[[#This Row],[Total Revenue]]=0,0,SalesData[[#This Row],[Profit]]/SalesData[[#This Row],[Total Revenue]])</f>
        <v>0.40025580543707728</v>
      </c>
      <c r="L1404" s="5" t="str">
        <f>TEXT(SalesData[[#This Row],[Date]],"mmm")</f>
        <v>Apr</v>
      </c>
      <c r="M1404">
        <f>YEAR(SalesData[[#This Row],[Date]])</f>
        <v>2023</v>
      </c>
      <c r="N1404">
        <f>WEEKNUM(SalesData[[#This Row],[Date]])</f>
        <v>17</v>
      </c>
      <c r="O1404" t="s">
        <v>2137</v>
      </c>
      <c r="P1404" t="s">
        <v>2523</v>
      </c>
      <c r="Q1404" t="s">
        <v>2527</v>
      </c>
    </row>
    <row r="1405" spans="1:17" x14ac:dyDescent="0.35">
      <c r="A1405" t="s">
        <v>58</v>
      </c>
      <c r="B1405" s="3">
        <v>44965</v>
      </c>
      <c r="C1405" t="s">
        <v>2022</v>
      </c>
      <c r="D1405" t="s">
        <v>2024</v>
      </c>
      <c r="E1405" s="8">
        <v>2064</v>
      </c>
      <c r="F1405">
        <v>9</v>
      </c>
      <c r="G1405">
        <v>0</v>
      </c>
      <c r="H1405" s="8">
        <v>18576</v>
      </c>
      <c r="I1405">
        <v>1227.6300000000001</v>
      </c>
      <c r="J1405">
        <v>7527.37</v>
      </c>
      <c r="K1405" s="5">
        <f>IF(SalesData[[#This Row],[Total Revenue]]=0,0,SalesData[[#This Row],[Profit]]/SalesData[[#This Row],[Total Revenue]])</f>
        <v>0.40522017657192078</v>
      </c>
      <c r="L1405" s="5" t="str">
        <f>TEXT(SalesData[[#This Row],[Date]],"mmm")</f>
        <v>Feb</v>
      </c>
      <c r="M1405">
        <f>YEAR(SalesData[[#This Row],[Date]])</f>
        <v>2023</v>
      </c>
      <c r="N1405">
        <f>WEEKNUM(SalesData[[#This Row],[Date]])</f>
        <v>6</v>
      </c>
      <c r="O1405" t="s">
        <v>2069</v>
      </c>
      <c r="P1405" t="s">
        <v>2522</v>
      </c>
      <c r="Q1405" t="s">
        <v>2524</v>
      </c>
    </row>
    <row r="1406" spans="1:17" x14ac:dyDescent="0.35">
      <c r="A1406" t="s">
        <v>1176</v>
      </c>
      <c r="B1406" s="3">
        <v>45145</v>
      </c>
      <c r="C1406" t="s">
        <v>2014</v>
      </c>
      <c r="D1406" t="s">
        <v>2024</v>
      </c>
      <c r="E1406" s="8">
        <v>3727</v>
      </c>
      <c r="F1406">
        <v>5</v>
      </c>
      <c r="G1406">
        <v>0</v>
      </c>
      <c r="H1406" s="8">
        <v>18635</v>
      </c>
      <c r="I1406">
        <v>2264.0100000000002</v>
      </c>
      <c r="J1406">
        <v>7314.97</v>
      </c>
      <c r="K1406" s="5">
        <f>IF(SalesData[[#This Row],[Total Revenue]]=0,0,SalesData[[#This Row],[Profit]]/SalesData[[#This Row],[Total Revenue]])</f>
        <v>0.39253930775422591</v>
      </c>
      <c r="L1406" s="5" t="str">
        <f>TEXT(SalesData[[#This Row],[Date]],"mmm")</f>
        <v>Aug</v>
      </c>
      <c r="M1406">
        <f>YEAR(SalesData[[#This Row],[Date]])</f>
        <v>2023</v>
      </c>
      <c r="N1406">
        <f>WEEKNUM(SalesData[[#This Row],[Date]])</f>
        <v>32</v>
      </c>
      <c r="O1406" t="s">
        <v>2237</v>
      </c>
      <c r="P1406" t="s">
        <v>2523</v>
      </c>
      <c r="Q1406" t="s">
        <v>2524</v>
      </c>
    </row>
    <row r="1407" spans="1:17" x14ac:dyDescent="0.35">
      <c r="A1407" t="s">
        <v>346</v>
      </c>
      <c r="B1407" s="3">
        <v>45007</v>
      </c>
      <c r="C1407" t="s">
        <v>2019</v>
      </c>
      <c r="D1407" t="s">
        <v>2027</v>
      </c>
      <c r="E1407" s="8">
        <v>2193</v>
      </c>
      <c r="F1407">
        <v>10</v>
      </c>
      <c r="G1407">
        <v>15</v>
      </c>
      <c r="H1407" s="8">
        <v>18640.5</v>
      </c>
      <c r="I1407">
        <v>1147.8399999999999</v>
      </c>
      <c r="J1407">
        <v>7162.1</v>
      </c>
      <c r="K1407" s="5">
        <f>IF(SalesData[[#This Row],[Total Revenue]]=0,0,SalesData[[#This Row],[Profit]]/SalesData[[#This Row],[Total Revenue]])</f>
        <v>0.38422252621979025</v>
      </c>
      <c r="L1407" s="5" t="str">
        <f>TEXT(SalesData[[#This Row],[Date]],"mmm")</f>
        <v>Mar</v>
      </c>
      <c r="M1407">
        <f>YEAR(SalesData[[#This Row],[Date]])</f>
        <v>2023</v>
      </c>
      <c r="N1407">
        <f>WEEKNUM(SalesData[[#This Row],[Date]])</f>
        <v>12</v>
      </c>
      <c r="O1407" t="s">
        <v>2272</v>
      </c>
      <c r="P1407" t="s">
        <v>2522</v>
      </c>
      <c r="Q1407" t="s">
        <v>2527</v>
      </c>
    </row>
    <row r="1408" spans="1:17" x14ac:dyDescent="0.35">
      <c r="A1408" t="s">
        <v>398</v>
      </c>
      <c r="B1408" s="3">
        <v>45046</v>
      </c>
      <c r="C1408" t="s">
        <v>2020</v>
      </c>
      <c r="D1408" t="s">
        <v>2028</v>
      </c>
      <c r="E1408" s="8">
        <v>3271</v>
      </c>
      <c r="F1408">
        <v>6</v>
      </c>
      <c r="G1408">
        <v>5</v>
      </c>
      <c r="H1408" s="8">
        <v>18644.7</v>
      </c>
      <c r="I1408">
        <v>1970.24</v>
      </c>
      <c r="J1408">
        <v>6823.27</v>
      </c>
      <c r="K1408" s="5">
        <f>IF(SalesData[[#This Row],[Total Revenue]]=0,0,SalesData[[#This Row],[Profit]]/SalesData[[#This Row],[Total Revenue]])</f>
        <v>0.365962981437084</v>
      </c>
      <c r="L1408" s="5" t="str">
        <f>TEXT(SalesData[[#This Row],[Date]],"mmm")</f>
        <v>Apr</v>
      </c>
      <c r="M1408">
        <f>YEAR(SalesData[[#This Row],[Date]])</f>
        <v>2023</v>
      </c>
      <c r="N1408">
        <f>WEEKNUM(SalesData[[#This Row],[Date]])</f>
        <v>18</v>
      </c>
      <c r="O1408" t="s">
        <v>2296</v>
      </c>
      <c r="P1408" t="s">
        <v>2523</v>
      </c>
      <c r="Q1408" t="s">
        <v>2524</v>
      </c>
    </row>
    <row r="1409" spans="1:17" x14ac:dyDescent="0.35">
      <c r="A1409" t="s">
        <v>513</v>
      </c>
      <c r="B1409" s="3">
        <v>44928</v>
      </c>
      <c r="C1409" t="s">
        <v>2016</v>
      </c>
      <c r="D1409" t="s">
        <v>2025</v>
      </c>
      <c r="E1409" s="8">
        <v>2669</v>
      </c>
      <c r="F1409">
        <v>7</v>
      </c>
      <c r="G1409">
        <v>0</v>
      </c>
      <c r="H1409" s="8">
        <v>18683</v>
      </c>
      <c r="I1409">
        <v>1807.08</v>
      </c>
      <c r="J1409">
        <v>6033.45</v>
      </c>
      <c r="K1409" s="5">
        <f>IF(SalesData[[#This Row],[Total Revenue]]=0,0,SalesData[[#This Row],[Profit]]/SalesData[[#This Row],[Total Revenue]])</f>
        <v>0.32293796499491517</v>
      </c>
      <c r="L1409" s="5" t="str">
        <f>TEXT(SalesData[[#This Row],[Date]],"mmm")</f>
        <v>Jan</v>
      </c>
      <c r="M1409">
        <f>YEAR(SalesData[[#This Row],[Date]])</f>
        <v>2023</v>
      </c>
      <c r="N1409">
        <f>WEEKNUM(SalesData[[#This Row],[Date]])</f>
        <v>1</v>
      </c>
      <c r="O1409" t="s">
        <v>2340</v>
      </c>
      <c r="P1409" t="s">
        <v>2523</v>
      </c>
      <c r="Q1409" t="s">
        <v>2525</v>
      </c>
    </row>
    <row r="1410" spans="1:17" x14ac:dyDescent="0.35">
      <c r="A1410" t="s">
        <v>1586</v>
      </c>
      <c r="B1410" s="3">
        <v>45118</v>
      </c>
      <c r="C1410" t="s">
        <v>2013</v>
      </c>
      <c r="D1410" t="s">
        <v>2023</v>
      </c>
      <c r="E1410" s="8">
        <v>4676</v>
      </c>
      <c r="F1410">
        <v>4</v>
      </c>
      <c r="G1410">
        <v>0</v>
      </c>
      <c r="H1410" s="8">
        <v>18704</v>
      </c>
      <c r="I1410">
        <v>2563.4899999999998</v>
      </c>
      <c r="J1410">
        <v>8450.0400000000009</v>
      </c>
      <c r="K1410" s="5">
        <f>IF(SalesData[[#This Row],[Total Revenue]]=0,0,SalesData[[#This Row],[Profit]]/SalesData[[#This Row],[Total Revenue]])</f>
        <v>0.45177715996578277</v>
      </c>
      <c r="L1410" s="5" t="str">
        <f>TEXT(SalesData[[#This Row],[Date]],"mmm")</f>
        <v>Jul</v>
      </c>
      <c r="M1410">
        <f>YEAR(SalesData[[#This Row],[Date]])</f>
        <v>2023</v>
      </c>
      <c r="N1410">
        <f>WEEKNUM(SalesData[[#This Row],[Date]])</f>
        <v>28</v>
      </c>
      <c r="O1410" t="s">
        <v>2100</v>
      </c>
      <c r="P1410" t="s">
        <v>2522</v>
      </c>
      <c r="Q1410" t="s">
        <v>2526</v>
      </c>
    </row>
    <row r="1411" spans="1:17" x14ac:dyDescent="0.35">
      <c r="A1411" t="s">
        <v>1921</v>
      </c>
      <c r="B1411" s="3">
        <v>45013</v>
      </c>
      <c r="C1411" t="s">
        <v>2021</v>
      </c>
      <c r="D1411" t="s">
        <v>2028</v>
      </c>
      <c r="E1411" s="8">
        <v>4403</v>
      </c>
      <c r="F1411">
        <v>5</v>
      </c>
      <c r="G1411">
        <v>15</v>
      </c>
      <c r="H1411" s="8">
        <v>18712.75</v>
      </c>
      <c r="I1411">
        <v>2713.44</v>
      </c>
      <c r="J1411">
        <v>5145.55</v>
      </c>
      <c r="K1411" s="5">
        <f>IF(SalesData[[#This Row],[Total Revenue]]=0,0,SalesData[[#This Row],[Profit]]/SalesData[[#This Row],[Total Revenue]])</f>
        <v>0.27497561822821337</v>
      </c>
      <c r="L1411" s="5" t="str">
        <f>TEXT(SalesData[[#This Row],[Date]],"mmm")</f>
        <v>Mar</v>
      </c>
      <c r="M1411">
        <f>YEAR(SalesData[[#This Row],[Date]])</f>
        <v>2023</v>
      </c>
      <c r="N1411">
        <f>WEEKNUM(SalesData[[#This Row],[Date]])</f>
        <v>13</v>
      </c>
      <c r="O1411" t="s">
        <v>2498</v>
      </c>
      <c r="P1411" t="s">
        <v>2523</v>
      </c>
      <c r="Q1411" t="s">
        <v>2526</v>
      </c>
    </row>
    <row r="1412" spans="1:17" x14ac:dyDescent="0.35">
      <c r="A1412" t="s">
        <v>128</v>
      </c>
      <c r="B1412" s="3">
        <v>45203</v>
      </c>
      <c r="C1412" t="s">
        <v>2018</v>
      </c>
      <c r="D1412" t="s">
        <v>2026</v>
      </c>
      <c r="E1412" s="8">
        <v>3670</v>
      </c>
      <c r="F1412">
        <v>6</v>
      </c>
      <c r="G1412">
        <v>15</v>
      </c>
      <c r="H1412" s="8">
        <v>18717</v>
      </c>
      <c r="I1412">
        <v>2580.19</v>
      </c>
      <c r="J1412">
        <v>3235.86</v>
      </c>
      <c r="K1412" s="5">
        <f>IF(SalesData[[#This Row],[Total Revenue]]=0,0,SalesData[[#This Row],[Profit]]/SalesData[[#This Row],[Total Revenue]])</f>
        <v>0.1728834749158519</v>
      </c>
      <c r="L1412" s="5" t="str">
        <f>TEXT(SalesData[[#This Row],[Date]],"mmm")</f>
        <v>Oct</v>
      </c>
      <c r="M1412">
        <f>YEAR(SalesData[[#This Row],[Date]])</f>
        <v>2023</v>
      </c>
      <c r="N1412">
        <f>WEEKNUM(SalesData[[#This Row],[Date]])</f>
        <v>40</v>
      </c>
      <c r="O1412" t="s">
        <v>2131</v>
      </c>
      <c r="P1412" t="s">
        <v>2522</v>
      </c>
      <c r="Q1412" t="s">
        <v>2526</v>
      </c>
    </row>
    <row r="1413" spans="1:17" x14ac:dyDescent="0.35">
      <c r="A1413" t="s">
        <v>1091</v>
      </c>
      <c r="B1413" s="3">
        <v>45183</v>
      </c>
      <c r="C1413" t="s">
        <v>2016</v>
      </c>
      <c r="D1413" t="s">
        <v>2025</v>
      </c>
      <c r="E1413" s="8">
        <v>3470</v>
      </c>
      <c r="F1413">
        <v>6</v>
      </c>
      <c r="G1413">
        <v>10</v>
      </c>
      <c r="H1413" s="8">
        <v>18738</v>
      </c>
      <c r="I1413">
        <v>2136.37</v>
      </c>
      <c r="J1413">
        <v>5919.75</v>
      </c>
      <c r="K1413" s="5">
        <f>IF(SalesData[[#This Row],[Total Revenue]]=0,0,SalesData[[#This Row],[Profit]]/SalesData[[#This Row],[Total Revenue]])</f>
        <v>0.31592219020172913</v>
      </c>
      <c r="L1413" s="5" t="str">
        <f>TEXT(SalesData[[#This Row],[Date]],"mmm")</f>
        <v>Sep</v>
      </c>
      <c r="M1413">
        <f>YEAR(SalesData[[#This Row],[Date]])</f>
        <v>2023</v>
      </c>
      <c r="N1413">
        <f>WEEKNUM(SalesData[[#This Row],[Date]])</f>
        <v>37</v>
      </c>
      <c r="O1413" t="s">
        <v>2173</v>
      </c>
      <c r="P1413" t="s">
        <v>2522</v>
      </c>
      <c r="Q1413" t="s">
        <v>2524</v>
      </c>
    </row>
    <row r="1414" spans="1:17" x14ac:dyDescent="0.35">
      <c r="A1414" t="s">
        <v>1424</v>
      </c>
      <c r="B1414" s="3">
        <v>44948</v>
      </c>
      <c r="C1414" t="s">
        <v>2022</v>
      </c>
      <c r="D1414" t="s">
        <v>2024</v>
      </c>
      <c r="E1414" s="8">
        <v>2205</v>
      </c>
      <c r="F1414">
        <v>10</v>
      </c>
      <c r="G1414">
        <v>15</v>
      </c>
      <c r="H1414" s="8">
        <v>18742.5</v>
      </c>
      <c r="I1414">
        <v>1493.18</v>
      </c>
      <c r="J1414">
        <v>3810.69</v>
      </c>
      <c r="K1414" s="5">
        <f>IF(SalesData[[#This Row],[Total Revenue]]=0,0,SalesData[[#This Row],[Profit]]/SalesData[[#This Row],[Total Revenue]])</f>
        <v>0.20331812725090037</v>
      </c>
      <c r="L1414" s="5" t="str">
        <f>TEXT(SalesData[[#This Row],[Date]],"mmm")</f>
        <v>Jan</v>
      </c>
      <c r="M1414">
        <f>YEAR(SalesData[[#This Row],[Date]])</f>
        <v>2023</v>
      </c>
      <c r="N1414">
        <f>WEEKNUM(SalesData[[#This Row],[Date]])</f>
        <v>4</v>
      </c>
      <c r="O1414" t="s">
        <v>2246</v>
      </c>
      <c r="P1414" t="s">
        <v>2523</v>
      </c>
      <c r="Q1414" t="s">
        <v>2526</v>
      </c>
    </row>
    <row r="1415" spans="1:17" x14ac:dyDescent="0.35">
      <c r="A1415" t="s">
        <v>1324</v>
      </c>
      <c r="B1415" s="3">
        <v>44931</v>
      </c>
      <c r="C1415" t="s">
        <v>2015</v>
      </c>
      <c r="D1415" t="s">
        <v>2025</v>
      </c>
      <c r="E1415" s="8">
        <v>2678</v>
      </c>
      <c r="F1415">
        <v>7</v>
      </c>
      <c r="G1415">
        <v>0</v>
      </c>
      <c r="H1415" s="8">
        <v>18746</v>
      </c>
      <c r="I1415">
        <v>1516.91</v>
      </c>
      <c r="J1415">
        <v>8127.65</v>
      </c>
      <c r="K1415" s="5">
        <f>IF(SalesData[[#This Row],[Total Revenue]]=0,0,SalesData[[#This Row],[Profit]]/SalesData[[#This Row],[Total Revenue]])</f>
        <v>0.43356716099434545</v>
      </c>
      <c r="L1415" s="5" t="str">
        <f>TEXT(SalesData[[#This Row],[Date]],"mmm")</f>
        <v>Jan</v>
      </c>
      <c r="M1415">
        <f>YEAR(SalesData[[#This Row],[Date]])</f>
        <v>2023</v>
      </c>
      <c r="N1415">
        <f>WEEKNUM(SalesData[[#This Row],[Date]])</f>
        <v>1</v>
      </c>
      <c r="O1415" t="s">
        <v>2375</v>
      </c>
      <c r="P1415" t="s">
        <v>2522</v>
      </c>
      <c r="Q1415" t="s">
        <v>2524</v>
      </c>
    </row>
    <row r="1416" spans="1:17" x14ac:dyDescent="0.35">
      <c r="A1416" t="s">
        <v>218</v>
      </c>
      <c r="B1416" s="3">
        <v>45180</v>
      </c>
      <c r="C1416" t="s">
        <v>2022</v>
      </c>
      <c r="D1416" t="s">
        <v>2024</v>
      </c>
      <c r="E1416" s="8">
        <v>2194</v>
      </c>
      <c r="F1416">
        <v>9</v>
      </c>
      <c r="G1416">
        <v>5</v>
      </c>
      <c r="H1416" s="8">
        <v>18758.7</v>
      </c>
      <c r="I1416">
        <v>1253.8800000000001</v>
      </c>
      <c r="J1416">
        <v>7473.8</v>
      </c>
      <c r="K1416" s="5">
        <f>IF(SalesData[[#This Row],[Total Revenue]]=0,0,SalesData[[#This Row],[Profit]]/SalesData[[#This Row],[Total Revenue]])</f>
        <v>0.39841780080709216</v>
      </c>
      <c r="L1416" s="5" t="str">
        <f>TEXT(SalesData[[#This Row],[Date]],"mmm")</f>
        <v>Sep</v>
      </c>
      <c r="M1416">
        <f>YEAR(SalesData[[#This Row],[Date]])</f>
        <v>2023</v>
      </c>
      <c r="N1416">
        <f>WEEKNUM(SalesData[[#This Row],[Date]])</f>
        <v>37</v>
      </c>
      <c r="O1416" t="s">
        <v>2195</v>
      </c>
      <c r="P1416" t="s">
        <v>2522</v>
      </c>
      <c r="Q1416" t="s">
        <v>2527</v>
      </c>
    </row>
    <row r="1417" spans="1:17" x14ac:dyDescent="0.35">
      <c r="A1417" t="s">
        <v>1893</v>
      </c>
      <c r="B1417" s="3">
        <v>45089</v>
      </c>
      <c r="C1417" t="s">
        <v>2014</v>
      </c>
      <c r="D1417" t="s">
        <v>2024</v>
      </c>
      <c r="E1417" s="8">
        <v>2981</v>
      </c>
      <c r="F1417">
        <v>7</v>
      </c>
      <c r="G1417">
        <v>10</v>
      </c>
      <c r="H1417" s="8">
        <v>18780.3</v>
      </c>
      <c r="I1417">
        <v>1879.26</v>
      </c>
      <c r="J1417">
        <v>5625.49</v>
      </c>
      <c r="K1417" s="5">
        <f>IF(SalesData[[#This Row],[Total Revenue]]=0,0,SalesData[[#This Row],[Profit]]/SalesData[[#This Row],[Total Revenue]])</f>
        <v>0.29954207334281135</v>
      </c>
      <c r="L1417" s="5" t="str">
        <f>TEXT(SalesData[[#This Row],[Date]],"mmm")</f>
        <v>Jun</v>
      </c>
      <c r="M1417">
        <f>YEAR(SalesData[[#This Row],[Date]])</f>
        <v>2023</v>
      </c>
      <c r="N1417">
        <f>WEEKNUM(SalesData[[#This Row],[Date]])</f>
        <v>24</v>
      </c>
      <c r="O1417" t="s">
        <v>2056</v>
      </c>
      <c r="P1417" t="s">
        <v>2522</v>
      </c>
      <c r="Q1417" t="s">
        <v>2524</v>
      </c>
    </row>
    <row r="1418" spans="1:17" x14ac:dyDescent="0.35">
      <c r="A1418" t="s">
        <v>1380</v>
      </c>
      <c r="B1418" s="3">
        <v>45100</v>
      </c>
      <c r="C1418" t="s">
        <v>2018</v>
      </c>
      <c r="D1418" t="s">
        <v>2026</v>
      </c>
      <c r="E1418" s="8">
        <v>4178</v>
      </c>
      <c r="F1418">
        <v>5</v>
      </c>
      <c r="G1418">
        <v>10</v>
      </c>
      <c r="H1418" s="8">
        <v>18801</v>
      </c>
      <c r="I1418">
        <v>3175.21</v>
      </c>
      <c r="J1418">
        <v>2924.96</v>
      </c>
      <c r="K1418" s="5">
        <f>IF(SalesData[[#This Row],[Total Revenue]]=0,0,SalesData[[#This Row],[Profit]]/SalesData[[#This Row],[Total Revenue]])</f>
        <v>0.1555747034732195</v>
      </c>
      <c r="L1418" s="5" t="str">
        <f>TEXT(SalesData[[#This Row],[Date]],"mmm")</f>
        <v>Jun</v>
      </c>
      <c r="M1418">
        <f>YEAR(SalesData[[#This Row],[Date]])</f>
        <v>2023</v>
      </c>
      <c r="N1418">
        <f>WEEKNUM(SalesData[[#This Row],[Date]])</f>
        <v>25</v>
      </c>
      <c r="O1418" t="s">
        <v>2322</v>
      </c>
      <c r="P1418" t="s">
        <v>2522</v>
      </c>
      <c r="Q1418" t="s">
        <v>2527</v>
      </c>
    </row>
    <row r="1419" spans="1:17" x14ac:dyDescent="0.35">
      <c r="A1419" t="s">
        <v>1183</v>
      </c>
      <c r="B1419" s="3">
        <v>44944</v>
      </c>
      <c r="C1419" t="s">
        <v>2013</v>
      </c>
      <c r="D1419" t="s">
        <v>2023</v>
      </c>
      <c r="E1419" s="8">
        <v>4438</v>
      </c>
      <c r="F1419">
        <v>5</v>
      </c>
      <c r="G1419">
        <v>15</v>
      </c>
      <c r="H1419" s="8">
        <v>18861.5</v>
      </c>
      <c r="I1419">
        <v>2398.86</v>
      </c>
      <c r="J1419">
        <v>6867.19</v>
      </c>
      <c r="K1419" s="5">
        <f>IF(SalesData[[#This Row],[Total Revenue]]=0,0,SalesData[[#This Row],[Profit]]/SalesData[[#This Row],[Total Revenue]])</f>
        <v>0.36408504095644567</v>
      </c>
      <c r="L1419" s="5" t="str">
        <f>TEXT(SalesData[[#This Row],[Date]],"mmm")</f>
        <v>Jan</v>
      </c>
      <c r="M1419">
        <f>YEAR(SalesData[[#This Row],[Date]])</f>
        <v>2023</v>
      </c>
      <c r="N1419">
        <f>WEEKNUM(SalesData[[#This Row],[Date]])</f>
        <v>3</v>
      </c>
      <c r="O1419" t="s">
        <v>2147</v>
      </c>
      <c r="P1419" t="s">
        <v>2522</v>
      </c>
      <c r="Q1419" t="s">
        <v>2525</v>
      </c>
    </row>
    <row r="1420" spans="1:17" x14ac:dyDescent="0.35">
      <c r="A1420" t="s">
        <v>1354</v>
      </c>
      <c r="B1420" s="3">
        <v>45077</v>
      </c>
      <c r="C1420" t="s">
        <v>2013</v>
      </c>
      <c r="D1420" t="s">
        <v>2023</v>
      </c>
      <c r="E1420" s="8">
        <v>2697</v>
      </c>
      <c r="F1420">
        <v>7</v>
      </c>
      <c r="G1420">
        <v>0</v>
      </c>
      <c r="H1420" s="8">
        <v>18879</v>
      </c>
      <c r="I1420">
        <v>1661.33</v>
      </c>
      <c r="J1420">
        <v>7249.69</v>
      </c>
      <c r="K1420" s="5">
        <f>IF(SalesData[[#This Row],[Total Revenue]]=0,0,SalesData[[#This Row],[Profit]]/SalesData[[#This Row],[Total Revenue]])</f>
        <v>0.38400815721171672</v>
      </c>
      <c r="L1420" s="5" t="str">
        <f>TEXT(SalesData[[#This Row],[Date]],"mmm")</f>
        <v>May</v>
      </c>
      <c r="M1420">
        <f>YEAR(SalesData[[#This Row],[Date]])</f>
        <v>2023</v>
      </c>
      <c r="N1420">
        <f>WEEKNUM(SalesData[[#This Row],[Date]])</f>
        <v>22</v>
      </c>
      <c r="O1420" t="s">
        <v>2500</v>
      </c>
      <c r="P1420" t="s">
        <v>2523</v>
      </c>
      <c r="Q1420" t="s">
        <v>2526</v>
      </c>
    </row>
    <row r="1421" spans="1:17" x14ac:dyDescent="0.35">
      <c r="A1421" t="s">
        <v>978</v>
      </c>
      <c r="B1421" s="3">
        <v>45059</v>
      </c>
      <c r="C1421" t="s">
        <v>2022</v>
      </c>
      <c r="D1421" t="s">
        <v>2024</v>
      </c>
      <c r="E1421" s="8">
        <v>3315</v>
      </c>
      <c r="F1421">
        <v>6</v>
      </c>
      <c r="G1421">
        <v>5</v>
      </c>
      <c r="H1421" s="8">
        <v>18895.5</v>
      </c>
      <c r="I1421">
        <v>1723.81</v>
      </c>
      <c r="J1421">
        <v>8552.67</v>
      </c>
      <c r="K1421" s="5">
        <f>IF(SalesData[[#This Row],[Total Revenue]]=0,0,SalesData[[#This Row],[Profit]]/SalesData[[#This Row],[Total Revenue]])</f>
        <v>0.45262999126776216</v>
      </c>
      <c r="L1421" s="5" t="str">
        <f>TEXT(SalesData[[#This Row],[Date]],"mmm")</f>
        <v>May</v>
      </c>
      <c r="M1421">
        <f>YEAR(SalesData[[#This Row],[Date]])</f>
        <v>2023</v>
      </c>
      <c r="N1421">
        <f>WEEKNUM(SalesData[[#This Row],[Date]])</f>
        <v>19</v>
      </c>
      <c r="O1421" t="s">
        <v>2232</v>
      </c>
      <c r="P1421" t="s">
        <v>2522</v>
      </c>
      <c r="Q1421" t="s">
        <v>2524</v>
      </c>
    </row>
    <row r="1422" spans="1:17" x14ac:dyDescent="0.35">
      <c r="A1422" t="s">
        <v>864</v>
      </c>
      <c r="B1422" s="3">
        <v>44934</v>
      </c>
      <c r="C1422" t="s">
        <v>2018</v>
      </c>
      <c r="D1422" t="s">
        <v>2026</v>
      </c>
      <c r="E1422" s="8">
        <v>4453</v>
      </c>
      <c r="F1422">
        <v>5</v>
      </c>
      <c r="G1422">
        <v>15</v>
      </c>
      <c r="H1422" s="8">
        <v>18925.25</v>
      </c>
      <c r="I1422">
        <v>2626.37</v>
      </c>
      <c r="J1422">
        <v>5793.38</v>
      </c>
      <c r="K1422" s="5">
        <f>IF(SalesData[[#This Row],[Total Revenue]]=0,0,SalesData[[#This Row],[Profit]]/SalesData[[#This Row],[Total Revenue]])</f>
        <v>0.30611907372425728</v>
      </c>
      <c r="L1422" s="5" t="str">
        <f>TEXT(SalesData[[#This Row],[Date]],"mmm")</f>
        <v>Jan</v>
      </c>
      <c r="M1422">
        <f>YEAR(SalesData[[#This Row],[Date]])</f>
        <v>2023</v>
      </c>
      <c r="N1422">
        <f>WEEKNUM(SalesData[[#This Row],[Date]])</f>
        <v>2</v>
      </c>
      <c r="O1422" t="s">
        <v>2052</v>
      </c>
      <c r="P1422" t="s">
        <v>2522</v>
      </c>
      <c r="Q1422" t="s">
        <v>2527</v>
      </c>
    </row>
    <row r="1423" spans="1:17" x14ac:dyDescent="0.35">
      <c r="A1423" t="s">
        <v>1134</v>
      </c>
      <c r="B1423" s="3">
        <v>45270</v>
      </c>
      <c r="C1423" t="s">
        <v>2014</v>
      </c>
      <c r="D1423" t="s">
        <v>2024</v>
      </c>
      <c r="E1423" s="8">
        <v>3717</v>
      </c>
      <c r="F1423">
        <v>6</v>
      </c>
      <c r="G1423">
        <v>15</v>
      </c>
      <c r="H1423" s="8">
        <v>18956.7</v>
      </c>
      <c r="I1423">
        <v>2422.6999999999998</v>
      </c>
      <c r="J1423">
        <v>4420.5</v>
      </c>
      <c r="K1423" s="5">
        <f>IF(SalesData[[#This Row],[Total Revenue]]=0,0,SalesData[[#This Row],[Profit]]/SalesData[[#This Row],[Total Revenue]])</f>
        <v>0.23318932092611055</v>
      </c>
      <c r="L1423" s="5" t="str">
        <f>TEXT(SalesData[[#This Row],[Date]],"mmm")</f>
        <v>Dec</v>
      </c>
      <c r="M1423">
        <f>YEAR(SalesData[[#This Row],[Date]])</f>
        <v>2023</v>
      </c>
      <c r="N1423">
        <f>WEEKNUM(SalesData[[#This Row],[Date]])</f>
        <v>50</v>
      </c>
      <c r="O1423" t="s">
        <v>2203</v>
      </c>
      <c r="P1423" t="s">
        <v>2522</v>
      </c>
      <c r="Q1423" t="s">
        <v>2526</v>
      </c>
    </row>
    <row r="1424" spans="1:17" x14ac:dyDescent="0.35">
      <c r="A1424" t="s">
        <v>672</v>
      </c>
      <c r="B1424" s="3">
        <v>44930</v>
      </c>
      <c r="C1424" t="s">
        <v>2013</v>
      </c>
      <c r="D1424" t="s">
        <v>2023</v>
      </c>
      <c r="E1424" s="8">
        <v>2501</v>
      </c>
      <c r="F1424">
        <v>8</v>
      </c>
      <c r="G1424">
        <v>5</v>
      </c>
      <c r="H1424" s="8">
        <v>19007.599999999999</v>
      </c>
      <c r="I1424">
        <v>1383.58</v>
      </c>
      <c r="J1424">
        <v>7938.96</v>
      </c>
      <c r="K1424" s="5">
        <f>IF(SalesData[[#This Row],[Total Revenue]]=0,0,SalesData[[#This Row],[Profit]]/SalesData[[#This Row],[Total Revenue]])</f>
        <v>0.41767293082766899</v>
      </c>
      <c r="L1424" s="5" t="str">
        <f>TEXT(SalesData[[#This Row],[Date]],"mmm")</f>
        <v>Jan</v>
      </c>
      <c r="M1424">
        <f>YEAR(SalesData[[#This Row],[Date]])</f>
        <v>2023</v>
      </c>
      <c r="N1424">
        <f>WEEKNUM(SalesData[[#This Row],[Date]])</f>
        <v>1</v>
      </c>
      <c r="O1424" t="s">
        <v>2347</v>
      </c>
      <c r="P1424" t="s">
        <v>2523</v>
      </c>
      <c r="Q1424" t="s">
        <v>2524</v>
      </c>
    </row>
    <row r="1425" spans="1:17" x14ac:dyDescent="0.35">
      <c r="A1425" t="s">
        <v>718</v>
      </c>
      <c r="B1425" s="3">
        <v>45036</v>
      </c>
      <c r="C1425" t="s">
        <v>2019</v>
      </c>
      <c r="D1425" t="s">
        <v>2027</v>
      </c>
      <c r="E1425" s="8">
        <v>2487</v>
      </c>
      <c r="F1425">
        <v>9</v>
      </c>
      <c r="G1425">
        <v>15</v>
      </c>
      <c r="H1425" s="8">
        <v>19025.55</v>
      </c>
      <c r="I1425">
        <v>1981.14</v>
      </c>
      <c r="J1425">
        <v>1195.33</v>
      </c>
      <c r="K1425" s="5">
        <f>IF(SalesData[[#This Row],[Total Revenue]]=0,0,SalesData[[#This Row],[Profit]]/SalesData[[#This Row],[Total Revenue]])</f>
        <v>6.2827618649657954E-2</v>
      </c>
      <c r="L1425" s="5" t="str">
        <f>TEXT(SalesData[[#This Row],[Date]],"mmm")</f>
        <v>Apr</v>
      </c>
      <c r="M1425">
        <f>YEAR(SalesData[[#This Row],[Date]])</f>
        <v>2023</v>
      </c>
      <c r="N1425">
        <f>WEEKNUM(SalesData[[#This Row],[Date]])</f>
        <v>16</v>
      </c>
      <c r="O1425" t="s">
        <v>2405</v>
      </c>
      <c r="P1425" t="s">
        <v>2522</v>
      </c>
      <c r="Q1425" t="s">
        <v>2524</v>
      </c>
    </row>
    <row r="1426" spans="1:17" x14ac:dyDescent="0.35">
      <c r="A1426" t="s">
        <v>1949</v>
      </c>
      <c r="B1426" s="3">
        <v>45196</v>
      </c>
      <c r="C1426" t="s">
        <v>2021</v>
      </c>
      <c r="D1426" t="s">
        <v>2028</v>
      </c>
      <c r="E1426" s="8">
        <v>2648</v>
      </c>
      <c r="F1426">
        <v>8</v>
      </c>
      <c r="G1426">
        <v>10</v>
      </c>
      <c r="H1426" s="8">
        <v>19065.599999999999</v>
      </c>
      <c r="I1426">
        <v>1504.99</v>
      </c>
      <c r="J1426">
        <v>7025.7</v>
      </c>
      <c r="K1426" s="5">
        <f>IF(SalesData[[#This Row],[Total Revenue]]=0,0,SalesData[[#This Row],[Profit]]/SalesData[[#This Row],[Total Revenue]])</f>
        <v>0.36850138469284999</v>
      </c>
      <c r="L1426" s="5" t="str">
        <f>TEXT(SalesData[[#This Row],[Date]],"mmm")</f>
        <v>Sep</v>
      </c>
      <c r="M1426">
        <f>YEAR(SalesData[[#This Row],[Date]])</f>
        <v>2023</v>
      </c>
      <c r="N1426">
        <f>WEEKNUM(SalesData[[#This Row],[Date]])</f>
        <v>39</v>
      </c>
      <c r="O1426" t="s">
        <v>2314</v>
      </c>
      <c r="P1426" t="s">
        <v>2522</v>
      </c>
      <c r="Q1426" t="s">
        <v>2525</v>
      </c>
    </row>
    <row r="1427" spans="1:17" x14ac:dyDescent="0.35">
      <c r="A1427" t="s">
        <v>1534</v>
      </c>
      <c r="B1427" s="3">
        <v>45238</v>
      </c>
      <c r="C1427" t="s">
        <v>2014</v>
      </c>
      <c r="D1427" t="s">
        <v>2024</v>
      </c>
      <c r="E1427" s="8">
        <v>2384</v>
      </c>
      <c r="F1427">
        <v>8</v>
      </c>
      <c r="G1427">
        <v>0</v>
      </c>
      <c r="H1427" s="8">
        <v>19072</v>
      </c>
      <c r="I1427">
        <v>1383.15</v>
      </c>
      <c r="J1427">
        <v>8006.77</v>
      </c>
      <c r="K1427" s="5">
        <f>IF(SalesData[[#This Row],[Total Revenue]]=0,0,SalesData[[#This Row],[Profit]]/SalesData[[#This Row],[Total Revenue]])</f>
        <v>0.41981805788590604</v>
      </c>
      <c r="L1427" s="5" t="str">
        <f>TEXT(SalesData[[#This Row],[Date]],"mmm")</f>
        <v>Nov</v>
      </c>
      <c r="M1427">
        <f>YEAR(SalesData[[#This Row],[Date]])</f>
        <v>2023</v>
      </c>
      <c r="N1427">
        <f>WEEKNUM(SalesData[[#This Row],[Date]])</f>
        <v>45</v>
      </c>
      <c r="O1427" t="s">
        <v>2169</v>
      </c>
      <c r="P1427" t="s">
        <v>2522</v>
      </c>
      <c r="Q1427" t="s">
        <v>2525</v>
      </c>
    </row>
    <row r="1428" spans="1:17" x14ac:dyDescent="0.35">
      <c r="A1428" t="s">
        <v>1053</v>
      </c>
      <c r="B1428" s="3">
        <v>45248</v>
      </c>
      <c r="C1428" t="s">
        <v>2015</v>
      </c>
      <c r="D1428" t="s">
        <v>2025</v>
      </c>
      <c r="E1428" s="8">
        <v>2652</v>
      </c>
      <c r="F1428">
        <v>8</v>
      </c>
      <c r="G1428">
        <v>10</v>
      </c>
      <c r="H1428" s="8">
        <v>19094.400000000001</v>
      </c>
      <c r="I1428">
        <v>1418</v>
      </c>
      <c r="J1428">
        <v>7750.36</v>
      </c>
      <c r="K1428" s="5">
        <f>IF(SalesData[[#This Row],[Total Revenue]]=0,0,SalesData[[#This Row],[Profit]]/SalesData[[#This Row],[Total Revenue]])</f>
        <v>0.40589701692642866</v>
      </c>
      <c r="L1428" s="5" t="str">
        <f>TEXT(SalesData[[#This Row],[Date]],"mmm")</f>
        <v>Nov</v>
      </c>
      <c r="M1428">
        <f>YEAR(SalesData[[#This Row],[Date]])</f>
        <v>2023</v>
      </c>
      <c r="N1428">
        <f>WEEKNUM(SalesData[[#This Row],[Date]])</f>
        <v>46</v>
      </c>
      <c r="O1428" t="s">
        <v>2320</v>
      </c>
      <c r="P1428" t="s">
        <v>2523</v>
      </c>
      <c r="Q1428" t="s">
        <v>2525</v>
      </c>
    </row>
    <row r="1429" spans="1:17" x14ac:dyDescent="0.35">
      <c r="A1429" t="s">
        <v>645</v>
      </c>
      <c r="B1429" s="3">
        <v>44935</v>
      </c>
      <c r="C1429" t="s">
        <v>2019</v>
      </c>
      <c r="D1429" t="s">
        <v>2027</v>
      </c>
      <c r="E1429" s="8">
        <v>2728</v>
      </c>
      <c r="F1429">
        <v>7</v>
      </c>
      <c r="G1429">
        <v>0</v>
      </c>
      <c r="H1429" s="8">
        <v>19096</v>
      </c>
      <c r="I1429">
        <v>2036.73</v>
      </c>
      <c r="J1429">
        <v>4838.8599999999997</v>
      </c>
      <c r="K1429" s="5">
        <f>IF(SalesData[[#This Row],[Total Revenue]]=0,0,SalesData[[#This Row],[Profit]]/SalesData[[#This Row],[Total Revenue]])</f>
        <v>0.2533965228320067</v>
      </c>
      <c r="L1429" s="5" t="str">
        <f>TEXT(SalesData[[#This Row],[Date]],"mmm")</f>
        <v>Jan</v>
      </c>
      <c r="M1429">
        <f>YEAR(SalesData[[#This Row],[Date]])</f>
        <v>2023</v>
      </c>
      <c r="N1429">
        <f>WEEKNUM(SalesData[[#This Row],[Date]])</f>
        <v>2</v>
      </c>
      <c r="O1429" t="s">
        <v>2058</v>
      </c>
      <c r="P1429" t="s">
        <v>2522</v>
      </c>
      <c r="Q1429" t="s">
        <v>2524</v>
      </c>
    </row>
    <row r="1430" spans="1:17" x14ac:dyDescent="0.35">
      <c r="A1430" t="s">
        <v>1255</v>
      </c>
      <c r="B1430" s="3">
        <v>45222</v>
      </c>
      <c r="C1430" t="s">
        <v>2018</v>
      </c>
      <c r="D1430" t="s">
        <v>2026</v>
      </c>
      <c r="E1430" s="8">
        <v>3838</v>
      </c>
      <c r="F1430">
        <v>5</v>
      </c>
      <c r="G1430">
        <v>0</v>
      </c>
      <c r="H1430" s="8">
        <v>19190</v>
      </c>
      <c r="I1430">
        <v>2283.35</v>
      </c>
      <c r="J1430">
        <v>7773.23</v>
      </c>
      <c r="K1430" s="5">
        <f>IF(SalesData[[#This Row],[Total Revenue]]=0,0,SalesData[[#This Row],[Profit]]/SalesData[[#This Row],[Total Revenue]])</f>
        <v>0.40506670140698275</v>
      </c>
      <c r="L1430" s="5" t="str">
        <f>TEXT(SalesData[[#This Row],[Date]],"mmm")</f>
        <v>Oct</v>
      </c>
      <c r="M1430">
        <f>YEAR(SalesData[[#This Row],[Date]])</f>
        <v>2023</v>
      </c>
      <c r="N1430">
        <f>WEEKNUM(SalesData[[#This Row],[Date]])</f>
        <v>43</v>
      </c>
      <c r="O1430" t="s">
        <v>2448</v>
      </c>
      <c r="P1430" t="s">
        <v>2522</v>
      </c>
      <c r="Q1430" t="s">
        <v>2527</v>
      </c>
    </row>
    <row r="1431" spans="1:17" x14ac:dyDescent="0.35">
      <c r="A1431" t="s">
        <v>1481</v>
      </c>
      <c r="B1431" s="3">
        <v>45235</v>
      </c>
      <c r="C1431" t="s">
        <v>2018</v>
      </c>
      <c r="D1431" t="s">
        <v>2026</v>
      </c>
      <c r="E1431" s="8">
        <v>3229</v>
      </c>
      <c r="F1431">
        <v>7</v>
      </c>
      <c r="G1431">
        <v>15</v>
      </c>
      <c r="H1431" s="8">
        <v>19212.55</v>
      </c>
      <c r="I1431">
        <v>2162.65</v>
      </c>
      <c r="J1431">
        <v>4074.01</v>
      </c>
      <c r="K1431" s="5">
        <f>IF(SalesData[[#This Row],[Total Revenue]]=0,0,SalesData[[#This Row],[Profit]]/SalesData[[#This Row],[Total Revenue]])</f>
        <v>0.21204941561635496</v>
      </c>
      <c r="L1431" s="5" t="str">
        <f>TEXT(SalesData[[#This Row],[Date]],"mmm")</f>
        <v>Nov</v>
      </c>
      <c r="M1431">
        <f>YEAR(SalesData[[#This Row],[Date]])</f>
        <v>2023</v>
      </c>
      <c r="N1431">
        <f>WEEKNUM(SalesData[[#This Row],[Date]])</f>
        <v>45</v>
      </c>
      <c r="O1431" t="s">
        <v>2426</v>
      </c>
      <c r="P1431" t="s">
        <v>2522</v>
      </c>
      <c r="Q1431" t="s">
        <v>2525</v>
      </c>
    </row>
    <row r="1432" spans="1:17" x14ac:dyDescent="0.35">
      <c r="A1432" t="s">
        <v>929</v>
      </c>
      <c r="B1432" s="3">
        <v>45233</v>
      </c>
      <c r="C1432" t="s">
        <v>2020</v>
      </c>
      <c r="D1432" t="s">
        <v>2028</v>
      </c>
      <c r="E1432" s="8">
        <v>3570</v>
      </c>
      <c r="F1432">
        <v>6</v>
      </c>
      <c r="G1432">
        <v>10</v>
      </c>
      <c r="H1432" s="8">
        <v>19278</v>
      </c>
      <c r="I1432">
        <v>2277.69</v>
      </c>
      <c r="J1432">
        <v>5611.87</v>
      </c>
      <c r="K1432" s="5">
        <f>IF(SalesData[[#This Row],[Total Revenue]]=0,0,SalesData[[#This Row],[Profit]]/SalesData[[#This Row],[Total Revenue]])</f>
        <v>0.29110229276895944</v>
      </c>
      <c r="L1432" s="5" t="str">
        <f>TEXT(SalesData[[#This Row],[Date]],"mmm")</f>
        <v>Nov</v>
      </c>
      <c r="M1432">
        <f>YEAR(SalesData[[#This Row],[Date]])</f>
        <v>2023</v>
      </c>
      <c r="N1432">
        <f>WEEKNUM(SalesData[[#This Row],[Date]])</f>
        <v>44</v>
      </c>
      <c r="O1432" t="s">
        <v>2218</v>
      </c>
      <c r="P1432" t="s">
        <v>2523</v>
      </c>
      <c r="Q1432" t="s">
        <v>2525</v>
      </c>
    </row>
    <row r="1433" spans="1:17" x14ac:dyDescent="0.35">
      <c r="A1433" t="s">
        <v>1313</v>
      </c>
      <c r="B1433" s="3">
        <v>44996</v>
      </c>
      <c r="C1433" t="s">
        <v>2016</v>
      </c>
      <c r="D1433" t="s">
        <v>2025</v>
      </c>
      <c r="E1433" s="8">
        <v>3240</v>
      </c>
      <c r="F1433">
        <v>7</v>
      </c>
      <c r="G1433">
        <v>15</v>
      </c>
      <c r="H1433" s="8">
        <v>19278</v>
      </c>
      <c r="I1433">
        <v>2455.7800000000002</v>
      </c>
      <c r="J1433">
        <v>2087.56</v>
      </c>
      <c r="K1433" s="5">
        <f>IF(SalesData[[#This Row],[Total Revenue]]=0,0,SalesData[[#This Row],[Profit]]/SalesData[[#This Row],[Total Revenue]])</f>
        <v>0.10828716671853926</v>
      </c>
      <c r="L1433" s="5" t="str">
        <f>TEXT(SalesData[[#This Row],[Date]],"mmm")</f>
        <v>Mar</v>
      </c>
      <c r="M1433">
        <f>YEAR(SalesData[[#This Row],[Date]])</f>
        <v>2023</v>
      </c>
      <c r="N1433">
        <f>WEEKNUM(SalesData[[#This Row],[Date]])</f>
        <v>10</v>
      </c>
      <c r="O1433" t="s">
        <v>2484</v>
      </c>
      <c r="P1433" t="s">
        <v>2523</v>
      </c>
      <c r="Q1433" t="s">
        <v>2527</v>
      </c>
    </row>
    <row r="1434" spans="1:17" x14ac:dyDescent="0.35">
      <c r="A1434" t="s">
        <v>961</v>
      </c>
      <c r="B1434" s="3">
        <v>45263</v>
      </c>
      <c r="C1434" t="s">
        <v>2016</v>
      </c>
      <c r="D1434" t="s">
        <v>2025</v>
      </c>
      <c r="E1434" s="8">
        <v>3783</v>
      </c>
      <c r="F1434">
        <v>6</v>
      </c>
      <c r="G1434">
        <v>15</v>
      </c>
      <c r="H1434" s="8">
        <v>19293.3</v>
      </c>
      <c r="I1434">
        <v>1909.28</v>
      </c>
      <c r="J1434">
        <v>7837.59</v>
      </c>
      <c r="K1434" s="5">
        <f>IF(SalesData[[#This Row],[Total Revenue]]=0,0,SalesData[[#This Row],[Profit]]/SalesData[[#This Row],[Total Revenue]])</f>
        <v>0.40623377027258167</v>
      </c>
      <c r="L1434" s="5" t="str">
        <f>TEXT(SalesData[[#This Row],[Date]],"mmm")</f>
        <v>Dec</v>
      </c>
      <c r="M1434">
        <f>YEAR(SalesData[[#This Row],[Date]])</f>
        <v>2023</v>
      </c>
      <c r="N1434">
        <f>WEEKNUM(SalesData[[#This Row],[Date]])</f>
        <v>49</v>
      </c>
      <c r="O1434" t="s">
        <v>2385</v>
      </c>
      <c r="P1434" t="s">
        <v>2523</v>
      </c>
      <c r="Q1434" t="s">
        <v>2526</v>
      </c>
    </row>
    <row r="1435" spans="1:17" x14ac:dyDescent="0.35">
      <c r="A1435" t="s">
        <v>1553</v>
      </c>
      <c r="B1435" s="3">
        <v>45036</v>
      </c>
      <c r="C1435" t="s">
        <v>2018</v>
      </c>
      <c r="D1435" t="s">
        <v>2026</v>
      </c>
      <c r="E1435" s="8">
        <v>3063</v>
      </c>
      <c r="F1435">
        <v>7</v>
      </c>
      <c r="G1435">
        <v>10</v>
      </c>
      <c r="H1435" s="8">
        <v>19296.900000000001</v>
      </c>
      <c r="I1435">
        <v>1960.17</v>
      </c>
      <c r="J1435">
        <v>5575.69</v>
      </c>
      <c r="K1435" s="5">
        <f>IF(SalesData[[#This Row],[Total Revenue]]=0,0,SalesData[[#This Row],[Profit]]/SalesData[[#This Row],[Total Revenue]])</f>
        <v>0.28894226533795581</v>
      </c>
      <c r="L1435" s="5" t="str">
        <f>TEXT(SalesData[[#This Row],[Date]],"mmm")</f>
        <v>Apr</v>
      </c>
      <c r="M1435">
        <f>YEAR(SalesData[[#This Row],[Date]])</f>
        <v>2023</v>
      </c>
      <c r="N1435">
        <f>WEEKNUM(SalesData[[#This Row],[Date]])</f>
        <v>16</v>
      </c>
      <c r="O1435" t="s">
        <v>2115</v>
      </c>
      <c r="P1435" t="s">
        <v>2523</v>
      </c>
      <c r="Q1435" t="s">
        <v>2524</v>
      </c>
    </row>
    <row r="1436" spans="1:17" x14ac:dyDescent="0.35">
      <c r="A1436" t="s">
        <v>801</v>
      </c>
      <c r="B1436" s="3">
        <v>45267</v>
      </c>
      <c r="C1436" t="s">
        <v>2013</v>
      </c>
      <c r="D1436" t="s">
        <v>2023</v>
      </c>
      <c r="E1436" s="8">
        <v>3249</v>
      </c>
      <c r="F1436">
        <v>7</v>
      </c>
      <c r="G1436">
        <v>15</v>
      </c>
      <c r="H1436" s="8">
        <v>19331.55</v>
      </c>
      <c r="I1436">
        <v>1922.53</v>
      </c>
      <c r="J1436">
        <v>5873.86</v>
      </c>
      <c r="K1436" s="5">
        <f>IF(SalesData[[#This Row],[Total Revenue]]=0,0,SalesData[[#This Row],[Profit]]/SalesData[[#This Row],[Total Revenue]])</f>
        <v>0.30384837222054101</v>
      </c>
      <c r="L1436" s="5" t="str">
        <f>TEXT(SalesData[[#This Row],[Date]],"mmm")</f>
        <v>Dec</v>
      </c>
      <c r="M1436">
        <f>YEAR(SalesData[[#This Row],[Date]])</f>
        <v>2023</v>
      </c>
      <c r="N1436">
        <f>WEEKNUM(SalesData[[#This Row],[Date]])</f>
        <v>49</v>
      </c>
      <c r="O1436" t="s">
        <v>2034</v>
      </c>
      <c r="P1436" t="s">
        <v>2523</v>
      </c>
      <c r="Q1436" t="s">
        <v>2525</v>
      </c>
    </row>
    <row r="1437" spans="1:17" x14ac:dyDescent="0.35">
      <c r="A1437" t="s">
        <v>634</v>
      </c>
      <c r="B1437" s="3">
        <v>45179</v>
      </c>
      <c r="C1437" t="s">
        <v>2022</v>
      </c>
      <c r="D1437" t="s">
        <v>2024</v>
      </c>
      <c r="E1437" s="8">
        <v>3393</v>
      </c>
      <c r="F1437">
        <v>6</v>
      </c>
      <c r="G1437">
        <v>5</v>
      </c>
      <c r="H1437" s="8">
        <v>19340.099999999999</v>
      </c>
      <c r="I1437">
        <v>2277.62</v>
      </c>
      <c r="J1437">
        <v>5674.39</v>
      </c>
      <c r="K1437" s="5">
        <f>IF(SalesData[[#This Row],[Total Revenue]]=0,0,SalesData[[#This Row],[Profit]]/SalesData[[#This Row],[Total Revenue]])</f>
        <v>0.29340024095015027</v>
      </c>
      <c r="L1437" s="5" t="str">
        <f>TEXT(SalesData[[#This Row],[Date]],"mmm")</f>
        <v>Sep</v>
      </c>
      <c r="M1437">
        <f>YEAR(SalesData[[#This Row],[Date]])</f>
        <v>2023</v>
      </c>
      <c r="N1437">
        <f>WEEKNUM(SalesData[[#This Row],[Date]])</f>
        <v>37</v>
      </c>
      <c r="O1437" t="s">
        <v>2385</v>
      </c>
      <c r="P1437" t="s">
        <v>2523</v>
      </c>
      <c r="Q1437" t="s">
        <v>2525</v>
      </c>
    </row>
    <row r="1438" spans="1:17" x14ac:dyDescent="0.35">
      <c r="A1438" t="s">
        <v>1370</v>
      </c>
      <c r="B1438" s="3">
        <v>45005</v>
      </c>
      <c r="C1438" t="s">
        <v>2015</v>
      </c>
      <c r="D1438" t="s">
        <v>2025</v>
      </c>
      <c r="E1438" s="8">
        <v>2546</v>
      </c>
      <c r="F1438">
        <v>8</v>
      </c>
      <c r="G1438">
        <v>5</v>
      </c>
      <c r="H1438" s="8">
        <v>19349.599999999999</v>
      </c>
      <c r="I1438">
        <v>1764.41</v>
      </c>
      <c r="J1438">
        <v>5234.3500000000004</v>
      </c>
      <c r="K1438" s="5">
        <f>IF(SalesData[[#This Row],[Total Revenue]]=0,0,SalesData[[#This Row],[Profit]]/SalesData[[#This Row],[Total Revenue]])</f>
        <v>0.27051463596146696</v>
      </c>
      <c r="L1438" s="5" t="str">
        <f>TEXT(SalesData[[#This Row],[Date]],"mmm")</f>
        <v>Mar</v>
      </c>
      <c r="M1438">
        <f>YEAR(SalesData[[#This Row],[Date]])</f>
        <v>2023</v>
      </c>
      <c r="N1438">
        <f>WEEKNUM(SalesData[[#This Row],[Date]])</f>
        <v>12</v>
      </c>
      <c r="O1438" t="s">
        <v>2368</v>
      </c>
      <c r="P1438" t="s">
        <v>2522</v>
      </c>
      <c r="Q1438" t="s">
        <v>2525</v>
      </c>
    </row>
    <row r="1439" spans="1:17" x14ac:dyDescent="0.35">
      <c r="A1439" t="s">
        <v>245</v>
      </c>
      <c r="B1439" s="3">
        <v>45090</v>
      </c>
      <c r="C1439" t="s">
        <v>2020</v>
      </c>
      <c r="D1439" t="s">
        <v>2028</v>
      </c>
      <c r="E1439" s="8">
        <v>1935</v>
      </c>
      <c r="F1439">
        <v>10</v>
      </c>
      <c r="G1439">
        <v>0</v>
      </c>
      <c r="H1439" s="8">
        <v>19350</v>
      </c>
      <c r="I1439">
        <v>1229.95</v>
      </c>
      <c r="J1439">
        <v>7050.54</v>
      </c>
      <c r="K1439" s="5">
        <f>IF(SalesData[[#This Row],[Total Revenue]]=0,0,SalesData[[#This Row],[Profit]]/SalesData[[#This Row],[Total Revenue]])</f>
        <v>0.36436899224806202</v>
      </c>
      <c r="L1439" s="5" t="str">
        <f>TEXT(SalesData[[#This Row],[Date]],"mmm")</f>
        <v>Jun</v>
      </c>
      <c r="M1439">
        <f>YEAR(SalesData[[#This Row],[Date]])</f>
        <v>2023</v>
      </c>
      <c r="N1439">
        <f>WEEKNUM(SalesData[[#This Row],[Date]])</f>
        <v>24</v>
      </c>
      <c r="O1439" t="s">
        <v>2215</v>
      </c>
      <c r="P1439" t="s">
        <v>2522</v>
      </c>
      <c r="Q1439" t="s">
        <v>2525</v>
      </c>
    </row>
    <row r="1440" spans="1:17" x14ac:dyDescent="0.35">
      <c r="A1440" t="s">
        <v>19</v>
      </c>
      <c r="B1440" s="3">
        <v>45019</v>
      </c>
      <c r="C1440" t="s">
        <v>2018</v>
      </c>
      <c r="D1440" t="s">
        <v>2026</v>
      </c>
      <c r="E1440" s="8">
        <v>4838</v>
      </c>
      <c r="F1440">
        <v>4</v>
      </c>
      <c r="G1440">
        <v>0</v>
      </c>
      <c r="H1440" s="8">
        <v>19352</v>
      </c>
      <c r="I1440">
        <v>3136.35</v>
      </c>
      <c r="J1440">
        <v>6806.59</v>
      </c>
      <c r="K1440" s="5">
        <f>IF(SalesData[[#This Row],[Total Revenue]]=0,0,SalesData[[#This Row],[Profit]]/SalesData[[#This Row],[Total Revenue]])</f>
        <v>0.35172540305911537</v>
      </c>
      <c r="L1440" s="5" t="str">
        <f>TEXT(SalesData[[#This Row],[Date]],"mmm")</f>
        <v>Apr</v>
      </c>
      <c r="M1440">
        <f>YEAR(SalesData[[#This Row],[Date]])</f>
        <v>2023</v>
      </c>
      <c r="N1440">
        <f>WEEKNUM(SalesData[[#This Row],[Date]])</f>
        <v>14</v>
      </c>
      <c r="O1440" t="s">
        <v>2035</v>
      </c>
      <c r="P1440" t="s">
        <v>2522</v>
      </c>
      <c r="Q1440" t="s">
        <v>2525</v>
      </c>
    </row>
    <row r="1441" spans="1:17" x14ac:dyDescent="0.35">
      <c r="A1441" t="s">
        <v>812</v>
      </c>
      <c r="B1441" s="3">
        <v>45011</v>
      </c>
      <c r="C1441" t="s">
        <v>2018</v>
      </c>
      <c r="D1441" t="s">
        <v>2026</v>
      </c>
      <c r="E1441" s="8">
        <v>3239</v>
      </c>
      <c r="F1441">
        <v>6</v>
      </c>
      <c r="G1441">
        <v>0</v>
      </c>
      <c r="H1441" s="8">
        <v>19434</v>
      </c>
      <c r="I1441">
        <v>1887.31</v>
      </c>
      <c r="J1441">
        <v>8110.12</v>
      </c>
      <c r="K1441" s="5">
        <f>IF(SalesData[[#This Row],[Total Revenue]]=0,0,SalesData[[#This Row],[Profit]]/SalesData[[#This Row],[Total Revenue]])</f>
        <v>0.4173160440465164</v>
      </c>
      <c r="L1441" s="5" t="str">
        <f>TEXT(SalesData[[#This Row],[Date]],"mmm")</f>
        <v>Mar</v>
      </c>
      <c r="M1441">
        <f>YEAR(SalesData[[#This Row],[Date]])</f>
        <v>2023</v>
      </c>
      <c r="N1441">
        <f>WEEKNUM(SalesData[[#This Row],[Date]])</f>
        <v>13</v>
      </c>
      <c r="O1441" t="s">
        <v>2387</v>
      </c>
      <c r="P1441" t="s">
        <v>2523</v>
      </c>
      <c r="Q1441" t="s">
        <v>2527</v>
      </c>
    </row>
    <row r="1442" spans="1:17" x14ac:dyDescent="0.35">
      <c r="A1442" t="s">
        <v>1181</v>
      </c>
      <c r="B1442" s="3">
        <v>45075</v>
      </c>
      <c r="C1442" t="s">
        <v>2014</v>
      </c>
      <c r="D1442" t="s">
        <v>2024</v>
      </c>
      <c r="E1442" s="8">
        <v>2287</v>
      </c>
      <c r="F1442">
        <v>10</v>
      </c>
      <c r="G1442">
        <v>15</v>
      </c>
      <c r="H1442" s="8">
        <v>19439.5</v>
      </c>
      <c r="I1442">
        <v>1537.59</v>
      </c>
      <c r="J1442">
        <v>4063.65</v>
      </c>
      <c r="K1442" s="5">
        <f>IF(SalesData[[#This Row],[Total Revenue]]=0,0,SalesData[[#This Row],[Profit]]/SalesData[[#This Row],[Total Revenue]])</f>
        <v>0.20904087039275701</v>
      </c>
      <c r="L1442" s="5" t="str">
        <f>TEXT(SalesData[[#This Row],[Date]],"mmm")</f>
        <v>May</v>
      </c>
      <c r="M1442">
        <f>YEAR(SalesData[[#This Row],[Date]])</f>
        <v>2023</v>
      </c>
      <c r="N1442">
        <f>WEEKNUM(SalesData[[#This Row],[Date]])</f>
        <v>22</v>
      </c>
      <c r="O1442" t="s">
        <v>2308</v>
      </c>
      <c r="P1442" t="s">
        <v>2522</v>
      </c>
      <c r="Q1442" t="s">
        <v>2526</v>
      </c>
    </row>
    <row r="1443" spans="1:17" x14ac:dyDescent="0.35">
      <c r="A1443" t="s">
        <v>567</v>
      </c>
      <c r="B1443" s="3">
        <v>45181</v>
      </c>
      <c r="C1443" t="s">
        <v>2021</v>
      </c>
      <c r="D1443" t="s">
        <v>2028</v>
      </c>
      <c r="E1443" s="8">
        <v>1944</v>
      </c>
      <c r="F1443">
        <v>10</v>
      </c>
      <c r="G1443">
        <v>0</v>
      </c>
      <c r="H1443" s="8">
        <v>19440</v>
      </c>
      <c r="I1443">
        <v>1447.89</v>
      </c>
      <c r="J1443">
        <v>4961.08</v>
      </c>
      <c r="K1443" s="5">
        <f>IF(SalesData[[#This Row],[Total Revenue]]=0,0,SalesData[[#This Row],[Profit]]/SalesData[[#This Row],[Total Revenue]])</f>
        <v>0.25519958847736623</v>
      </c>
      <c r="L1443" s="5" t="str">
        <f>TEXT(SalesData[[#This Row],[Date]],"mmm")</f>
        <v>Sep</v>
      </c>
      <c r="M1443">
        <f>YEAR(SalesData[[#This Row],[Date]])</f>
        <v>2023</v>
      </c>
      <c r="N1443">
        <f>WEEKNUM(SalesData[[#This Row],[Date]])</f>
        <v>37</v>
      </c>
      <c r="O1443" t="s">
        <v>2210</v>
      </c>
      <c r="P1443" t="s">
        <v>2522</v>
      </c>
      <c r="Q1443" t="s">
        <v>2525</v>
      </c>
    </row>
    <row r="1444" spans="1:17" x14ac:dyDescent="0.35">
      <c r="A1444" t="s">
        <v>1455</v>
      </c>
      <c r="B1444" s="3">
        <v>45259</v>
      </c>
      <c r="C1444" t="s">
        <v>2018</v>
      </c>
      <c r="D1444" t="s">
        <v>2026</v>
      </c>
      <c r="E1444" s="8">
        <v>4094</v>
      </c>
      <c r="F1444">
        <v>5</v>
      </c>
      <c r="G1444">
        <v>5</v>
      </c>
      <c r="H1444" s="8">
        <v>19446.5</v>
      </c>
      <c r="I1444">
        <v>3079.12</v>
      </c>
      <c r="J1444">
        <v>4050.89</v>
      </c>
      <c r="K1444" s="5">
        <f>IF(SalesData[[#This Row],[Total Revenue]]=0,0,SalesData[[#This Row],[Profit]]/SalesData[[#This Row],[Total Revenue]])</f>
        <v>0.20830946442804618</v>
      </c>
      <c r="L1444" s="5" t="str">
        <f>TEXT(SalesData[[#This Row],[Date]],"mmm")</f>
        <v>Nov</v>
      </c>
      <c r="M1444">
        <f>YEAR(SalesData[[#This Row],[Date]])</f>
        <v>2023</v>
      </c>
      <c r="N1444">
        <f>WEEKNUM(SalesData[[#This Row],[Date]])</f>
        <v>48</v>
      </c>
      <c r="O1444" t="s">
        <v>2463</v>
      </c>
      <c r="P1444" t="s">
        <v>2522</v>
      </c>
      <c r="Q1444" t="s">
        <v>2525</v>
      </c>
    </row>
    <row r="1445" spans="1:17" x14ac:dyDescent="0.35">
      <c r="A1445" t="s">
        <v>1815</v>
      </c>
      <c r="B1445" s="3">
        <v>45048</v>
      </c>
      <c r="C1445" t="s">
        <v>2015</v>
      </c>
      <c r="D1445" t="s">
        <v>2025</v>
      </c>
      <c r="E1445" s="8">
        <v>2559</v>
      </c>
      <c r="F1445">
        <v>8</v>
      </c>
      <c r="G1445">
        <v>5</v>
      </c>
      <c r="H1445" s="8">
        <v>19448.400000000001</v>
      </c>
      <c r="I1445">
        <v>1725.17</v>
      </c>
      <c r="J1445">
        <v>5647.04</v>
      </c>
      <c r="K1445" s="5">
        <f>IF(SalesData[[#This Row],[Total Revenue]]=0,0,SalesData[[#This Row],[Profit]]/SalesData[[#This Row],[Total Revenue]])</f>
        <v>0.29036013245305525</v>
      </c>
      <c r="L1445" s="5" t="str">
        <f>TEXT(SalesData[[#This Row],[Date]],"mmm")</f>
        <v>May</v>
      </c>
      <c r="M1445">
        <f>YEAR(SalesData[[#This Row],[Date]])</f>
        <v>2023</v>
      </c>
      <c r="N1445">
        <f>WEEKNUM(SalesData[[#This Row],[Date]])</f>
        <v>18</v>
      </c>
      <c r="O1445" t="s">
        <v>2081</v>
      </c>
      <c r="P1445" t="s">
        <v>2523</v>
      </c>
      <c r="Q1445" t="s">
        <v>2525</v>
      </c>
    </row>
    <row r="1446" spans="1:17" x14ac:dyDescent="0.35">
      <c r="A1446" t="s">
        <v>1538</v>
      </c>
      <c r="B1446" s="3">
        <v>45035</v>
      </c>
      <c r="C1446" t="s">
        <v>2017</v>
      </c>
      <c r="D1446" t="s">
        <v>2026</v>
      </c>
      <c r="E1446" s="8">
        <v>3088</v>
      </c>
      <c r="F1446">
        <v>7</v>
      </c>
      <c r="G1446">
        <v>10</v>
      </c>
      <c r="H1446" s="8">
        <v>19454.400000000001</v>
      </c>
      <c r="I1446">
        <v>2046.67</v>
      </c>
      <c r="J1446">
        <v>5127.7</v>
      </c>
      <c r="K1446" s="5">
        <f>IF(SalesData[[#This Row],[Total Revenue]]=0,0,SalesData[[#This Row],[Profit]]/SalesData[[#This Row],[Total Revenue]])</f>
        <v>0.2635753351426926</v>
      </c>
      <c r="L1446" s="5" t="str">
        <f>TEXT(SalesData[[#This Row],[Date]],"mmm")</f>
        <v>Apr</v>
      </c>
      <c r="M1446">
        <f>YEAR(SalesData[[#This Row],[Date]])</f>
        <v>2023</v>
      </c>
      <c r="N1446">
        <f>WEEKNUM(SalesData[[#This Row],[Date]])</f>
        <v>16</v>
      </c>
      <c r="O1446" t="s">
        <v>2432</v>
      </c>
      <c r="P1446" t="s">
        <v>2523</v>
      </c>
      <c r="Q1446" t="s">
        <v>2527</v>
      </c>
    </row>
    <row r="1447" spans="1:17" x14ac:dyDescent="0.35">
      <c r="A1447" t="s">
        <v>954</v>
      </c>
      <c r="B1447" s="3">
        <v>45077</v>
      </c>
      <c r="C1447" t="s">
        <v>2014</v>
      </c>
      <c r="D1447" t="s">
        <v>2024</v>
      </c>
      <c r="E1447" s="8">
        <v>1947</v>
      </c>
      <c r="F1447">
        <v>10</v>
      </c>
      <c r="G1447">
        <v>0</v>
      </c>
      <c r="H1447" s="8">
        <v>19470</v>
      </c>
      <c r="I1447">
        <v>1464.16</v>
      </c>
      <c r="J1447">
        <v>4828.41</v>
      </c>
      <c r="K1447" s="5">
        <f>IF(SalesData[[#This Row],[Total Revenue]]=0,0,SalesData[[#This Row],[Profit]]/SalesData[[#This Row],[Total Revenue]])</f>
        <v>0.24799229583975346</v>
      </c>
      <c r="L1447" s="5" t="str">
        <f>TEXT(SalesData[[#This Row],[Date]],"mmm")</f>
        <v>May</v>
      </c>
      <c r="M1447">
        <f>YEAR(SalesData[[#This Row],[Date]])</f>
        <v>2023</v>
      </c>
      <c r="N1447">
        <f>WEEKNUM(SalesData[[#This Row],[Date]])</f>
        <v>22</v>
      </c>
      <c r="O1447" t="s">
        <v>2055</v>
      </c>
      <c r="P1447" t="s">
        <v>2522</v>
      </c>
      <c r="Q1447" t="s">
        <v>2527</v>
      </c>
    </row>
    <row r="1448" spans="1:17" x14ac:dyDescent="0.35">
      <c r="A1448" t="s">
        <v>931</v>
      </c>
      <c r="B1448" s="3">
        <v>45288</v>
      </c>
      <c r="C1448" t="s">
        <v>2014</v>
      </c>
      <c r="D1448" t="s">
        <v>2024</v>
      </c>
      <c r="E1448" s="8">
        <v>4871</v>
      </c>
      <c r="F1448">
        <v>4</v>
      </c>
      <c r="G1448">
        <v>0</v>
      </c>
      <c r="H1448" s="8">
        <v>19484</v>
      </c>
      <c r="I1448">
        <v>2786.12</v>
      </c>
      <c r="J1448">
        <v>8339.51</v>
      </c>
      <c r="K1448" s="5">
        <f>IF(SalesData[[#This Row],[Total Revenue]]=0,0,SalesData[[#This Row],[Profit]]/SalesData[[#This Row],[Total Revenue]])</f>
        <v>0.42801837405050297</v>
      </c>
      <c r="L1448" s="5" t="str">
        <f>TEXT(SalesData[[#This Row],[Date]],"mmm")</f>
        <v>Dec</v>
      </c>
      <c r="M1448">
        <f>YEAR(SalesData[[#This Row],[Date]])</f>
        <v>2023</v>
      </c>
      <c r="N1448">
        <f>WEEKNUM(SalesData[[#This Row],[Date]])</f>
        <v>52</v>
      </c>
      <c r="O1448" t="s">
        <v>2186</v>
      </c>
      <c r="P1448" t="s">
        <v>2523</v>
      </c>
      <c r="Q1448" t="s">
        <v>2524</v>
      </c>
    </row>
    <row r="1449" spans="1:17" x14ac:dyDescent="0.35">
      <c r="A1449" t="s">
        <v>354</v>
      </c>
      <c r="B1449" s="3">
        <v>45044</v>
      </c>
      <c r="C1449" t="s">
        <v>2015</v>
      </c>
      <c r="D1449" t="s">
        <v>2025</v>
      </c>
      <c r="E1449" s="8">
        <v>2406</v>
      </c>
      <c r="F1449">
        <v>9</v>
      </c>
      <c r="G1449">
        <v>10</v>
      </c>
      <c r="H1449" s="8">
        <v>19488.599999999999</v>
      </c>
      <c r="I1449">
        <v>1908.96</v>
      </c>
      <c r="J1449">
        <v>2307.98</v>
      </c>
      <c r="K1449" s="5">
        <f>IF(SalesData[[#This Row],[Total Revenue]]=0,0,SalesData[[#This Row],[Profit]]/SalesData[[#This Row],[Total Revenue]])</f>
        <v>0.11842718307112877</v>
      </c>
      <c r="L1449" s="5" t="str">
        <f>TEXT(SalesData[[#This Row],[Date]],"mmm")</f>
        <v>Apr</v>
      </c>
      <c r="M1449">
        <f>YEAR(SalesData[[#This Row],[Date]])</f>
        <v>2023</v>
      </c>
      <c r="N1449">
        <f>WEEKNUM(SalesData[[#This Row],[Date]])</f>
        <v>17</v>
      </c>
      <c r="O1449" t="s">
        <v>2275</v>
      </c>
      <c r="P1449" t="s">
        <v>2523</v>
      </c>
      <c r="Q1449" t="s">
        <v>2526</v>
      </c>
    </row>
    <row r="1450" spans="1:17" x14ac:dyDescent="0.35">
      <c r="A1450" t="s">
        <v>114</v>
      </c>
      <c r="B1450" s="3">
        <v>45129</v>
      </c>
      <c r="C1450" t="s">
        <v>2016</v>
      </c>
      <c r="D1450" t="s">
        <v>2025</v>
      </c>
      <c r="E1450" s="8">
        <v>2565</v>
      </c>
      <c r="F1450">
        <v>8</v>
      </c>
      <c r="G1450">
        <v>5</v>
      </c>
      <c r="H1450" s="8">
        <v>19494</v>
      </c>
      <c r="I1450">
        <v>1368.36</v>
      </c>
      <c r="J1450">
        <v>8547.11</v>
      </c>
      <c r="K1450" s="5">
        <f>IF(SalesData[[#This Row],[Total Revenue]]=0,0,SalesData[[#This Row],[Profit]]/SalesData[[#This Row],[Total Revenue]])</f>
        <v>0.43844824048425157</v>
      </c>
      <c r="L1450" s="5" t="str">
        <f>TEXT(SalesData[[#This Row],[Date]],"mmm")</f>
        <v>Jul</v>
      </c>
      <c r="M1450">
        <f>YEAR(SalesData[[#This Row],[Date]])</f>
        <v>2023</v>
      </c>
      <c r="N1450">
        <f>WEEKNUM(SalesData[[#This Row],[Date]])</f>
        <v>29</v>
      </c>
      <c r="O1450" t="s">
        <v>2119</v>
      </c>
      <c r="P1450" t="s">
        <v>2522</v>
      </c>
      <c r="Q1450" t="s">
        <v>2525</v>
      </c>
    </row>
    <row r="1451" spans="1:17" x14ac:dyDescent="0.35">
      <c r="A1451" t="s">
        <v>213</v>
      </c>
      <c r="B1451" s="3">
        <v>45252</v>
      </c>
      <c r="C1451" t="s">
        <v>2020</v>
      </c>
      <c r="D1451" t="s">
        <v>2028</v>
      </c>
      <c r="E1451" s="8">
        <v>3902</v>
      </c>
      <c r="F1451">
        <v>5</v>
      </c>
      <c r="G1451">
        <v>0</v>
      </c>
      <c r="H1451" s="8">
        <v>19510</v>
      </c>
      <c r="I1451">
        <v>2468.7199999999998</v>
      </c>
      <c r="J1451">
        <v>7166.42</v>
      </c>
      <c r="K1451" s="5">
        <f>IF(SalesData[[#This Row],[Total Revenue]]=0,0,SalesData[[#This Row],[Profit]]/SalesData[[#This Row],[Total Revenue]])</f>
        <v>0.36732034853921064</v>
      </c>
      <c r="L1451" s="5" t="str">
        <f>TEXT(SalesData[[#This Row],[Date]],"mmm")</f>
        <v>Nov</v>
      </c>
      <c r="M1451">
        <f>YEAR(SalesData[[#This Row],[Date]])</f>
        <v>2023</v>
      </c>
      <c r="N1451">
        <f>WEEKNUM(SalesData[[#This Row],[Date]])</f>
        <v>47</v>
      </c>
      <c r="O1451" t="s">
        <v>2176</v>
      </c>
      <c r="P1451" t="s">
        <v>2522</v>
      </c>
      <c r="Q1451" t="s">
        <v>2526</v>
      </c>
    </row>
    <row r="1452" spans="1:17" x14ac:dyDescent="0.35">
      <c r="A1452" t="s">
        <v>951</v>
      </c>
      <c r="B1452" s="3">
        <v>45147</v>
      </c>
      <c r="C1452" t="s">
        <v>2015</v>
      </c>
      <c r="D1452" t="s">
        <v>2025</v>
      </c>
      <c r="E1452" s="8">
        <v>2710</v>
      </c>
      <c r="F1452">
        <v>8</v>
      </c>
      <c r="G1452">
        <v>10</v>
      </c>
      <c r="H1452" s="8">
        <v>19512</v>
      </c>
      <c r="I1452">
        <v>1517.77</v>
      </c>
      <c r="J1452">
        <v>7369.83</v>
      </c>
      <c r="K1452" s="5">
        <f>IF(SalesData[[#This Row],[Total Revenue]]=0,0,SalesData[[#This Row],[Profit]]/SalesData[[#This Row],[Total Revenue]])</f>
        <v>0.37770756457564575</v>
      </c>
      <c r="L1452" s="5" t="str">
        <f>TEXT(SalesData[[#This Row],[Date]],"mmm")</f>
        <v>Aug</v>
      </c>
      <c r="M1452">
        <f>YEAR(SalesData[[#This Row],[Date]])</f>
        <v>2023</v>
      </c>
      <c r="N1452">
        <f>WEEKNUM(SalesData[[#This Row],[Date]])</f>
        <v>32</v>
      </c>
      <c r="O1452" t="s">
        <v>2041</v>
      </c>
      <c r="P1452" t="s">
        <v>2523</v>
      </c>
      <c r="Q1452" t="s">
        <v>2527</v>
      </c>
    </row>
    <row r="1453" spans="1:17" x14ac:dyDescent="0.35">
      <c r="A1453" t="s">
        <v>846</v>
      </c>
      <c r="B1453" s="3">
        <v>44971</v>
      </c>
      <c r="C1453" t="s">
        <v>2016</v>
      </c>
      <c r="D1453" t="s">
        <v>2025</v>
      </c>
      <c r="E1453" s="8">
        <v>3827</v>
      </c>
      <c r="F1453">
        <v>6</v>
      </c>
      <c r="G1453">
        <v>15</v>
      </c>
      <c r="H1453" s="8">
        <v>19517.7</v>
      </c>
      <c r="I1453">
        <v>2912.52</v>
      </c>
      <c r="J1453">
        <v>2042.57</v>
      </c>
      <c r="K1453" s="5">
        <f>IF(SalesData[[#This Row],[Total Revenue]]=0,0,SalesData[[#This Row],[Profit]]/SalesData[[#This Row],[Total Revenue]])</f>
        <v>0.1046521875016011</v>
      </c>
      <c r="L1453" s="5" t="str">
        <f>TEXT(SalesData[[#This Row],[Date]],"mmm")</f>
        <v>Feb</v>
      </c>
      <c r="M1453">
        <f>YEAR(SalesData[[#This Row],[Date]])</f>
        <v>2023</v>
      </c>
      <c r="N1453">
        <f>WEEKNUM(SalesData[[#This Row],[Date]])</f>
        <v>7</v>
      </c>
      <c r="O1453" t="s">
        <v>2246</v>
      </c>
      <c r="P1453" t="s">
        <v>2522</v>
      </c>
      <c r="Q1453" t="s">
        <v>2526</v>
      </c>
    </row>
    <row r="1454" spans="1:17" x14ac:dyDescent="0.35">
      <c r="A1454" t="s">
        <v>133</v>
      </c>
      <c r="B1454" s="3">
        <v>45206</v>
      </c>
      <c r="C1454" t="s">
        <v>2019</v>
      </c>
      <c r="D1454" t="s">
        <v>2027</v>
      </c>
      <c r="E1454" s="8">
        <v>3283</v>
      </c>
      <c r="F1454">
        <v>7</v>
      </c>
      <c r="G1454">
        <v>15</v>
      </c>
      <c r="H1454" s="8">
        <v>19533.849999999999</v>
      </c>
      <c r="I1454">
        <v>2489.66</v>
      </c>
      <c r="J1454">
        <v>2106.2199999999998</v>
      </c>
      <c r="K1454" s="5">
        <f>IF(SalesData[[#This Row],[Total Revenue]]=0,0,SalesData[[#This Row],[Profit]]/SalesData[[#This Row],[Total Revenue]])</f>
        <v>0.10782411045441631</v>
      </c>
      <c r="L1454" s="5" t="str">
        <f>TEXT(SalesData[[#This Row],[Date]],"mmm")</f>
        <v>Oct</v>
      </c>
      <c r="M1454">
        <f>YEAR(SalesData[[#This Row],[Date]])</f>
        <v>2023</v>
      </c>
      <c r="N1454">
        <f>WEEKNUM(SalesData[[#This Row],[Date]])</f>
        <v>40</v>
      </c>
      <c r="O1454" t="s">
        <v>2136</v>
      </c>
      <c r="P1454" t="s">
        <v>2523</v>
      </c>
      <c r="Q1454" t="s">
        <v>2526</v>
      </c>
    </row>
    <row r="1455" spans="1:17" x14ac:dyDescent="0.35">
      <c r="A1455" t="s">
        <v>1296</v>
      </c>
      <c r="B1455" s="3">
        <v>45043</v>
      </c>
      <c r="C1455" t="s">
        <v>2013</v>
      </c>
      <c r="D1455" t="s">
        <v>2023</v>
      </c>
      <c r="E1455" s="8">
        <v>2555</v>
      </c>
      <c r="F1455">
        <v>9</v>
      </c>
      <c r="G1455">
        <v>15</v>
      </c>
      <c r="H1455" s="8">
        <v>19545.75</v>
      </c>
      <c r="I1455">
        <v>1388.79</v>
      </c>
      <c r="J1455">
        <v>7046.66</v>
      </c>
      <c r="K1455" s="5">
        <f>IF(SalesData[[#This Row],[Total Revenue]]=0,0,SalesData[[#This Row],[Profit]]/SalesData[[#This Row],[Total Revenue]])</f>
        <v>0.36052134095647392</v>
      </c>
      <c r="L1455" s="5" t="str">
        <f>TEXT(SalesData[[#This Row],[Date]],"mmm")</f>
        <v>Apr</v>
      </c>
      <c r="M1455">
        <f>YEAR(SalesData[[#This Row],[Date]])</f>
        <v>2023</v>
      </c>
      <c r="N1455">
        <f>WEEKNUM(SalesData[[#This Row],[Date]])</f>
        <v>17</v>
      </c>
      <c r="O1455" t="s">
        <v>2269</v>
      </c>
      <c r="P1455" t="s">
        <v>2522</v>
      </c>
      <c r="Q1455" t="s">
        <v>2527</v>
      </c>
    </row>
    <row r="1456" spans="1:17" x14ac:dyDescent="0.35">
      <c r="A1456" t="s">
        <v>1661</v>
      </c>
      <c r="B1456" s="3">
        <v>44965</v>
      </c>
      <c r="C1456" t="s">
        <v>2014</v>
      </c>
      <c r="D1456" t="s">
        <v>2024</v>
      </c>
      <c r="E1456" s="8">
        <v>1955</v>
      </c>
      <c r="F1456">
        <v>10</v>
      </c>
      <c r="G1456">
        <v>0</v>
      </c>
      <c r="H1456" s="8">
        <v>19550</v>
      </c>
      <c r="I1456">
        <v>1220.53</v>
      </c>
      <c r="J1456">
        <v>7344.7</v>
      </c>
      <c r="K1456" s="5">
        <f>IF(SalesData[[#This Row],[Total Revenue]]=0,0,SalesData[[#This Row],[Profit]]/SalesData[[#This Row],[Total Revenue]])</f>
        <v>0.37568797953964195</v>
      </c>
      <c r="L1456" s="5" t="str">
        <f>TEXT(SalesData[[#This Row],[Date]],"mmm")</f>
        <v>Feb</v>
      </c>
      <c r="M1456">
        <f>YEAR(SalesData[[#This Row],[Date]])</f>
        <v>2023</v>
      </c>
      <c r="N1456">
        <f>WEEKNUM(SalesData[[#This Row],[Date]])</f>
        <v>6</v>
      </c>
      <c r="O1456" t="s">
        <v>2513</v>
      </c>
      <c r="P1456" t="s">
        <v>2523</v>
      </c>
      <c r="Q1456" t="s">
        <v>2527</v>
      </c>
    </row>
    <row r="1457" spans="1:17" x14ac:dyDescent="0.35">
      <c r="A1457" t="s">
        <v>1278</v>
      </c>
      <c r="B1457" s="3">
        <v>45048</v>
      </c>
      <c r="C1457" t="s">
        <v>2022</v>
      </c>
      <c r="D1457" t="s">
        <v>2024</v>
      </c>
      <c r="E1457" s="8">
        <v>4123</v>
      </c>
      <c r="F1457">
        <v>5</v>
      </c>
      <c r="G1457">
        <v>5</v>
      </c>
      <c r="H1457" s="8">
        <v>19584.25</v>
      </c>
      <c r="I1457">
        <v>2140.65</v>
      </c>
      <c r="J1457">
        <v>8881.02</v>
      </c>
      <c r="K1457" s="5">
        <f>IF(SalesData[[#This Row],[Total Revenue]]=0,0,SalesData[[#This Row],[Profit]]/SalesData[[#This Row],[Total Revenue]])</f>
        <v>0.45347766700282116</v>
      </c>
      <c r="L1457" s="5" t="str">
        <f>TEXT(SalesData[[#This Row],[Date]],"mmm")</f>
        <v>May</v>
      </c>
      <c r="M1457">
        <f>YEAR(SalesData[[#This Row],[Date]])</f>
        <v>2023</v>
      </c>
      <c r="N1457">
        <f>WEEKNUM(SalesData[[#This Row],[Date]])</f>
        <v>18</v>
      </c>
      <c r="O1457" t="s">
        <v>2478</v>
      </c>
      <c r="P1457" t="s">
        <v>2523</v>
      </c>
      <c r="Q1457" t="s">
        <v>2526</v>
      </c>
    </row>
    <row r="1458" spans="1:17" x14ac:dyDescent="0.35">
      <c r="A1458" t="s">
        <v>1701</v>
      </c>
      <c r="B1458" s="3">
        <v>45068</v>
      </c>
      <c r="C1458" t="s">
        <v>2020</v>
      </c>
      <c r="D1458" t="s">
        <v>2028</v>
      </c>
      <c r="E1458" s="8">
        <v>3843</v>
      </c>
      <c r="F1458">
        <v>6</v>
      </c>
      <c r="G1458">
        <v>15</v>
      </c>
      <c r="H1458" s="8">
        <v>19599.3</v>
      </c>
      <c r="I1458">
        <v>2168.89</v>
      </c>
      <c r="J1458">
        <v>6585.96</v>
      </c>
      <c r="K1458" s="5">
        <f>IF(SalesData[[#This Row],[Total Revenue]]=0,0,SalesData[[#This Row],[Profit]]/SalesData[[#This Row],[Total Revenue]])</f>
        <v>0.33603036843152562</v>
      </c>
      <c r="L1458" s="5" t="str">
        <f>TEXT(SalesData[[#This Row],[Date]],"mmm")</f>
        <v>May</v>
      </c>
      <c r="M1458">
        <f>YEAR(SalesData[[#This Row],[Date]])</f>
        <v>2023</v>
      </c>
      <c r="N1458">
        <f>WEEKNUM(SalesData[[#This Row],[Date]])</f>
        <v>21</v>
      </c>
      <c r="O1458" t="s">
        <v>2186</v>
      </c>
      <c r="P1458" t="s">
        <v>2522</v>
      </c>
      <c r="Q1458" t="s">
        <v>2525</v>
      </c>
    </row>
    <row r="1459" spans="1:17" x14ac:dyDescent="0.35">
      <c r="A1459" t="s">
        <v>574</v>
      </c>
      <c r="B1459" s="3">
        <v>45225</v>
      </c>
      <c r="C1459" t="s">
        <v>2015</v>
      </c>
      <c r="D1459" t="s">
        <v>2025</v>
      </c>
      <c r="E1459" s="8">
        <v>3445</v>
      </c>
      <c r="F1459">
        <v>6</v>
      </c>
      <c r="G1459">
        <v>5</v>
      </c>
      <c r="H1459" s="8">
        <v>19636.5</v>
      </c>
      <c r="I1459">
        <v>1779.61</v>
      </c>
      <c r="J1459">
        <v>8958.84</v>
      </c>
      <c r="K1459" s="5">
        <f>IF(SalesData[[#This Row],[Total Revenue]]=0,0,SalesData[[#This Row],[Profit]]/SalesData[[#This Row],[Total Revenue]])</f>
        <v>0.45623405393018107</v>
      </c>
      <c r="L1459" s="5" t="str">
        <f>TEXT(SalesData[[#This Row],[Date]],"mmm")</f>
        <v>Oct</v>
      </c>
      <c r="M1459">
        <f>YEAR(SalesData[[#This Row],[Date]])</f>
        <v>2023</v>
      </c>
      <c r="N1459">
        <f>WEEKNUM(SalesData[[#This Row],[Date]])</f>
        <v>43</v>
      </c>
      <c r="O1459" t="s">
        <v>2363</v>
      </c>
      <c r="P1459" t="s">
        <v>2522</v>
      </c>
      <c r="Q1459" t="s">
        <v>2526</v>
      </c>
    </row>
    <row r="1460" spans="1:17" x14ac:dyDescent="0.35">
      <c r="A1460" t="s">
        <v>36</v>
      </c>
      <c r="B1460" s="3">
        <v>45215</v>
      </c>
      <c r="C1460" t="s">
        <v>2020</v>
      </c>
      <c r="D1460" t="s">
        <v>2028</v>
      </c>
      <c r="E1460" s="8">
        <v>4378</v>
      </c>
      <c r="F1460">
        <v>5</v>
      </c>
      <c r="G1460">
        <v>10</v>
      </c>
      <c r="H1460" s="8">
        <v>19701</v>
      </c>
      <c r="I1460">
        <v>2228</v>
      </c>
      <c r="J1460">
        <v>8560.99</v>
      </c>
      <c r="K1460" s="5">
        <f>IF(SalesData[[#This Row],[Total Revenue]]=0,0,SalesData[[#This Row],[Profit]]/SalesData[[#This Row],[Total Revenue]])</f>
        <v>0.43454596213390184</v>
      </c>
      <c r="L1460" s="5" t="str">
        <f>TEXT(SalesData[[#This Row],[Date]],"mmm")</f>
        <v>Oct</v>
      </c>
      <c r="M1460">
        <f>YEAR(SalesData[[#This Row],[Date]])</f>
        <v>2023</v>
      </c>
      <c r="N1460">
        <f>WEEKNUM(SalesData[[#This Row],[Date]])</f>
        <v>42</v>
      </c>
      <c r="O1460" t="s">
        <v>2051</v>
      </c>
      <c r="P1460" t="s">
        <v>2523</v>
      </c>
      <c r="Q1460" t="s">
        <v>2526</v>
      </c>
    </row>
    <row r="1461" spans="1:17" x14ac:dyDescent="0.35">
      <c r="A1461" t="s">
        <v>632</v>
      </c>
      <c r="B1461" s="3">
        <v>45265</v>
      </c>
      <c r="C1461" t="s">
        <v>2018</v>
      </c>
      <c r="D1461" t="s">
        <v>2026</v>
      </c>
      <c r="E1461" s="8">
        <v>4381</v>
      </c>
      <c r="F1461">
        <v>5</v>
      </c>
      <c r="G1461">
        <v>10</v>
      </c>
      <c r="H1461" s="8">
        <v>19714.5</v>
      </c>
      <c r="I1461">
        <v>3407.38</v>
      </c>
      <c r="J1461">
        <v>2677.61</v>
      </c>
      <c r="K1461" s="5">
        <f>IF(SalesData[[#This Row],[Total Revenue]]=0,0,SalesData[[#This Row],[Profit]]/SalesData[[#This Row],[Total Revenue]])</f>
        <v>0.13581932080448403</v>
      </c>
      <c r="L1461" s="5" t="str">
        <f>TEXT(SalesData[[#This Row],[Date]],"mmm")</f>
        <v>Dec</v>
      </c>
      <c r="M1461">
        <f>YEAR(SalesData[[#This Row],[Date]])</f>
        <v>2023</v>
      </c>
      <c r="N1461">
        <f>WEEKNUM(SalesData[[#This Row],[Date]])</f>
        <v>49</v>
      </c>
      <c r="O1461" t="s">
        <v>2078</v>
      </c>
      <c r="P1461" t="s">
        <v>2523</v>
      </c>
      <c r="Q1461" t="s">
        <v>2524</v>
      </c>
    </row>
    <row r="1462" spans="1:17" x14ac:dyDescent="0.35">
      <c r="A1462" t="s">
        <v>662</v>
      </c>
      <c r="B1462" s="3">
        <v>44992</v>
      </c>
      <c r="C1462" t="s">
        <v>2013</v>
      </c>
      <c r="D1462" t="s">
        <v>2023</v>
      </c>
      <c r="E1462" s="8">
        <v>4383</v>
      </c>
      <c r="F1462">
        <v>5</v>
      </c>
      <c r="G1462">
        <v>10</v>
      </c>
      <c r="H1462" s="8">
        <v>19723.5</v>
      </c>
      <c r="I1462">
        <v>2914.53</v>
      </c>
      <c r="J1462">
        <v>5150.8599999999997</v>
      </c>
      <c r="K1462" s="5">
        <f>IF(SalesData[[#This Row],[Total Revenue]]=0,0,SalesData[[#This Row],[Profit]]/SalesData[[#This Row],[Total Revenue]])</f>
        <v>0.26115344639643062</v>
      </c>
      <c r="L1462" s="5" t="str">
        <f>TEXT(SalesData[[#This Row],[Date]],"mmm")</f>
        <v>Mar</v>
      </c>
      <c r="M1462">
        <f>YEAR(SalesData[[#This Row],[Date]])</f>
        <v>2023</v>
      </c>
      <c r="N1462">
        <f>WEEKNUM(SalesData[[#This Row],[Date]])</f>
        <v>10</v>
      </c>
      <c r="O1462" t="s">
        <v>2300</v>
      </c>
      <c r="P1462" t="s">
        <v>2522</v>
      </c>
      <c r="Q1462" t="s">
        <v>2525</v>
      </c>
    </row>
    <row r="1463" spans="1:17" x14ac:dyDescent="0.35">
      <c r="A1463" t="s">
        <v>758</v>
      </c>
      <c r="B1463" s="3">
        <v>45125</v>
      </c>
      <c r="C1463" t="s">
        <v>2013</v>
      </c>
      <c r="D1463" t="s">
        <v>2023</v>
      </c>
      <c r="E1463" s="8">
        <v>4384</v>
      </c>
      <c r="F1463">
        <v>5</v>
      </c>
      <c r="G1463">
        <v>10</v>
      </c>
      <c r="H1463" s="8">
        <v>19728</v>
      </c>
      <c r="I1463">
        <v>3234.36</v>
      </c>
      <c r="J1463">
        <v>3556.22</v>
      </c>
      <c r="K1463" s="5">
        <f>IF(SalesData[[#This Row],[Total Revenue]]=0,0,SalesData[[#This Row],[Profit]]/SalesData[[#This Row],[Total Revenue]])</f>
        <v>0.18026257096512571</v>
      </c>
      <c r="L1463" s="5" t="str">
        <f>TEXT(SalesData[[#This Row],[Date]],"mmm")</f>
        <v>Jul</v>
      </c>
      <c r="M1463">
        <f>YEAR(SalesData[[#This Row],[Date]])</f>
        <v>2023</v>
      </c>
      <c r="N1463">
        <f>WEEKNUM(SalesData[[#This Row],[Date]])</f>
        <v>29</v>
      </c>
      <c r="O1463" t="s">
        <v>2140</v>
      </c>
      <c r="P1463" t="s">
        <v>2523</v>
      </c>
      <c r="Q1463" t="s">
        <v>2524</v>
      </c>
    </row>
    <row r="1464" spans="1:17" x14ac:dyDescent="0.35">
      <c r="A1464" t="s">
        <v>1797</v>
      </c>
      <c r="B1464" s="3">
        <v>45260</v>
      </c>
      <c r="C1464" t="s">
        <v>2013</v>
      </c>
      <c r="D1464" t="s">
        <v>2023</v>
      </c>
      <c r="E1464" s="8">
        <v>2970</v>
      </c>
      <c r="F1464">
        <v>7</v>
      </c>
      <c r="G1464">
        <v>5</v>
      </c>
      <c r="H1464" s="8">
        <v>19750.5</v>
      </c>
      <c r="I1464">
        <v>1746.45</v>
      </c>
      <c r="J1464">
        <v>7525.35</v>
      </c>
      <c r="K1464" s="5">
        <f>IF(SalesData[[#This Row],[Total Revenue]]=0,0,SalesData[[#This Row],[Profit]]/SalesData[[#This Row],[Total Revenue]])</f>
        <v>0.38102073365231259</v>
      </c>
      <c r="L1464" s="5" t="str">
        <f>TEXT(SalesData[[#This Row],[Date]],"mmm")</f>
        <v>Nov</v>
      </c>
      <c r="M1464">
        <f>YEAR(SalesData[[#This Row],[Date]])</f>
        <v>2023</v>
      </c>
      <c r="N1464">
        <f>WEEKNUM(SalesData[[#This Row],[Date]])</f>
        <v>48</v>
      </c>
      <c r="O1464" t="s">
        <v>2508</v>
      </c>
      <c r="P1464" t="s">
        <v>2523</v>
      </c>
      <c r="Q1464" t="s">
        <v>2525</v>
      </c>
    </row>
    <row r="1465" spans="1:17" x14ac:dyDescent="0.35">
      <c r="A1465" t="s">
        <v>1589</v>
      </c>
      <c r="B1465" s="3">
        <v>45106</v>
      </c>
      <c r="C1465" t="s">
        <v>2018</v>
      </c>
      <c r="D1465" t="s">
        <v>2026</v>
      </c>
      <c r="E1465" s="8">
        <v>2599</v>
      </c>
      <c r="F1465">
        <v>8</v>
      </c>
      <c r="G1465">
        <v>5</v>
      </c>
      <c r="H1465" s="8">
        <v>19752.400000000001</v>
      </c>
      <c r="I1465">
        <v>1925.35</v>
      </c>
      <c r="J1465">
        <v>4349.5600000000004</v>
      </c>
      <c r="K1465" s="5">
        <f>IF(SalesData[[#This Row],[Total Revenue]]=0,0,SalesData[[#This Row],[Profit]]/SalesData[[#This Row],[Total Revenue]])</f>
        <v>0.2202041270934165</v>
      </c>
      <c r="L1465" s="5" t="str">
        <f>TEXT(SalesData[[#This Row],[Date]],"mmm")</f>
        <v>Jun</v>
      </c>
      <c r="M1465">
        <f>YEAR(SalesData[[#This Row],[Date]])</f>
        <v>2023</v>
      </c>
      <c r="N1465">
        <f>WEEKNUM(SalesData[[#This Row],[Date]])</f>
        <v>26</v>
      </c>
      <c r="O1465" t="s">
        <v>2479</v>
      </c>
      <c r="P1465" t="s">
        <v>2523</v>
      </c>
      <c r="Q1465" t="s">
        <v>2524</v>
      </c>
    </row>
    <row r="1466" spans="1:17" x14ac:dyDescent="0.35">
      <c r="A1466" t="s">
        <v>1453</v>
      </c>
      <c r="B1466" s="3">
        <v>45038</v>
      </c>
      <c r="C1466" t="s">
        <v>2019</v>
      </c>
      <c r="D1466" t="s">
        <v>2027</v>
      </c>
      <c r="E1466" s="8">
        <v>2313</v>
      </c>
      <c r="F1466">
        <v>9</v>
      </c>
      <c r="G1466">
        <v>5</v>
      </c>
      <c r="H1466" s="8">
        <v>19776.150000000001</v>
      </c>
      <c r="I1466">
        <v>1317.95</v>
      </c>
      <c r="J1466">
        <v>7914.58</v>
      </c>
      <c r="K1466" s="5">
        <f>IF(SalesData[[#This Row],[Total Revenue]]=0,0,SalesData[[#This Row],[Profit]]/SalesData[[#This Row],[Total Revenue]])</f>
        <v>0.40020833175314707</v>
      </c>
      <c r="L1466" s="5" t="str">
        <f>TEXT(SalesData[[#This Row],[Date]],"mmm")</f>
        <v>Apr</v>
      </c>
      <c r="M1466">
        <f>YEAR(SalesData[[#This Row],[Date]])</f>
        <v>2023</v>
      </c>
      <c r="N1466">
        <f>WEEKNUM(SalesData[[#This Row],[Date]])</f>
        <v>16</v>
      </c>
      <c r="O1466" t="s">
        <v>2113</v>
      </c>
      <c r="P1466" t="s">
        <v>2522</v>
      </c>
      <c r="Q1466" t="s">
        <v>2525</v>
      </c>
    </row>
    <row r="1467" spans="1:17" x14ac:dyDescent="0.35">
      <c r="A1467" t="s">
        <v>145</v>
      </c>
      <c r="B1467" s="3">
        <v>45134</v>
      </c>
      <c r="C1467" t="s">
        <v>2015</v>
      </c>
      <c r="D1467" t="s">
        <v>2025</v>
      </c>
      <c r="E1467" s="8">
        <v>2586</v>
      </c>
      <c r="F1467">
        <v>9</v>
      </c>
      <c r="G1467">
        <v>15</v>
      </c>
      <c r="H1467" s="8">
        <v>19782.900000000001</v>
      </c>
      <c r="I1467">
        <v>1801.95</v>
      </c>
      <c r="J1467">
        <v>3565.31</v>
      </c>
      <c r="K1467" s="5">
        <f>IF(SalesData[[#This Row],[Total Revenue]]=0,0,SalesData[[#This Row],[Profit]]/SalesData[[#This Row],[Total Revenue]])</f>
        <v>0.18022180772283131</v>
      </c>
      <c r="L1467" s="5" t="str">
        <f>TEXT(SalesData[[#This Row],[Date]],"mmm")</f>
        <v>Jul</v>
      </c>
      <c r="M1467">
        <f>YEAR(SalesData[[#This Row],[Date]])</f>
        <v>2023</v>
      </c>
      <c r="N1467">
        <f>WEEKNUM(SalesData[[#This Row],[Date]])</f>
        <v>30</v>
      </c>
      <c r="O1467" t="s">
        <v>2146</v>
      </c>
      <c r="P1467" t="s">
        <v>2522</v>
      </c>
      <c r="Q1467" t="s">
        <v>2526</v>
      </c>
    </row>
    <row r="1468" spans="1:17" x14ac:dyDescent="0.35">
      <c r="A1468" t="s">
        <v>1433</v>
      </c>
      <c r="B1468" s="3">
        <v>45252</v>
      </c>
      <c r="C1468" t="s">
        <v>2016</v>
      </c>
      <c r="D1468" t="s">
        <v>2025</v>
      </c>
      <c r="E1468" s="8">
        <v>3881</v>
      </c>
      <c r="F1468">
        <v>6</v>
      </c>
      <c r="G1468">
        <v>15</v>
      </c>
      <c r="H1468" s="8">
        <v>19793.099999999999</v>
      </c>
      <c r="I1468">
        <v>2542.25</v>
      </c>
      <c r="J1468">
        <v>4539.6000000000004</v>
      </c>
      <c r="K1468" s="5">
        <f>IF(SalesData[[#This Row],[Total Revenue]]=0,0,SalesData[[#This Row],[Profit]]/SalesData[[#This Row],[Total Revenue]])</f>
        <v>0.22935265319732637</v>
      </c>
      <c r="L1468" s="5" t="str">
        <f>TEXT(SalesData[[#This Row],[Date]],"mmm")</f>
        <v>Nov</v>
      </c>
      <c r="M1468">
        <f>YEAR(SalesData[[#This Row],[Date]])</f>
        <v>2023</v>
      </c>
      <c r="N1468">
        <f>WEEKNUM(SalesData[[#This Row],[Date]])</f>
        <v>47</v>
      </c>
      <c r="O1468" t="s">
        <v>2502</v>
      </c>
      <c r="P1468" t="s">
        <v>2522</v>
      </c>
      <c r="Q1468" t="s">
        <v>2526</v>
      </c>
    </row>
    <row r="1469" spans="1:17" x14ac:dyDescent="0.35">
      <c r="A1469" t="s">
        <v>835</v>
      </c>
      <c r="B1469" s="3">
        <v>45087</v>
      </c>
      <c r="C1469" t="s">
        <v>2019</v>
      </c>
      <c r="D1469" t="s">
        <v>2027</v>
      </c>
      <c r="E1469" s="8">
        <v>4659</v>
      </c>
      <c r="F1469">
        <v>5</v>
      </c>
      <c r="G1469">
        <v>15</v>
      </c>
      <c r="H1469" s="8">
        <v>19800.75</v>
      </c>
      <c r="I1469">
        <v>2377.85</v>
      </c>
      <c r="J1469">
        <v>7911.49</v>
      </c>
      <c r="K1469" s="5">
        <f>IF(SalesData[[#This Row],[Total Revenue]]=0,0,SalesData[[#This Row],[Profit]]/SalesData[[#This Row],[Total Revenue]])</f>
        <v>0.39955506735855961</v>
      </c>
      <c r="L1469" s="5" t="str">
        <f>TEXT(SalesData[[#This Row],[Date]],"mmm")</f>
        <v>Jun</v>
      </c>
      <c r="M1469">
        <f>YEAR(SalesData[[#This Row],[Date]])</f>
        <v>2023</v>
      </c>
      <c r="N1469">
        <f>WEEKNUM(SalesData[[#This Row],[Date]])</f>
        <v>23</v>
      </c>
      <c r="O1469" t="s">
        <v>2103</v>
      </c>
      <c r="P1469" t="s">
        <v>2523</v>
      </c>
      <c r="Q1469" t="s">
        <v>2527</v>
      </c>
    </row>
    <row r="1470" spans="1:17" x14ac:dyDescent="0.35">
      <c r="A1470" t="s">
        <v>1563</v>
      </c>
      <c r="B1470" s="3">
        <v>45114</v>
      </c>
      <c r="C1470" t="s">
        <v>2016</v>
      </c>
      <c r="D1470" t="s">
        <v>2025</v>
      </c>
      <c r="E1470" s="8">
        <v>3667</v>
      </c>
      <c r="F1470">
        <v>6</v>
      </c>
      <c r="G1470">
        <v>10</v>
      </c>
      <c r="H1470" s="8">
        <v>19801.8</v>
      </c>
      <c r="I1470">
        <v>2430.13</v>
      </c>
      <c r="J1470">
        <v>5221.01</v>
      </c>
      <c r="K1470" s="5">
        <f>IF(SalesData[[#This Row],[Total Revenue]]=0,0,SalesData[[#This Row],[Profit]]/SalesData[[#This Row],[Total Revenue]])</f>
        <v>0.26366340433697949</v>
      </c>
      <c r="L1470" s="5" t="str">
        <f>TEXT(SalesData[[#This Row],[Date]],"mmm")</f>
        <v>Jul</v>
      </c>
      <c r="M1470">
        <f>YEAR(SalesData[[#This Row],[Date]])</f>
        <v>2023</v>
      </c>
      <c r="N1470">
        <f>WEEKNUM(SalesData[[#This Row],[Date]])</f>
        <v>27</v>
      </c>
      <c r="O1470" t="s">
        <v>2234</v>
      </c>
      <c r="P1470" t="s">
        <v>2523</v>
      </c>
      <c r="Q1470" t="s">
        <v>2526</v>
      </c>
    </row>
    <row r="1471" spans="1:17" x14ac:dyDescent="0.35">
      <c r="A1471" t="s">
        <v>1026</v>
      </c>
      <c r="B1471" s="3">
        <v>44997</v>
      </c>
      <c r="C1471" t="s">
        <v>2013</v>
      </c>
      <c r="D1471" t="s">
        <v>2023</v>
      </c>
      <c r="E1471" s="8">
        <v>2913</v>
      </c>
      <c r="F1471">
        <v>8</v>
      </c>
      <c r="G1471">
        <v>15</v>
      </c>
      <c r="H1471" s="8">
        <v>19808.400000000001</v>
      </c>
      <c r="I1471">
        <v>1646.4</v>
      </c>
      <c r="J1471">
        <v>6637.2</v>
      </c>
      <c r="K1471" s="5">
        <f>IF(SalesData[[#This Row],[Total Revenue]]=0,0,SalesData[[#This Row],[Profit]]/SalesData[[#This Row],[Total Revenue]])</f>
        <v>0.33506997031562363</v>
      </c>
      <c r="L1471" s="5" t="str">
        <f>TEXT(SalesData[[#This Row],[Date]],"mmm")</f>
        <v>Mar</v>
      </c>
      <c r="M1471">
        <f>YEAR(SalesData[[#This Row],[Date]])</f>
        <v>2023</v>
      </c>
      <c r="N1471">
        <f>WEEKNUM(SalesData[[#This Row],[Date]])</f>
        <v>11</v>
      </c>
      <c r="O1471" t="s">
        <v>2441</v>
      </c>
      <c r="P1471" t="s">
        <v>2523</v>
      </c>
      <c r="Q1471" t="s">
        <v>2524</v>
      </c>
    </row>
    <row r="1472" spans="1:17" x14ac:dyDescent="0.35">
      <c r="A1472" t="s">
        <v>283</v>
      </c>
      <c r="B1472" s="3">
        <v>45239</v>
      </c>
      <c r="C1472" t="s">
        <v>2020</v>
      </c>
      <c r="D1472" t="s">
        <v>2028</v>
      </c>
      <c r="E1472" s="8">
        <v>2599</v>
      </c>
      <c r="F1472">
        <v>9</v>
      </c>
      <c r="G1472">
        <v>15</v>
      </c>
      <c r="H1472" s="8">
        <v>19882.349999999999</v>
      </c>
      <c r="I1472">
        <v>1898.02</v>
      </c>
      <c r="J1472">
        <v>2800.17</v>
      </c>
      <c r="K1472" s="5">
        <f>IF(SalesData[[#This Row],[Total Revenue]]=0,0,SalesData[[#This Row],[Profit]]/SalesData[[#This Row],[Total Revenue]])</f>
        <v>0.14083697349659371</v>
      </c>
      <c r="L1472" s="5" t="str">
        <f>TEXT(SalesData[[#This Row],[Date]],"mmm")</f>
        <v>Nov</v>
      </c>
      <c r="M1472">
        <f>YEAR(SalesData[[#This Row],[Date]])</f>
        <v>2023</v>
      </c>
      <c r="N1472">
        <f>WEEKNUM(SalesData[[#This Row],[Date]])</f>
        <v>45</v>
      </c>
      <c r="O1472" t="s">
        <v>2237</v>
      </c>
      <c r="P1472" t="s">
        <v>2522</v>
      </c>
      <c r="Q1472" t="s">
        <v>2527</v>
      </c>
    </row>
    <row r="1473" spans="1:17" x14ac:dyDescent="0.35">
      <c r="A1473" t="s">
        <v>341</v>
      </c>
      <c r="B1473" s="3">
        <v>45059</v>
      </c>
      <c r="C1473" t="s">
        <v>2021</v>
      </c>
      <c r="D1473" t="s">
        <v>2028</v>
      </c>
      <c r="E1473" s="8">
        <v>3901</v>
      </c>
      <c r="F1473">
        <v>6</v>
      </c>
      <c r="G1473">
        <v>15</v>
      </c>
      <c r="H1473" s="8">
        <v>19895.099999999999</v>
      </c>
      <c r="I1473">
        <v>2094.38</v>
      </c>
      <c r="J1473">
        <v>7328.84</v>
      </c>
      <c r="K1473" s="5">
        <f>IF(SalesData[[#This Row],[Total Revenue]]=0,0,SalesData[[#This Row],[Profit]]/SalesData[[#This Row],[Total Revenue]])</f>
        <v>0.36837412227131305</v>
      </c>
      <c r="L1473" s="5" t="str">
        <f>TEXT(SalesData[[#This Row],[Date]],"mmm")</f>
        <v>May</v>
      </c>
      <c r="M1473">
        <f>YEAR(SalesData[[#This Row],[Date]])</f>
        <v>2023</v>
      </c>
      <c r="N1473">
        <f>WEEKNUM(SalesData[[#This Row],[Date]])</f>
        <v>19</v>
      </c>
      <c r="O1473" t="s">
        <v>2235</v>
      </c>
      <c r="P1473" t="s">
        <v>2523</v>
      </c>
      <c r="Q1473" t="s">
        <v>2527</v>
      </c>
    </row>
    <row r="1474" spans="1:17" x14ac:dyDescent="0.35">
      <c r="A1474" t="s">
        <v>32</v>
      </c>
      <c r="B1474" s="3">
        <v>45049</v>
      </c>
      <c r="C1474" t="s">
        <v>2013</v>
      </c>
      <c r="D1474" t="s">
        <v>2023</v>
      </c>
      <c r="E1474" s="8">
        <v>2217</v>
      </c>
      <c r="F1474">
        <v>10</v>
      </c>
      <c r="G1474">
        <v>10</v>
      </c>
      <c r="H1474" s="8">
        <v>19953</v>
      </c>
      <c r="I1474">
        <v>1332.79</v>
      </c>
      <c r="J1474">
        <v>6625.06</v>
      </c>
      <c r="K1474" s="5">
        <f>IF(SalesData[[#This Row],[Total Revenue]]=0,0,SalesData[[#This Row],[Profit]]/SalesData[[#This Row],[Total Revenue]])</f>
        <v>0.33203327820377893</v>
      </c>
      <c r="L1474" s="5" t="str">
        <f>TEXT(SalesData[[#This Row],[Date]],"mmm")</f>
        <v>May</v>
      </c>
      <c r="M1474">
        <f>YEAR(SalesData[[#This Row],[Date]])</f>
        <v>2023</v>
      </c>
      <c r="N1474">
        <f>WEEKNUM(SalesData[[#This Row],[Date]])</f>
        <v>18</v>
      </c>
      <c r="O1474" t="s">
        <v>2048</v>
      </c>
      <c r="P1474" t="s">
        <v>2523</v>
      </c>
      <c r="Q1474" t="s">
        <v>2527</v>
      </c>
    </row>
    <row r="1475" spans="1:17" x14ac:dyDescent="0.35">
      <c r="A1475" t="s">
        <v>94</v>
      </c>
      <c r="B1475" s="3">
        <v>45230</v>
      </c>
      <c r="C1475" t="s">
        <v>2014</v>
      </c>
      <c r="D1475" t="s">
        <v>2024</v>
      </c>
      <c r="E1475" s="8">
        <v>2936</v>
      </c>
      <c r="F1475">
        <v>8</v>
      </c>
      <c r="G1475">
        <v>15</v>
      </c>
      <c r="H1475" s="8">
        <v>19964.8</v>
      </c>
      <c r="I1475">
        <v>1521.11</v>
      </c>
      <c r="J1475">
        <v>7795.88</v>
      </c>
      <c r="K1475" s="5">
        <f>IF(SalesData[[#This Row],[Total Revenue]]=0,0,SalesData[[#This Row],[Profit]]/SalesData[[#This Row],[Total Revenue]])</f>
        <v>0.39048124699471071</v>
      </c>
      <c r="L1475" s="5" t="str">
        <f>TEXT(SalesData[[#This Row],[Date]],"mmm")</f>
        <v>Oct</v>
      </c>
      <c r="M1475">
        <f>YEAR(SalesData[[#This Row],[Date]])</f>
        <v>2023</v>
      </c>
      <c r="N1475">
        <f>WEEKNUM(SalesData[[#This Row],[Date]])</f>
        <v>44</v>
      </c>
      <c r="O1475" t="s">
        <v>2101</v>
      </c>
      <c r="P1475" t="s">
        <v>2522</v>
      </c>
      <c r="Q1475" t="s">
        <v>2526</v>
      </c>
    </row>
    <row r="1476" spans="1:17" x14ac:dyDescent="0.35">
      <c r="A1476" t="s">
        <v>1446</v>
      </c>
      <c r="B1476" s="3">
        <v>45227</v>
      </c>
      <c r="C1476" t="s">
        <v>2017</v>
      </c>
      <c r="D1476" t="s">
        <v>2026</v>
      </c>
      <c r="E1476" s="8">
        <v>4993</v>
      </c>
      <c r="F1476">
        <v>4</v>
      </c>
      <c r="G1476">
        <v>0</v>
      </c>
      <c r="H1476" s="8">
        <v>19972</v>
      </c>
      <c r="I1476">
        <v>3409.43</v>
      </c>
      <c r="J1476">
        <v>6334.29</v>
      </c>
      <c r="K1476" s="5">
        <f>IF(SalesData[[#This Row],[Total Revenue]]=0,0,SalesData[[#This Row],[Profit]]/SalesData[[#This Row],[Total Revenue]])</f>
        <v>0.31715852193070299</v>
      </c>
      <c r="L1476" s="5" t="str">
        <f>TEXT(SalesData[[#This Row],[Date]],"mmm")</f>
        <v>Oct</v>
      </c>
      <c r="M1476">
        <f>YEAR(SalesData[[#This Row],[Date]])</f>
        <v>2023</v>
      </c>
      <c r="N1476">
        <f>WEEKNUM(SalesData[[#This Row],[Date]])</f>
        <v>43</v>
      </c>
      <c r="O1476" t="s">
        <v>2116</v>
      </c>
      <c r="P1476" t="s">
        <v>2522</v>
      </c>
      <c r="Q1476" t="s">
        <v>2524</v>
      </c>
    </row>
    <row r="1477" spans="1:17" x14ac:dyDescent="0.35">
      <c r="A1477" t="s">
        <v>1234</v>
      </c>
      <c r="B1477" s="3">
        <v>45240</v>
      </c>
      <c r="C1477" t="s">
        <v>2022</v>
      </c>
      <c r="D1477" t="s">
        <v>2024</v>
      </c>
      <c r="E1477" s="8">
        <v>3922</v>
      </c>
      <c r="F1477">
        <v>6</v>
      </c>
      <c r="G1477">
        <v>15</v>
      </c>
      <c r="H1477" s="8">
        <v>20002.2</v>
      </c>
      <c r="I1477">
        <v>2093.2199999999998</v>
      </c>
      <c r="J1477">
        <v>7442.89</v>
      </c>
      <c r="K1477" s="5">
        <f>IF(SalesData[[#This Row],[Total Revenue]]=0,0,SalesData[[#This Row],[Profit]]/SalesData[[#This Row],[Total Revenue]])</f>
        <v>0.37210356860745319</v>
      </c>
      <c r="L1477" s="5" t="str">
        <f>TEXT(SalesData[[#This Row],[Date]],"mmm")</f>
        <v>Nov</v>
      </c>
      <c r="M1477">
        <f>YEAR(SalesData[[#This Row],[Date]])</f>
        <v>2023</v>
      </c>
      <c r="N1477">
        <f>WEEKNUM(SalesData[[#This Row],[Date]])</f>
        <v>45</v>
      </c>
      <c r="O1477" t="s">
        <v>2066</v>
      </c>
      <c r="P1477" t="s">
        <v>2522</v>
      </c>
      <c r="Q1477" t="s">
        <v>2526</v>
      </c>
    </row>
    <row r="1478" spans="1:17" x14ac:dyDescent="0.35">
      <c r="A1478" t="s">
        <v>1147</v>
      </c>
      <c r="B1478" s="3">
        <v>45090</v>
      </c>
      <c r="C1478" t="s">
        <v>2018</v>
      </c>
      <c r="D1478" t="s">
        <v>2026</v>
      </c>
      <c r="E1478" s="8">
        <v>2863</v>
      </c>
      <c r="F1478">
        <v>7</v>
      </c>
      <c r="G1478">
        <v>0</v>
      </c>
      <c r="H1478" s="8">
        <v>20041</v>
      </c>
      <c r="I1478">
        <v>2025.77</v>
      </c>
      <c r="J1478">
        <v>5860.6</v>
      </c>
      <c r="K1478" s="5">
        <f>IF(SalesData[[#This Row],[Total Revenue]]=0,0,SalesData[[#This Row],[Profit]]/SalesData[[#This Row],[Total Revenue]])</f>
        <v>0.29243051743924958</v>
      </c>
      <c r="L1478" s="5" t="str">
        <f>TEXT(SalesData[[#This Row],[Date]],"mmm")</f>
        <v>Jun</v>
      </c>
      <c r="M1478">
        <f>YEAR(SalesData[[#This Row],[Date]])</f>
        <v>2023</v>
      </c>
      <c r="N1478">
        <f>WEEKNUM(SalesData[[#This Row],[Date]])</f>
        <v>24</v>
      </c>
      <c r="O1478" t="s">
        <v>2141</v>
      </c>
      <c r="P1478" t="s">
        <v>2522</v>
      </c>
      <c r="Q1478" t="s">
        <v>2527</v>
      </c>
    </row>
    <row r="1479" spans="1:17" x14ac:dyDescent="0.35">
      <c r="A1479" t="s">
        <v>686</v>
      </c>
      <c r="B1479" s="3">
        <v>45239</v>
      </c>
      <c r="C1479" t="s">
        <v>2018</v>
      </c>
      <c r="D1479" t="s">
        <v>2026</v>
      </c>
      <c r="E1479" s="8">
        <v>2227</v>
      </c>
      <c r="F1479">
        <v>9</v>
      </c>
      <c r="G1479">
        <v>0</v>
      </c>
      <c r="H1479" s="8">
        <v>20043</v>
      </c>
      <c r="I1479">
        <v>1126.53</v>
      </c>
      <c r="J1479">
        <v>9904.24</v>
      </c>
      <c r="K1479" s="5">
        <f>IF(SalesData[[#This Row],[Total Revenue]]=0,0,SalesData[[#This Row],[Profit]]/SalesData[[#This Row],[Total Revenue]])</f>
        <v>0.49414957840642615</v>
      </c>
      <c r="L1479" s="5" t="str">
        <f>TEXT(SalesData[[#This Row],[Date]],"mmm")</f>
        <v>Nov</v>
      </c>
      <c r="M1479">
        <f>YEAR(SalesData[[#This Row],[Date]])</f>
        <v>2023</v>
      </c>
      <c r="N1479">
        <f>WEEKNUM(SalesData[[#This Row],[Date]])</f>
        <v>45</v>
      </c>
      <c r="O1479" t="s">
        <v>2095</v>
      </c>
      <c r="P1479" t="s">
        <v>2523</v>
      </c>
      <c r="Q1479" t="s">
        <v>2524</v>
      </c>
    </row>
    <row r="1480" spans="1:17" x14ac:dyDescent="0.35">
      <c r="A1480" t="s">
        <v>750</v>
      </c>
      <c r="B1480" s="3">
        <v>45022</v>
      </c>
      <c r="C1480" t="s">
        <v>2016</v>
      </c>
      <c r="D1480" t="s">
        <v>2025</v>
      </c>
      <c r="E1480" s="8">
        <v>2621</v>
      </c>
      <c r="F1480">
        <v>9</v>
      </c>
      <c r="G1480">
        <v>15</v>
      </c>
      <c r="H1480" s="8">
        <v>20050.650000000001</v>
      </c>
      <c r="I1480">
        <v>1459.2</v>
      </c>
      <c r="J1480">
        <v>6917.89</v>
      </c>
      <c r="K1480" s="5">
        <f>IF(SalesData[[#This Row],[Total Revenue]]=0,0,SalesData[[#This Row],[Profit]]/SalesData[[#This Row],[Total Revenue]])</f>
        <v>0.34502073498864128</v>
      </c>
      <c r="L1480" s="5" t="str">
        <f>TEXT(SalesData[[#This Row],[Date]],"mmm")</f>
        <v>Apr</v>
      </c>
      <c r="M1480">
        <f>YEAR(SalesData[[#This Row],[Date]])</f>
        <v>2023</v>
      </c>
      <c r="N1480">
        <f>WEEKNUM(SalesData[[#This Row],[Date]])</f>
        <v>14</v>
      </c>
      <c r="O1480" t="s">
        <v>2082</v>
      </c>
      <c r="P1480" t="s">
        <v>2523</v>
      </c>
      <c r="Q1480" t="s">
        <v>2526</v>
      </c>
    </row>
    <row r="1481" spans="1:17" x14ac:dyDescent="0.35">
      <c r="A1481" t="s">
        <v>1421</v>
      </c>
      <c r="B1481" s="3">
        <v>45221</v>
      </c>
      <c r="C1481" t="s">
        <v>2013</v>
      </c>
      <c r="D1481" t="s">
        <v>2023</v>
      </c>
      <c r="E1481" s="8">
        <v>2639</v>
      </c>
      <c r="F1481">
        <v>8</v>
      </c>
      <c r="G1481">
        <v>5</v>
      </c>
      <c r="H1481" s="8">
        <v>20056.400000000001</v>
      </c>
      <c r="I1481">
        <v>1817.56</v>
      </c>
      <c r="J1481">
        <v>5515.92</v>
      </c>
      <c r="K1481" s="5">
        <f>IF(SalesData[[#This Row],[Total Revenue]]=0,0,SalesData[[#This Row],[Profit]]/SalesData[[#This Row],[Total Revenue]])</f>
        <v>0.27502044235256573</v>
      </c>
      <c r="L1481" s="5" t="str">
        <f>TEXT(SalesData[[#This Row],[Date]],"mmm")</f>
        <v>Oct</v>
      </c>
      <c r="M1481">
        <f>YEAR(SalesData[[#This Row],[Date]])</f>
        <v>2023</v>
      </c>
      <c r="N1481">
        <f>WEEKNUM(SalesData[[#This Row],[Date]])</f>
        <v>43</v>
      </c>
      <c r="O1481" t="s">
        <v>2292</v>
      </c>
      <c r="P1481" t="s">
        <v>2522</v>
      </c>
      <c r="Q1481" t="s">
        <v>2527</v>
      </c>
    </row>
    <row r="1482" spans="1:17" x14ac:dyDescent="0.35">
      <c r="A1482" t="s">
        <v>945</v>
      </c>
      <c r="B1482" s="3">
        <v>45104</v>
      </c>
      <c r="C1482" t="s">
        <v>2016</v>
      </c>
      <c r="D1482" t="s">
        <v>2025</v>
      </c>
      <c r="E1482" s="8">
        <v>3186</v>
      </c>
      <c r="F1482">
        <v>7</v>
      </c>
      <c r="G1482">
        <v>10</v>
      </c>
      <c r="H1482" s="8">
        <v>20071.8</v>
      </c>
      <c r="I1482">
        <v>1881.23</v>
      </c>
      <c r="J1482">
        <v>6903.18</v>
      </c>
      <c r="K1482" s="5">
        <f>IF(SalesData[[#This Row],[Total Revenue]]=0,0,SalesData[[#This Row],[Profit]]/SalesData[[#This Row],[Total Revenue]])</f>
        <v>0.34392431172092192</v>
      </c>
      <c r="L1482" s="5" t="str">
        <f>TEXT(SalesData[[#This Row],[Date]],"mmm")</f>
        <v>Jun</v>
      </c>
      <c r="M1482">
        <f>YEAR(SalesData[[#This Row],[Date]])</f>
        <v>2023</v>
      </c>
      <c r="N1482">
        <f>WEEKNUM(SalesData[[#This Row],[Date]])</f>
        <v>26</v>
      </c>
      <c r="O1482" t="s">
        <v>2141</v>
      </c>
      <c r="P1482" t="s">
        <v>2523</v>
      </c>
      <c r="Q1482" t="s">
        <v>2526</v>
      </c>
    </row>
    <row r="1483" spans="1:17" x14ac:dyDescent="0.35">
      <c r="A1483" t="s">
        <v>207</v>
      </c>
      <c r="B1483" s="3">
        <v>44994</v>
      </c>
      <c r="C1483" t="s">
        <v>2021</v>
      </c>
      <c r="D1483" t="s">
        <v>2028</v>
      </c>
      <c r="E1483" s="8">
        <v>3719</v>
      </c>
      <c r="F1483">
        <v>6</v>
      </c>
      <c r="G1483">
        <v>10</v>
      </c>
      <c r="H1483" s="8">
        <v>20082.599999999999</v>
      </c>
      <c r="I1483">
        <v>2156.09</v>
      </c>
      <c r="J1483">
        <v>7146.07</v>
      </c>
      <c r="K1483" s="5">
        <f>IF(SalesData[[#This Row],[Total Revenue]]=0,0,SalesData[[#This Row],[Profit]]/SalesData[[#This Row],[Total Revenue]])</f>
        <v>0.35583390596835074</v>
      </c>
      <c r="L1483" s="5" t="str">
        <f>TEXT(SalesData[[#This Row],[Date]],"mmm")</f>
        <v>Mar</v>
      </c>
      <c r="M1483">
        <f>YEAR(SalesData[[#This Row],[Date]])</f>
        <v>2023</v>
      </c>
      <c r="N1483">
        <f>WEEKNUM(SalesData[[#This Row],[Date]])</f>
        <v>10</v>
      </c>
      <c r="O1483" t="s">
        <v>2187</v>
      </c>
      <c r="P1483" t="s">
        <v>2522</v>
      </c>
      <c r="Q1483" t="s">
        <v>2526</v>
      </c>
    </row>
    <row r="1484" spans="1:17" x14ac:dyDescent="0.35">
      <c r="A1484" t="s">
        <v>264</v>
      </c>
      <c r="B1484" s="3">
        <v>44929</v>
      </c>
      <c r="C1484" t="s">
        <v>2018</v>
      </c>
      <c r="D1484" t="s">
        <v>2026</v>
      </c>
      <c r="E1484" s="8">
        <v>2117</v>
      </c>
      <c r="F1484">
        <v>10</v>
      </c>
      <c r="G1484">
        <v>5</v>
      </c>
      <c r="H1484" s="8">
        <v>20111.5</v>
      </c>
      <c r="I1484">
        <v>1548.78</v>
      </c>
      <c r="J1484">
        <v>4623.71</v>
      </c>
      <c r="K1484" s="5">
        <f>IF(SalesData[[#This Row],[Total Revenue]]=0,0,SalesData[[#This Row],[Profit]]/SalesData[[#This Row],[Total Revenue]])</f>
        <v>0.22990378639087089</v>
      </c>
      <c r="L1484" s="5" t="str">
        <f>TEXT(SalesData[[#This Row],[Date]],"mmm")</f>
        <v>Jan</v>
      </c>
      <c r="M1484">
        <f>YEAR(SalesData[[#This Row],[Date]])</f>
        <v>2023</v>
      </c>
      <c r="N1484">
        <f>WEEKNUM(SalesData[[#This Row],[Date]])</f>
        <v>1</v>
      </c>
      <c r="O1484" t="s">
        <v>2182</v>
      </c>
      <c r="P1484" t="s">
        <v>2523</v>
      </c>
      <c r="Q1484" t="s">
        <v>2525</v>
      </c>
    </row>
    <row r="1485" spans="1:17" x14ac:dyDescent="0.35">
      <c r="A1485" t="s">
        <v>150</v>
      </c>
      <c r="B1485" s="3">
        <v>44952</v>
      </c>
      <c r="C1485" t="s">
        <v>2020</v>
      </c>
      <c r="D1485" t="s">
        <v>2028</v>
      </c>
      <c r="E1485" s="8">
        <v>3195</v>
      </c>
      <c r="F1485">
        <v>7</v>
      </c>
      <c r="G1485">
        <v>10</v>
      </c>
      <c r="H1485" s="8">
        <v>20128.5</v>
      </c>
      <c r="I1485">
        <v>2310.17</v>
      </c>
      <c r="J1485">
        <v>3957.3</v>
      </c>
      <c r="K1485" s="5">
        <f>IF(SalesData[[#This Row],[Total Revenue]]=0,0,SalesData[[#This Row],[Profit]]/SalesData[[#This Row],[Total Revenue]])</f>
        <v>0.19660183322155153</v>
      </c>
      <c r="L1485" s="5" t="str">
        <f>TEXT(SalesData[[#This Row],[Date]],"mmm")</f>
        <v>Jan</v>
      </c>
      <c r="M1485">
        <f>YEAR(SalesData[[#This Row],[Date]])</f>
        <v>2023</v>
      </c>
      <c r="N1485">
        <f>WEEKNUM(SalesData[[#This Row],[Date]])</f>
        <v>4</v>
      </c>
      <c r="O1485" t="s">
        <v>2151</v>
      </c>
      <c r="P1485" t="s">
        <v>2522</v>
      </c>
      <c r="Q1485" t="s">
        <v>2525</v>
      </c>
    </row>
    <row r="1486" spans="1:17" x14ac:dyDescent="0.35">
      <c r="A1486" t="s">
        <v>866</v>
      </c>
      <c r="B1486" s="3">
        <v>45266</v>
      </c>
      <c r="C1486" t="s">
        <v>2014</v>
      </c>
      <c r="D1486" t="s">
        <v>2024</v>
      </c>
      <c r="E1486" s="8">
        <v>3196</v>
      </c>
      <c r="F1486">
        <v>7</v>
      </c>
      <c r="G1486">
        <v>10</v>
      </c>
      <c r="H1486" s="8">
        <v>20134.8</v>
      </c>
      <c r="I1486">
        <v>2147.61</v>
      </c>
      <c r="J1486">
        <v>5101.5200000000004</v>
      </c>
      <c r="K1486" s="5">
        <f>IF(SalesData[[#This Row],[Total Revenue]]=0,0,SalesData[[#This Row],[Profit]]/SalesData[[#This Row],[Total Revenue]])</f>
        <v>0.25336829767367941</v>
      </c>
      <c r="L1486" s="5" t="str">
        <f>TEXT(SalesData[[#This Row],[Date]],"mmm")</f>
        <v>Dec</v>
      </c>
      <c r="M1486">
        <f>YEAR(SalesData[[#This Row],[Date]])</f>
        <v>2023</v>
      </c>
      <c r="N1486">
        <f>WEEKNUM(SalesData[[#This Row],[Date]])</f>
        <v>49</v>
      </c>
      <c r="O1486" t="s">
        <v>2209</v>
      </c>
      <c r="P1486" t="s">
        <v>2522</v>
      </c>
      <c r="Q1486" t="s">
        <v>2527</v>
      </c>
    </row>
    <row r="1487" spans="1:17" x14ac:dyDescent="0.35">
      <c r="A1487" t="s">
        <v>1206</v>
      </c>
      <c r="B1487" s="3">
        <v>45066</v>
      </c>
      <c r="C1487" t="s">
        <v>2015</v>
      </c>
      <c r="D1487" t="s">
        <v>2025</v>
      </c>
      <c r="E1487" s="8">
        <v>4242</v>
      </c>
      <c r="F1487">
        <v>5</v>
      </c>
      <c r="G1487">
        <v>5</v>
      </c>
      <c r="H1487" s="8">
        <v>20149.5</v>
      </c>
      <c r="I1487">
        <v>3214.32</v>
      </c>
      <c r="J1487">
        <v>4077.91</v>
      </c>
      <c r="K1487" s="5">
        <f>IF(SalesData[[#This Row],[Total Revenue]]=0,0,SalesData[[#This Row],[Profit]]/SalesData[[#This Row],[Total Revenue]])</f>
        <v>0.20238268939675921</v>
      </c>
      <c r="L1487" s="5" t="str">
        <f>TEXT(SalesData[[#This Row],[Date]],"mmm")</f>
        <v>May</v>
      </c>
      <c r="M1487">
        <f>YEAR(SalesData[[#This Row],[Date]])</f>
        <v>2023</v>
      </c>
      <c r="N1487">
        <f>WEEKNUM(SalesData[[#This Row],[Date]])</f>
        <v>20</v>
      </c>
      <c r="O1487" t="s">
        <v>2343</v>
      </c>
      <c r="P1487" t="s">
        <v>2523</v>
      </c>
      <c r="Q1487" t="s">
        <v>2526</v>
      </c>
    </row>
    <row r="1488" spans="1:17" x14ac:dyDescent="0.35">
      <c r="A1488" t="s">
        <v>970</v>
      </c>
      <c r="B1488" s="3">
        <v>45021</v>
      </c>
      <c r="C1488" t="s">
        <v>2019</v>
      </c>
      <c r="D1488" t="s">
        <v>2027</v>
      </c>
      <c r="E1488" s="8">
        <v>4246</v>
      </c>
      <c r="F1488">
        <v>5</v>
      </c>
      <c r="G1488">
        <v>5</v>
      </c>
      <c r="H1488" s="8">
        <v>20168.5</v>
      </c>
      <c r="I1488">
        <v>3172.55</v>
      </c>
      <c r="J1488">
        <v>4305.7299999999996</v>
      </c>
      <c r="K1488" s="5">
        <f>IF(SalesData[[#This Row],[Total Revenue]]=0,0,SalesData[[#This Row],[Profit]]/SalesData[[#This Row],[Total Revenue]])</f>
        <v>0.2134878647395691</v>
      </c>
      <c r="L1488" s="5" t="str">
        <f>TEXT(SalesData[[#This Row],[Date]],"mmm")</f>
        <v>Apr</v>
      </c>
      <c r="M1488">
        <f>YEAR(SalesData[[#This Row],[Date]])</f>
        <v>2023</v>
      </c>
      <c r="N1488">
        <f>WEEKNUM(SalesData[[#This Row],[Date]])</f>
        <v>14</v>
      </c>
      <c r="O1488" t="s">
        <v>2361</v>
      </c>
      <c r="P1488" t="s">
        <v>2523</v>
      </c>
      <c r="Q1488" t="s">
        <v>2526</v>
      </c>
    </row>
    <row r="1489" spans="1:17" x14ac:dyDescent="0.35">
      <c r="A1489" t="s">
        <v>1966</v>
      </c>
      <c r="B1489" s="3">
        <v>45254</v>
      </c>
      <c r="C1489" t="s">
        <v>2018</v>
      </c>
      <c r="D1489" t="s">
        <v>2026</v>
      </c>
      <c r="E1489" s="8">
        <v>3741</v>
      </c>
      <c r="F1489">
        <v>6</v>
      </c>
      <c r="G1489">
        <v>10</v>
      </c>
      <c r="H1489" s="8">
        <v>20201.400000000001</v>
      </c>
      <c r="I1489">
        <v>2445.9299999999998</v>
      </c>
      <c r="J1489">
        <v>5525.79</v>
      </c>
      <c r="K1489" s="5">
        <f>IF(SalesData[[#This Row],[Total Revenue]]=0,0,SalesData[[#This Row],[Profit]]/SalesData[[#This Row],[Total Revenue]])</f>
        <v>0.27353500252457746</v>
      </c>
      <c r="L1489" s="5" t="str">
        <f>TEXT(SalesData[[#This Row],[Date]],"mmm")</f>
        <v>Nov</v>
      </c>
      <c r="M1489">
        <f>YEAR(SalesData[[#This Row],[Date]])</f>
        <v>2023</v>
      </c>
      <c r="N1489">
        <f>WEEKNUM(SalesData[[#This Row],[Date]])</f>
        <v>47</v>
      </c>
      <c r="O1489" t="s">
        <v>2276</v>
      </c>
      <c r="P1489" t="s">
        <v>2523</v>
      </c>
      <c r="Q1489" t="s">
        <v>2526</v>
      </c>
    </row>
    <row r="1490" spans="1:17" x14ac:dyDescent="0.35">
      <c r="A1490" t="s">
        <v>1343</v>
      </c>
      <c r="B1490" s="3">
        <v>45229</v>
      </c>
      <c r="C1490" t="s">
        <v>2019</v>
      </c>
      <c r="D1490" t="s">
        <v>2027</v>
      </c>
      <c r="E1490" s="8">
        <v>3403</v>
      </c>
      <c r="F1490">
        <v>7</v>
      </c>
      <c r="G1490">
        <v>15</v>
      </c>
      <c r="H1490" s="8">
        <v>20247.849999999999</v>
      </c>
      <c r="I1490">
        <v>2201.1</v>
      </c>
      <c r="J1490">
        <v>4840.17</v>
      </c>
      <c r="K1490" s="5">
        <f>IF(SalesData[[#This Row],[Total Revenue]]=0,0,SalesData[[#This Row],[Profit]]/SalesData[[#This Row],[Total Revenue]])</f>
        <v>0.23904612094617456</v>
      </c>
      <c r="L1490" s="5" t="str">
        <f>TEXT(SalesData[[#This Row],[Date]],"mmm")</f>
        <v>Oct</v>
      </c>
      <c r="M1490">
        <f>YEAR(SalesData[[#This Row],[Date]])</f>
        <v>2023</v>
      </c>
      <c r="N1490">
        <f>WEEKNUM(SalesData[[#This Row],[Date]])</f>
        <v>44</v>
      </c>
      <c r="O1490" t="s">
        <v>2459</v>
      </c>
      <c r="P1490" t="s">
        <v>2523</v>
      </c>
      <c r="Q1490" t="s">
        <v>2524</v>
      </c>
    </row>
    <row r="1491" spans="1:17" x14ac:dyDescent="0.35">
      <c r="A1491" t="s">
        <v>781</v>
      </c>
      <c r="B1491" s="3">
        <v>45236</v>
      </c>
      <c r="C1491" t="s">
        <v>2014</v>
      </c>
      <c r="D1491" t="s">
        <v>2024</v>
      </c>
      <c r="E1491" s="8">
        <v>4264</v>
      </c>
      <c r="F1491">
        <v>5</v>
      </c>
      <c r="G1491">
        <v>5</v>
      </c>
      <c r="H1491" s="8">
        <v>20254</v>
      </c>
      <c r="I1491">
        <v>3151.28</v>
      </c>
      <c r="J1491">
        <v>4497.58</v>
      </c>
      <c r="K1491" s="5">
        <f>IF(SalesData[[#This Row],[Total Revenue]]=0,0,SalesData[[#This Row],[Profit]]/SalesData[[#This Row],[Total Revenue]])</f>
        <v>0.22205885257233138</v>
      </c>
      <c r="L1491" s="5" t="str">
        <f>TEXT(SalesData[[#This Row],[Date]],"mmm")</f>
        <v>Nov</v>
      </c>
      <c r="M1491">
        <f>YEAR(SalesData[[#This Row],[Date]])</f>
        <v>2023</v>
      </c>
      <c r="N1491">
        <f>WEEKNUM(SalesData[[#This Row],[Date]])</f>
        <v>45</v>
      </c>
      <c r="O1491" t="s">
        <v>2151</v>
      </c>
      <c r="P1491" t="s">
        <v>2523</v>
      </c>
      <c r="Q1491" t="s">
        <v>2525</v>
      </c>
    </row>
    <row r="1492" spans="1:17" x14ac:dyDescent="0.35">
      <c r="A1492" t="s">
        <v>1617</v>
      </c>
      <c r="B1492" s="3">
        <v>45125</v>
      </c>
      <c r="C1492" t="s">
        <v>2014</v>
      </c>
      <c r="D1492" t="s">
        <v>2024</v>
      </c>
      <c r="E1492" s="8">
        <v>2896</v>
      </c>
      <c r="F1492">
        <v>7</v>
      </c>
      <c r="G1492">
        <v>0</v>
      </c>
      <c r="H1492" s="8">
        <v>20272</v>
      </c>
      <c r="I1492">
        <v>1569.76</v>
      </c>
      <c r="J1492">
        <v>9283.7099999999991</v>
      </c>
      <c r="K1492" s="5">
        <f>IF(SalesData[[#This Row],[Total Revenue]]=0,0,SalesData[[#This Row],[Profit]]/SalesData[[#This Row],[Total Revenue]])</f>
        <v>0.45795728097868976</v>
      </c>
      <c r="L1492" s="5" t="str">
        <f>TEXT(SalesData[[#This Row],[Date]],"mmm")</f>
        <v>Jul</v>
      </c>
      <c r="M1492">
        <f>YEAR(SalesData[[#This Row],[Date]])</f>
        <v>2023</v>
      </c>
      <c r="N1492">
        <f>WEEKNUM(SalesData[[#This Row],[Date]])</f>
        <v>29</v>
      </c>
      <c r="O1492" t="s">
        <v>2148</v>
      </c>
      <c r="P1492" t="s">
        <v>2523</v>
      </c>
      <c r="Q1492" t="s">
        <v>2527</v>
      </c>
    </row>
    <row r="1493" spans="1:17" x14ac:dyDescent="0.35">
      <c r="A1493" t="s">
        <v>604</v>
      </c>
      <c r="B1493" s="3">
        <v>45136</v>
      </c>
      <c r="C1493" t="s">
        <v>2014</v>
      </c>
      <c r="D1493" t="s">
        <v>2024</v>
      </c>
      <c r="E1493" s="8">
        <v>4064</v>
      </c>
      <c r="F1493">
        <v>5</v>
      </c>
      <c r="G1493">
        <v>0</v>
      </c>
      <c r="H1493" s="8">
        <v>20320</v>
      </c>
      <c r="I1493">
        <v>2032.26</v>
      </c>
      <c r="J1493">
        <v>10158.709999999999</v>
      </c>
      <c r="K1493" s="5">
        <f>IF(SalesData[[#This Row],[Total Revenue]]=0,0,SalesData[[#This Row],[Profit]]/SalesData[[#This Row],[Total Revenue]])</f>
        <v>0.49993651574803144</v>
      </c>
      <c r="L1493" s="5" t="str">
        <f>TEXT(SalesData[[#This Row],[Date]],"mmm")</f>
        <v>Jul</v>
      </c>
      <c r="M1493">
        <f>YEAR(SalesData[[#This Row],[Date]])</f>
        <v>2023</v>
      </c>
      <c r="N1493">
        <f>WEEKNUM(SalesData[[#This Row],[Date]])</f>
        <v>30</v>
      </c>
      <c r="O1493" t="s">
        <v>2370</v>
      </c>
      <c r="P1493" t="s">
        <v>2523</v>
      </c>
      <c r="Q1493" t="s">
        <v>2526</v>
      </c>
    </row>
    <row r="1494" spans="1:17" x14ac:dyDescent="0.35">
      <c r="A1494" t="s">
        <v>1684</v>
      </c>
      <c r="B1494" s="3">
        <v>45282</v>
      </c>
      <c r="C1494" t="s">
        <v>2021</v>
      </c>
      <c r="D1494" t="s">
        <v>2028</v>
      </c>
      <c r="E1494" s="8">
        <v>4782</v>
      </c>
      <c r="F1494">
        <v>5</v>
      </c>
      <c r="G1494">
        <v>15</v>
      </c>
      <c r="H1494" s="8">
        <v>20323.5</v>
      </c>
      <c r="I1494">
        <v>3510.32</v>
      </c>
      <c r="J1494">
        <v>2771.9</v>
      </c>
      <c r="K1494" s="5">
        <f>IF(SalesData[[#This Row],[Total Revenue]]=0,0,SalesData[[#This Row],[Profit]]/SalesData[[#This Row],[Total Revenue]])</f>
        <v>0.13638890939060694</v>
      </c>
      <c r="L1494" s="5" t="str">
        <f>TEXT(SalesData[[#This Row],[Date]],"mmm")</f>
        <v>Dec</v>
      </c>
      <c r="M1494">
        <f>YEAR(SalesData[[#This Row],[Date]])</f>
        <v>2023</v>
      </c>
      <c r="N1494">
        <f>WEEKNUM(SalesData[[#This Row],[Date]])</f>
        <v>51</v>
      </c>
      <c r="O1494" t="s">
        <v>2394</v>
      </c>
      <c r="P1494" t="s">
        <v>2522</v>
      </c>
      <c r="Q1494" t="s">
        <v>2524</v>
      </c>
    </row>
    <row r="1495" spans="1:17" x14ac:dyDescent="0.35">
      <c r="A1495" t="s">
        <v>1184</v>
      </c>
      <c r="B1495" s="3">
        <v>45212</v>
      </c>
      <c r="C1495" t="s">
        <v>2014</v>
      </c>
      <c r="D1495" t="s">
        <v>2024</v>
      </c>
      <c r="E1495" s="8">
        <v>2904</v>
      </c>
      <c r="F1495">
        <v>7</v>
      </c>
      <c r="G1495">
        <v>0</v>
      </c>
      <c r="H1495" s="8">
        <v>20328</v>
      </c>
      <c r="I1495">
        <v>2230.85</v>
      </c>
      <c r="J1495">
        <v>4712.0200000000004</v>
      </c>
      <c r="K1495" s="5">
        <f>IF(SalesData[[#This Row],[Total Revenue]]=0,0,SalesData[[#This Row],[Profit]]/SalesData[[#This Row],[Total Revenue]])</f>
        <v>0.23179948839039749</v>
      </c>
      <c r="L1495" s="5" t="str">
        <f>TEXT(SalesData[[#This Row],[Date]],"mmm")</f>
        <v>Oct</v>
      </c>
      <c r="M1495">
        <f>YEAR(SalesData[[#This Row],[Date]])</f>
        <v>2023</v>
      </c>
      <c r="N1495">
        <f>WEEKNUM(SalesData[[#This Row],[Date]])</f>
        <v>41</v>
      </c>
      <c r="O1495" t="s">
        <v>2465</v>
      </c>
      <c r="P1495" t="s">
        <v>2523</v>
      </c>
      <c r="Q1495" t="s">
        <v>2525</v>
      </c>
    </row>
    <row r="1496" spans="1:17" x14ac:dyDescent="0.35">
      <c r="A1496" t="s">
        <v>1675</v>
      </c>
      <c r="B1496" s="3">
        <v>45275</v>
      </c>
      <c r="C1496" t="s">
        <v>2018</v>
      </c>
      <c r="D1496" t="s">
        <v>2026</v>
      </c>
      <c r="E1496" s="8">
        <v>4519</v>
      </c>
      <c r="F1496">
        <v>5</v>
      </c>
      <c r="G1496">
        <v>10</v>
      </c>
      <c r="H1496" s="8">
        <v>20335.5</v>
      </c>
      <c r="I1496">
        <v>3196.53</v>
      </c>
      <c r="J1496">
        <v>4352.84</v>
      </c>
      <c r="K1496" s="5">
        <f>IF(SalesData[[#This Row],[Total Revenue]]=0,0,SalesData[[#This Row],[Profit]]/SalesData[[#This Row],[Total Revenue]])</f>
        <v>0.21405128961668018</v>
      </c>
      <c r="L1496" s="5" t="str">
        <f>TEXT(SalesData[[#This Row],[Date]],"mmm")</f>
        <v>Dec</v>
      </c>
      <c r="M1496">
        <f>YEAR(SalesData[[#This Row],[Date]])</f>
        <v>2023</v>
      </c>
      <c r="N1496">
        <f>WEEKNUM(SalesData[[#This Row],[Date]])</f>
        <v>50</v>
      </c>
      <c r="O1496" t="s">
        <v>2445</v>
      </c>
      <c r="P1496" t="s">
        <v>2523</v>
      </c>
      <c r="Q1496" t="s">
        <v>2524</v>
      </c>
    </row>
    <row r="1497" spans="1:17" x14ac:dyDescent="0.35">
      <c r="A1497" t="s">
        <v>860</v>
      </c>
      <c r="B1497" s="3">
        <v>45100</v>
      </c>
      <c r="C1497" t="s">
        <v>2020</v>
      </c>
      <c r="D1497" t="s">
        <v>2028</v>
      </c>
      <c r="E1497" s="8">
        <v>2542</v>
      </c>
      <c r="F1497">
        <v>8</v>
      </c>
      <c r="G1497">
        <v>0</v>
      </c>
      <c r="H1497" s="8">
        <v>20336</v>
      </c>
      <c r="I1497">
        <v>1868.08</v>
      </c>
      <c r="J1497">
        <v>5391.34</v>
      </c>
      <c r="K1497" s="5">
        <f>IF(SalesData[[#This Row],[Total Revenue]]=0,0,SalesData[[#This Row],[Profit]]/SalesData[[#This Row],[Total Revenue]])</f>
        <v>0.26511309992132182</v>
      </c>
      <c r="L1497" s="5" t="str">
        <f>TEXT(SalesData[[#This Row],[Date]],"mmm")</f>
        <v>Jun</v>
      </c>
      <c r="M1497">
        <f>YEAR(SalesData[[#This Row],[Date]])</f>
        <v>2023</v>
      </c>
      <c r="N1497">
        <f>WEEKNUM(SalesData[[#This Row],[Date]])</f>
        <v>25</v>
      </c>
      <c r="O1497" t="s">
        <v>2428</v>
      </c>
      <c r="P1497" t="s">
        <v>2523</v>
      </c>
      <c r="Q1497" t="s">
        <v>2525</v>
      </c>
    </row>
    <row r="1498" spans="1:17" x14ac:dyDescent="0.35">
      <c r="A1498" t="s">
        <v>615</v>
      </c>
      <c r="B1498" s="3">
        <v>45213</v>
      </c>
      <c r="C1498" t="s">
        <v>2022</v>
      </c>
      <c r="D1498" t="s">
        <v>2024</v>
      </c>
      <c r="E1498" s="8">
        <v>3582</v>
      </c>
      <c r="F1498">
        <v>6</v>
      </c>
      <c r="G1498">
        <v>5</v>
      </c>
      <c r="H1498" s="8">
        <v>20417.400000000001</v>
      </c>
      <c r="I1498">
        <v>1893.98</v>
      </c>
      <c r="J1498">
        <v>9053.5400000000009</v>
      </c>
      <c r="K1498" s="5">
        <f>IF(SalesData[[#This Row],[Total Revenue]]=0,0,SalesData[[#This Row],[Profit]]/SalesData[[#This Row],[Total Revenue]])</f>
        <v>0.44342276685572113</v>
      </c>
      <c r="L1498" s="5" t="str">
        <f>TEXT(SalesData[[#This Row],[Date]],"mmm")</f>
        <v>Oct</v>
      </c>
      <c r="M1498">
        <f>YEAR(SalesData[[#This Row],[Date]])</f>
        <v>2023</v>
      </c>
      <c r="N1498">
        <f>WEEKNUM(SalesData[[#This Row],[Date]])</f>
        <v>41</v>
      </c>
      <c r="O1498" t="s">
        <v>2376</v>
      </c>
      <c r="P1498" t="s">
        <v>2522</v>
      </c>
      <c r="Q1498" t="s">
        <v>2527</v>
      </c>
    </row>
    <row r="1499" spans="1:17" x14ac:dyDescent="0.35">
      <c r="A1499" t="s">
        <v>160</v>
      </c>
      <c r="B1499" s="3">
        <v>44927</v>
      </c>
      <c r="C1499" t="s">
        <v>2019</v>
      </c>
      <c r="D1499" t="s">
        <v>2027</v>
      </c>
      <c r="E1499" s="8">
        <v>3405</v>
      </c>
      <c r="F1499">
        <v>6</v>
      </c>
      <c r="G1499">
        <v>0</v>
      </c>
      <c r="H1499" s="8">
        <v>20430</v>
      </c>
      <c r="I1499">
        <v>2595.59</v>
      </c>
      <c r="J1499">
        <v>4856.45</v>
      </c>
      <c r="K1499" s="5">
        <f>IF(SalesData[[#This Row],[Total Revenue]]=0,0,SalesData[[#This Row],[Profit]]/SalesData[[#This Row],[Total Revenue]])</f>
        <v>0.23771169848262358</v>
      </c>
      <c r="L1499" s="5" t="str">
        <f>TEXT(SalesData[[#This Row],[Date]],"mmm")</f>
        <v>Jan</v>
      </c>
      <c r="M1499">
        <f>YEAR(SalesData[[#This Row],[Date]])</f>
        <v>2023</v>
      </c>
      <c r="N1499">
        <f>WEEKNUM(SalesData[[#This Row],[Date]])</f>
        <v>1</v>
      </c>
      <c r="O1499" t="s">
        <v>2158</v>
      </c>
      <c r="P1499" t="s">
        <v>2522</v>
      </c>
      <c r="Q1499" t="s">
        <v>2526</v>
      </c>
    </row>
    <row r="1500" spans="1:17" x14ac:dyDescent="0.35">
      <c r="A1500" t="s">
        <v>26</v>
      </c>
      <c r="B1500" s="3">
        <v>45191</v>
      </c>
      <c r="C1500" t="s">
        <v>2013</v>
      </c>
      <c r="D1500" t="s">
        <v>2023</v>
      </c>
      <c r="E1500" s="8">
        <v>3073</v>
      </c>
      <c r="F1500">
        <v>7</v>
      </c>
      <c r="G1500">
        <v>5</v>
      </c>
      <c r="H1500" s="8">
        <v>20435.45</v>
      </c>
      <c r="I1500">
        <v>1544</v>
      </c>
      <c r="J1500">
        <v>9627.4500000000007</v>
      </c>
      <c r="K1500" s="5">
        <f>IF(SalesData[[#This Row],[Total Revenue]]=0,0,SalesData[[#This Row],[Profit]]/SalesData[[#This Row],[Total Revenue]])</f>
        <v>0.47111514549471628</v>
      </c>
      <c r="L1500" s="5" t="str">
        <f>TEXT(SalesData[[#This Row],[Date]],"mmm")</f>
        <v>Sep</v>
      </c>
      <c r="M1500">
        <f>YEAR(SalesData[[#This Row],[Date]])</f>
        <v>2023</v>
      </c>
      <c r="N1500">
        <f>WEEKNUM(SalesData[[#This Row],[Date]])</f>
        <v>38</v>
      </c>
      <c r="O1500" t="s">
        <v>2042</v>
      </c>
      <c r="P1500" t="s">
        <v>2522</v>
      </c>
      <c r="Q1500" t="s">
        <v>2526</v>
      </c>
    </row>
    <row r="1501" spans="1:17" x14ac:dyDescent="0.35">
      <c r="A1501" t="s">
        <v>1560</v>
      </c>
      <c r="B1501" s="3">
        <v>45101</v>
      </c>
      <c r="C1501" t="s">
        <v>2013</v>
      </c>
      <c r="D1501" t="s">
        <v>2023</v>
      </c>
      <c r="E1501" s="8">
        <v>4813</v>
      </c>
      <c r="F1501">
        <v>5</v>
      </c>
      <c r="G1501">
        <v>15</v>
      </c>
      <c r="H1501" s="8">
        <v>20455.25</v>
      </c>
      <c r="I1501">
        <v>3522.41</v>
      </c>
      <c r="J1501">
        <v>2843.18</v>
      </c>
      <c r="K1501" s="5">
        <f>IF(SalesData[[#This Row],[Total Revenue]]=0,0,SalesData[[#This Row],[Profit]]/SalesData[[#This Row],[Total Revenue]])</f>
        <v>0.13899512350130161</v>
      </c>
      <c r="L1501" s="5" t="str">
        <f>TEXT(SalesData[[#This Row],[Date]],"mmm")</f>
        <v>Jun</v>
      </c>
      <c r="M1501">
        <f>YEAR(SalesData[[#This Row],[Date]])</f>
        <v>2023</v>
      </c>
      <c r="N1501">
        <f>WEEKNUM(SalesData[[#This Row],[Date]])</f>
        <v>25</v>
      </c>
      <c r="O1501" t="s">
        <v>2135</v>
      </c>
      <c r="P1501" t="s">
        <v>2523</v>
      </c>
      <c r="Q1501" t="s">
        <v>2527</v>
      </c>
    </row>
    <row r="1502" spans="1:17" x14ac:dyDescent="0.35">
      <c r="A1502" t="s">
        <v>851</v>
      </c>
      <c r="B1502" s="3">
        <v>45040</v>
      </c>
      <c r="C1502" t="s">
        <v>2019</v>
      </c>
      <c r="D1502" t="s">
        <v>2027</v>
      </c>
      <c r="E1502" s="8">
        <v>2527</v>
      </c>
      <c r="F1502">
        <v>9</v>
      </c>
      <c r="G1502">
        <v>10</v>
      </c>
      <c r="H1502" s="8">
        <v>20468.7</v>
      </c>
      <c r="I1502">
        <v>1783.53</v>
      </c>
      <c r="J1502">
        <v>4416.8900000000003</v>
      </c>
      <c r="K1502" s="5">
        <f>IF(SalesData[[#This Row],[Total Revenue]]=0,0,SalesData[[#This Row],[Profit]]/SalesData[[#This Row],[Total Revenue]])</f>
        <v>0.21578751948096361</v>
      </c>
      <c r="L1502" s="5" t="str">
        <f>TEXT(SalesData[[#This Row],[Date]],"mmm")</f>
        <v>Apr</v>
      </c>
      <c r="M1502">
        <f>YEAR(SalesData[[#This Row],[Date]])</f>
        <v>2023</v>
      </c>
      <c r="N1502">
        <f>WEEKNUM(SalesData[[#This Row],[Date]])</f>
        <v>17</v>
      </c>
      <c r="O1502" t="s">
        <v>2382</v>
      </c>
      <c r="P1502" t="s">
        <v>2522</v>
      </c>
      <c r="Q1502" t="s">
        <v>2527</v>
      </c>
    </row>
    <row r="1503" spans="1:17" x14ac:dyDescent="0.35">
      <c r="A1503" t="s">
        <v>1879</v>
      </c>
      <c r="B1503" s="3">
        <v>44944</v>
      </c>
      <c r="C1503" t="s">
        <v>2018</v>
      </c>
      <c r="D1503" t="s">
        <v>2026</v>
      </c>
      <c r="E1503" s="8">
        <v>2413</v>
      </c>
      <c r="F1503">
        <v>10</v>
      </c>
      <c r="G1503">
        <v>15</v>
      </c>
      <c r="H1503" s="8">
        <v>20510.5</v>
      </c>
      <c r="I1503">
        <v>1236.3499999999999</v>
      </c>
      <c r="J1503">
        <v>8147.03</v>
      </c>
      <c r="K1503" s="5">
        <f>IF(SalesData[[#This Row],[Total Revenue]]=0,0,SalesData[[#This Row],[Profit]]/SalesData[[#This Row],[Total Revenue]])</f>
        <v>0.39721264718071231</v>
      </c>
      <c r="L1503" s="5" t="str">
        <f>TEXT(SalesData[[#This Row],[Date]],"mmm")</f>
        <v>Jan</v>
      </c>
      <c r="M1503">
        <f>YEAR(SalesData[[#This Row],[Date]])</f>
        <v>2023</v>
      </c>
      <c r="N1503">
        <f>WEEKNUM(SalesData[[#This Row],[Date]])</f>
        <v>3</v>
      </c>
      <c r="O1503" t="s">
        <v>2173</v>
      </c>
      <c r="P1503" t="s">
        <v>2523</v>
      </c>
      <c r="Q1503" t="s">
        <v>2526</v>
      </c>
    </row>
    <row r="1504" spans="1:17" x14ac:dyDescent="0.35">
      <c r="A1504" t="s">
        <v>1971</v>
      </c>
      <c r="B1504" s="3">
        <v>44946</v>
      </c>
      <c r="C1504" t="s">
        <v>2014</v>
      </c>
      <c r="D1504" t="s">
        <v>2024</v>
      </c>
      <c r="E1504" s="8">
        <v>3093</v>
      </c>
      <c r="F1504">
        <v>7</v>
      </c>
      <c r="G1504">
        <v>5</v>
      </c>
      <c r="H1504" s="8">
        <v>20568.45</v>
      </c>
      <c r="I1504">
        <v>1679.71</v>
      </c>
      <c r="J1504">
        <v>8810.5</v>
      </c>
      <c r="K1504" s="5">
        <f>IF(SalesData[[#This Row],[Total Revenue]]=0,0,SalesData[[#This Row],[Profit]]/SalesData[[#This Row],[Total Revenue]])</f>
        <v>0.4283502159861341</v>
      </c>
      <c r="L1504" s="5" t="str">
        <f>TEXT(SalesData[[#This Row],[Date]],"mmm")</f>
        <v>Jan</v>
      </c>
      <c r="M1504">
        <f>YEAR(SalesData[[#This Row],[Date]])</f>
        <v>2023</v>
      </c>
      <c r="N1504">
        <f>WEEKNUM(SalesData[[#This Row],[Date]])</f>
        <v>3</v>
      </c>
      <c r="O1504" t="s">
        <v>2445</v>
      </c>
      <c r="P1504" t="s">
        <v>2522</v>
      </c>
      <c r="Q1504" t="s">
        <v>2527</v>
      </c>
    </row>
    <row r="1505" spans="1:17" x14ac:dyDescent="0.35">
      <c r="A1505" t="s">
        <v>1013</v>
      </c>
      <c r="B1505" s="3">
        <v>45243</v>
      </c>
      <c r="C1505" t="s">
        <v>2016</v>
      </c>
      <c r="D1505" t="s">
        <v>2025</v>
      </c>
      <c r="E1505" s="8">
        <v>3461</v>
      </c>
      <c r="F1505">
        <v>7</v>
      </c>
      <c r="G1505">
        <v>15</v>
      </c>
      <c r="H1505" s="8">
        <v>20592.95</v>
      </c>
      <c r="I1505">
        <v>2468.04</v>
      </c>
      <c r="J1505">
        <v>3316.67</v>
      </c>
      <c r="K1505" s="5">
        <f>IF(SalesData[[#This Row],[Total Revenue]]=0,0,SalesData[[#This Row],[Profit]]/SalesData[[#This Row],[Total Revenue]])</f>
        <v>0.16105851759946971</v>
      </c>
      <c r="L1505" s="5" t="str">
        <f>TEXT(SalesData[[#This Row],[Date]],"mmm")</f>
        <v>Nov</v>
      </c>
      <c r="M1505">
        <f>YEAR(SalesData[[#This Row],[Date]])</f>
        <v>2023</v>
      </c>
      <c r="N1505">
        <f>WEEKNUM(SalesData[[#This Row],[Date]])</f>
        <v>46</v>
      </c>
      <c r="O1505" t="s">
        <v>2208</v>
      </c>
      <c r="P1505" t="s">
        <v>2522</v>
      </c>
      <c r="Q1505" t="s">
        <v>2524</v>
      </c>
    </row>
    <row r="1506" spans="1:17" x14ac:dyDescent="0.35">
      <c r="A1506" t="s">
        <v>1988</v>
      </c>
      <c r="B1506" s="3">
        <v>45164</v>
      </c>
      <c r="C1506" t="s">
        <v>2019</v>
      </c>
      <c r="D1506" t="s">
        <v>2027</v>
      </c>
      <c r="E1506" s="8">
        <v>4039</v>
      </c>
      <c r="F1506">
        <v>6</v>
      </c>
      <c r="G1506">
        <v>15</v>
      </c>
      <c r="H1506" s="8">
        <v>20598.900000000001</v>
      </c>
      <c r="I1506">
        <v>2122.9299999999998</v>
      </c>
      <c r="J1506">
        <v>7861.33</v>
      </c>
      <c r="K1506" s="5">
        <f>IF(SalesData[[#This Row],[Total Revenue]]=0,0,SalesData[[#This Row],[Profit]]/SalesData[[#This Row],[Total Revenue]])</f>
        <v>0.38163833991135448</v>
      </c>
      <c r="L1506" s="5" t="str">
        <f>TEXT(SalesData[[#This Row],[Date]],"mmm")</f>
        <v>Aug</v>
      </c>
      <c r="M1506">
        <f>YEAR(SalesData[[#This Row],[Date]])</f>
        <v>2023</v>
      </c>
      <c r="N1506">
        <f>WEEKNUM(SalesData[[#This Row],[Date]])</f>
        <v>34</v>
      </c>
      <c r="O1506" t="s">
        <v>2488</v>
      </c>
      <c r="P1506" t="s">
        <v>2523</v>
      </c>
      <c r="Q1506" t="s">
        <v>2527</v>
      </c>
    </row>
    <row r="1507" spans="1:17" x14ac:dyDescent="0.35">
      <c r="A1507" t="s">
        <v>1712</v>
      </c>
      <c r="B1507" s="3">
        <v>44993</v>
      </c>
      <c r="C1507" t="s">
        <v>2013</v>
      </c>
      <c r="D1507" t="s">
        <v>2023</v>
      </c>
      <c r="E1507" s="8">
        <v>4040</v>
      </c>
      <c r="F1507">
        <v>6</v>
      </c>
      <c r="G1507">
        <v>15</v>
      </c>
      <c r="H1507" s="8">
        <v>20604</v>
      </c>
      <c r="I1507">
        <v>2112.14</v>
      </c>
      <c r="J1507">
        <v>7931.15</v>
      </c>
      <c r="K1507" s="5">
        <f>IF(SalesData[[#This Row],[Total Revenue]]=0,0,SalesData[[#This Row],[Profit]]/SalesData[[#This Row],[Total Revenue]])</f>
        <v>0.38493253737138416</v>
      </c>
      <c r="L1507" s="5" t="str">
        <f>TEXT(SalesData[[#This Row],[Date]],"mmm")</f>
        <v>Mar</v>
      </c>
      <c r="M1507">
        <f>YEAR(SalesData[[#This Row],[Date]])</f>
        <v>2023</v>
      </c>
      <c r="N1507">
        <f>WEEKNUM(SalesData[[#This Row],[Date]])</f>
        <v>10</v>
      </c>
      <c r="O1507" t="s">
        <v>2328</v>
      </c>
      <c r="P1507" t="s">
        <v>2523</v>
      </c>
      <c r="Q1507" t="s">
        <v>2525</v>
      </c>
    </row>
    <row r="1508" spans="1:17" x14ac:dyDescent="0.35">
      <c r="A1508" t="s">
        <v>1596</v>
      </c>
      <c r="B1508" s="3">
        <v>44999</v>
      </c>
      <c r="C1508" t="s">
        <v>2019</v>
      </c>
      <c r="D1508" t="s">
        <v>2027</v>
      </c>
      <c r="E1508" s="8">
        <v>4849</v>
      </c>
      <c r="F1508">
        <v>5</v>
      </c>
      <c r="G1508">
        <v>15</v>
      </c>
      <c r="H1508" s="8">
        <v>20608.25</v>
      </c>
      <c r="I1508">
        <v>2718.02</v>
      </c>
      <c r="J1508">
        <v>7018.13</v>
      </c>
      <c r="K1508" s="5">
        <f>IF(SalesData[[#This Row],[Total Revenue]]=0,0,SalesData[[#This Row],[Profit]]/SalesData[[#This Row],[Total Revenue]])</f>
        <v>0.34054953719990783</v>
      </c>
      <c r="L1508" s="5" t="str">
        <f>TEXT(SalesData[[#This Row],[Date]],"mmm")</f>
        <v>Mar</v>
      </c>
      <c r="M1508">
        <f>YEAR(SalesData[[#This Row],[Date]])</f>
        <v>2023</v>
      </c>
      <c r="N1508">
        <f>WEEKNUM(SalesData[[#This Row],[Date]])</f>
        <v>11</v>
      </c>
      <c r="O1508" t="s">
        <v>2319</v>
      </c>
      <c r="P1508" t="s">
        <v>2522</v>
      </c>
      <c r="Q1508" t="s">
        <v>2525</v>
      </c>
    </row>
    <row r="1509" spans="1:17" x14ac:dyDescent="0.35">
      <c r="A1509" t="s">
        <v>363</v>
      </c>
      <c r="B1509" s="3">
        <v>45200</v>
      </c>
      <c r="C1509" t="s">
        <v>2022</v>
      </c>
      <c r="D1509" t="s">
        <v>2024</v>
      </c>
      <c r="E1509" s="8">
        <v>2548</v>
      </c>
      <c r="F1509">
        <v>9</v>
      </c>
      <c r="G1509">
        <v>10</v>
      </c>
      <c r="H1509" s="8">
        <v>20638.8</v>
      </c>
      <c r="I1509">
        <v>1692.66</v>
      </c>
      <c r="J1509">
        <v>5404.83</v>
      </c>
      <c r="K1509" s="5">
        <f>IF(SalesData[[#This Row],[Total Revenue]]=0,0,SalesData[[#This Row],[Profit]]/SalesData[[#This Row],[Total Revenue]])</f>
        <v>0.26187714402000117</v>
      </c>
      <c r="L1509" s="5" t="str">
        <f>TEXT(SalesData[[#This Row],[Date]],"mmm")</f>
        <v>Oct</v>
      </c>
      <c r="M1509">
        <f>YEAR(SalesData[[#This Row],[Date]])</f>
        <v>2023</v>
      </c>
      <c r="N1509">
        <f>WEEKNUM(SalesData[[#This Row],[Date]])</f>
        <v>40</v>
      </c>
      <c r="O1509" t="s">
        <v>2061</v>
      </c>
      <c r="P1509" t="s">
        <v>2522</v>
      </c>
      <c r="Q1509" t="s">
        <v>2524</v>
      </c>
    </row>
    <row r="1510" spans="1:17" x14ac:dyDescent="0.35">
      <c r="A1510" t="s">
        <v>661</v>
      </c>
      <c r="B1510" s="3">
        <v>45232</v>
      </c>
      <c r="C1510" t="s">
        <v>2016</v>
      </c>
      <c r="D1510" t="s">
        <v>2025</v>
      </c>
      <c r="E1510" s="8">
        <v>4083</v>
      </c>
      <c r="F1510">
        <v>6</v>
      </c>
      <c r="G1510">
        <v>15</v>
      </c>
      <c r="H1510" s="8">
        <v>20823.3</v>
      </c>
      <c r="I1510">
        <v>2043.94</v>
      </c>
      <c r="J1510">
        <v>8559.67</v>
      </c>
      <c r="K1510" s="5">
        <f>IF(SalesData[[#This Row],[Total Revenue]]=0,0,SalesData[[#This Row],[Profit]]/SalesData[[#This Row],[Total Revenue]])</f>
        <v>0.41106212752061394</v>
      </c>
      <c r="L1510" s="5" t="str">
        <f>TEXT(SalesData[[#This Row],[Date]],"mmm")</f>
        <v>Nov</v>
      </c>
      <c r="M1510">
        <f>YEAR(SalesData[[#This Row],[Date]])</f>
        <v>2023</v>
      </c>
      <c r="N1510">
        <f>WEEKNUM(SalesData[[#This Row],[Date]])</f>
        <v>44</v>
      </c>
      <c r="O1510" t="s">
        <v>2393</v>
      </c>
      <c r="P1510" t="s">
        <v>2523</v>
      </c>
      <c r="Q1510" t="s">
        <v>2524</v>
      </c>
    </row>
    <row r="1511" spans="1:17" x14ac:dyDescent="0.35">
      <c r="A1511" t="s">
        <v>44</v>
      </c>
      <c r="B1511" s="3">
        <v>45255</v>
      </c>
      <c r="C1511" t="s">
        <v>2015</v>
      </c>
      <c r="D1511" t="s">
        <v>2025</v>
      </c>
      <c r="E1511" s="8">
        <v>4088</v>
      </c>
      <c r="F1511">
        <v>6</v>
      </c>
      <c r="G1511">
        <v>15</v>
      </c>
      <c r="H1511" s="8">
        <v>20848.8</v>
      </c>
      <c r="I1511">
        <v>3164.51</v>
      </c>
      <c r="J1511">
        <v>1861.76</v>
      </c>
      <c r="K1511" s="5">
        <f>IF(SalesData[[#This Row],[Total Revenue]]=0,0,SalesData[[#This Row],[Profit]]/SalesData[[#This Row],[Total Revenue]])</f>
        <v>8.9298185027435639E-2</v>
      </c>
      <c r="L1511" s="5" t="str">
        <f>TEXT(SalesData[[#This Row],[Date]],"mmm")</f>
        <v>Nov</v>
      </c>
      <c r="M1511">
        <f>YEAR(SalesData[[#This Row],[Date]])</f>
        <v>2023</v>
      </c>
      <c r="N1511">
        <f>WEEKNUM(SalesData[[#This Row],[Date]])</f>
        <v>47</v>
      </c>
      <c r="O1511" t="s">
        <v>2043</v>
      </c>
      <c r="P1511" t="s">
        <v>2523</v>
      </c>
      <c r="Q1511" t="s">
        <v>2524</v>
      </c>
    </row>
    <row r="1512" spans="1:17" x14ac:dyDescent="0.35">
      <c r="A1512" t="s">
        <v>885</v>
      </c>
      <c r="B1512" s="3">
        <v>44966</v>
      </c>
      <c r="C1512" t="s">
        <v>2020</v>
      </c>
      <c r="D1512" t="s">
        <v>2028</v>
      </c>
      <c r="E1512" s="8">
        <v>4918</v>
      </c>
      <c r="F1512">
        <v>5</v>
      </c>
      <c r="G1512">
        <v>15</v>
      </c>
      <c r="H1512" s="8">
        <v>20901.5</v>
      </c>
      <c r="I1512">
        <v>2508.4899999999998</v>
      </c>
      <c r="J1512">
        <v>8359.07</v>
      </c>
      <c r="K1512" s="5">
        <f>IF(SalesData[[#This Row],[Total Revenue]]=0,0,SalesData[[#This Row],[Profit]]/SalesData[[#This Row],[Total Revenue]])</f>
        <v>0.39992679951199672</v>
      </c>
      <c r="L1512" s="5" t="str">
        <f>TEXT(SalesData[[#This Row],[Date]],"mmm")</f>
        <v>Feb</v>
      </c>
      <c r="M1512">
        <f>YEAR(SalesData[[#This Row],[Date]])</f>
        <v>2023</v>
      </c>
      <c r="N1512">
        <f>WEEKNUM(SalesData[[#This Row],[Date]])</f>
        <v>6</v>
      </c>
      <c r="O1512" t="s">
        <v>2082</v>
      </c>
      <c r="P1512" t="s">
        <v>2523</v>
      </c>
      <c r="Q1512" t="s">
        <v>2525</v>
      </c>
    </row>
    <row r="1513" spans="1:17" x14ac:dyDescent="0.35">
      <c r="A1513" t="s">
        <v>1392</v>
      </c>
      <c r="B1513" s="3">
        <v>45274</v>
      </c>
      <c r="C1513" t="s">
        <v>2018</v>
      </c>
      <c r="D1513" t="s">
        <v>2026</v>
      </c>
      <c r="E1513" s="8">
        <v>4402</v>
      </c>
      <c r="F1513">
        <v>5</v>
      </c>
      <c r="G1513">
        <v>5</v>
      </c>
      <c r="H1513" s="8">
        <v>20909.5</v>
      </c>
      <c r="I1513">
        <v>2582.4299999999998</v>
      </c>
      <c r="J1513">
        <v>7997.33</v>
      </c>
      <c r="K1513" s="5">
        <f>IF(SalesData[[#This Row],[Total Revenue]]=0,0,SalesData[[#This Row],[Profit]]/SalesData[[#This Row],[Total Revenue]])</f>
        <v>0.38247351682249697</v>
      </c>
      <c r="L1513" s="5" t="str">
        <f>TEXT(SalesData[[#This Row],[Date]],"mmm")</f>
        <v>Dec</v>
      </c>
      <c r="M1513">
        <f>YEAR(SalesData[[#This Row],[Date]])</f>
        <v>2023</v>
      </c>
      <c r="N1513">
        <f>WEEKNUM(SalesData[[#This Row],[Date]])</f>
        <v>50</v>
      </c>
      <c r="O1513" t="s">
        <v>2224</v>
      </c>
      <c r="P1513" t="s">
        <v>2522</v>
      </c>
      <c r="Q1513" t="s">
        <v>2524</v>
      </c>
    </row>
    <row r="1514" spans="1:17" x14ac:dyDescent="0.35">
      <c r="A1514" t="s">
        <v>1233</v>
      </c>
      <c r="B1514" s="3">
        <v>45052</v>
      </c>
      <c r="C1514" t="s">
        <v>2020</v>
      </c>
      <c r="D1514" t="s">
        <v>2028</v>
      </c>
      <c r="E1514" s="8">
        <v>4109</v>
      </c>
      <c r="F1514">
        <v>6</v>
      </c>
      <c r="G1514">
        <v>15</v>
      </c>
      <c r="H1514" s="8">
        <v>20955.900000000001</v>
      </c>
      <c r="I1514">
        <v>2591.9699999999998</v>
      </c>
      <c r="J1514">
        <v>5404.07</v>
      </c>
      <c r="K1514" s="5">
        <f>IF(SalesData[[#This Row],[Total Revenue]]=0,0,SalesData[[#This Row],[Profit]]/SalesData[[#This Row],[Total Revenue]])</f>
        <v>0.25787821090957674</v>
      </c>
      <c r="L1514" s="5" t="str">
        <f>TEXT(SalesData[[#This Row],[Date]],"mmm")</f>
        <v>May</v>
      </c>
      <c r="M1514">
        <f>YEAR(SalesData[[#This Row],[Date]])</f>
        <v>2023</v>
      </c>
      <c r="N1514">
        <f>WEEKNUM(SalesData[[#This Row],[Date]])</f>
        <v>18</v>
      </c>
      <c r="O1514" t="s">
        <v>2089</v>
      </c>
      <c r="P1514" t="s">
        <v>2522</v>
      </c>
      <c r="Q1514" t="s">
        <v>2525</v>
      </c>
    </row>
    <row r="1515" spans="1:17" x14ac:dyDescent="0.35">
      <c r="A1515" t="s">
        <v>1274</v>
      </c>
      <c r="B1515" s="3">
        <v>45268</v>
      </c>
      <c r="C1515" t="s">
        <v>2021</v>
      </c>
      <c r="D1515" t="s">
        <v>2028</v>
      </c>
      <c r="E1515" s="8">
        <v>2468</v>
      </c>
      <c r="F1515">
        <v>10</v>
      </c>
      <c r="G1515">
        <v>15</v>
      </c>
      <c r="H1515" s="8">
        <v>20978</v>
      </c>
      <c r="I1515">
        <v>1355.41</v>
      </c>
      <c r="J1515">
        <v>7423.88</v>
      </c>
      <c r="K1515" s="5">
        <f>IF(SalesData[[#This Row],[Total Revenue]]=0,0,SalesData[[#This Row],[Profit]]/SalesData[[#This Row],[Total Revenue]])</f>
        <v>0.3538888359233483</v>
      </c>
      <c r="L1515" s="5" t="str">
        <f>TEXT(SalesData[[#This Row],[Date]],"mmm")</f>
        <v>Dec</v>
      </c>
      <c r="M1515">
        <f>YEAR(SalesData[[#This Row],[Date]])</f>
        <v>2023</v>
      </c>
      <c r="N1515">
        <f>WEEKNUM(SalesData[[#This Row],[Date]])</f>
        <v>49</v>
      </c>
      <c r="O1515" t="s">
        <v>2352</v>
      </c>
      <c r="P1515" t="s">
        <v>2523</v>
      </c>
      <c r="Q1515" t="s">
        <v>2526</v>
      </c>
    </row>
    <row r="1516" spans="1:17" x14ac:dyDescent="0.35">
      <c r="A1516" t="s">
        <v>132</v>
      </c>
      <c r="B1516" s="3">
        <v>45029</v>
      </c>
      <c r="C1516" t="s">
        <v>2018</v>
      </c>
      <c r="D1516" t="s">
        <v>2026</v>
      </c>
      <c r="E1516" s="8">
        <v>3889</v>
      </c>
      <c r="F1516">
        <v>6</v>
      </c>
      <c r="G1516">
        <v>10</v>
      </c>
      <c r="H1516" s="8">
        <v>21000.6</v>
      </c>
      <c r="I1516">
        <v>3033.89</v>
      </c>
      <c r="J1516">
        <v>2797.25</v>
      </c>
      <c r="K1516" s="5">
        <f>IF(SalesData[[#This Row],[Total Revenue]]=0,0,SalesData[[#This Row],[Profit]]/SalesData[[#This Row],[Total Revenue]])</f>
        <v>0.13319857527880158</v>
      </c>
      <c r="L1516" s="5" t="str">
        <f>TEXT(SalesData[[#This Row],[Date]],"mmm")</f>
        <v>Apr</v>
      </c>
      <c r="M1516">
        <f>YEAR(SalesData[[#This Row],[Date]])</f>
        <v>2023</v>
      </c>
      <c r="N1516">
        <f>WEEKNUM(SalesData[[#This Row],[Date]])</f>
        <v>15</v>
      </c>
      <c r="O1516" t="s">
        <v>2135</v>
      </c>
      <c r="P1516" t="s">
        <v>2523</v>
      </c>
      <c r="Q1516" t="s">
        <v>2527</v>
      </c>
    </row>
    <row r="1517" spans="1:17" x14ac:dyDescent="0.35">
      <c r="A1517" t="s">
        <v>1249</v>
      </c>
      <c r="B1517" s="3">
        <v>45119</v>
      </c>
      <c r="C1517" t="s">
        <v>2014</v>
      </c>
      <c r="D1517" t="s">
        <v>2024</v>
      </c>
      <c r="E1517" s="8">
        <v>3506</v>
      </c>
      <c r="F1517">
        <v>6</v>
      </c>
      <c r="G1517">
        <v>0</v>
      </c>
      <c r="H1517" s="8">
        <v>21036</v>
      </c>
      <c r="I1517">
        <v>2115.4899999999998</v>
      </c>
      <c r="J1517">
        <v>8343.0400000000009</v>
      </c>
      <c r="K1517" s="5">
        <f>IF(SalesData[[#This Row],[Total Revenue]]=0,0,SalesData[[#This Row],[Profit]]/SalesData[[#This Row],[Total Revenue]])</f>
        <v>0.39660772009887818</v>
      </c>
      <c r="L1517" s="5" t="str">
        <f>TEXT(SalesData[[#This Row],[Date]],"mmm")</f>
        <v>Jul</v>
      </c>
      <c r="M1517">
        <f>YEAR(SalesData[[#This Row],[Date]])</f>
        <v>2023</v>
      </c>
      <c r="N1517">
        <f>WEEKNUM(SalesData[[#This Row],[Date]])</f>
        <v>28</v>
      </c>
      <c r="O1517" t="s">
        <v>2345</v>
      </c>
      <c r="P1517" t="s">
        <v>2522</v>
      </c>
      <c r="Q1517" t="s">
        <v>2525</v>
      </c>
    </row>
    <row r="1518" spans="1:17" x14ac:dyDescent="0.35">
      <c r="A1518" t="s">
        <v>1995</v>
      </c>
      <c r="B1518" s="3">
        <v>45132</v>
      </c>
      <c r="C1518" t="s">
        <v>2020</v>
      </c>
      <c r="D1518" t="s">
        <v>2028</v>
      </c>
      <c r="E1518" s="8">
        <v>3549</v>
      </c>
      <c r="F1518">
        <v>7</v>
      </c>
      <c r="G1518">
        <v>15</v>
      </c>
      <c r="H1518" s="8">
        <v>21116.55</v>
      </c>
      <c r="I1518">
        <v>2736.18</v>
      </c>
      <c r="J1518">
        <v>1963.31</v>
      </c>
      <c r="K1518" s="5">
        <f>IF(SalesData[[#This Row],[Total Revenue]]=0,0,SalesData[[#This Row],[Profit]]/SalesData[[#This Row],[Total Revenue]])</f>
        <v>9.297494145587229E-2</v>
      </c>
      <c r="L1518" s="5" t="str">
        <f>TEXT(SalesData[[#This Row],[Date]],"mmm")</f>
        <v>Jul</v>
      </c>
      <c r="M1518">
        <f>YEAR(SalesData[[#This Row],[Date]])</f>
        <v>2023</v>
      </c>
      <c r="N1518">
        <f>WEEKNUM(SalesData[[#This Row],[Date]])</f>
        <v>30</v>
      </c>
      <c r="O1518" t="s">
        <v>2327</v>
      </c>
      <c r="P1518" t="s">
        <v>2522</v>
      </c>
      <c r="Q1518" t="s">
        <v>2525</v>
      </c>
    </row>
    <row r="1519" spans="1:17" x14ac:dyDescent="0.35">
      <c r="A1519" t="s">
        <v>867</v>
      </c>
      <c r="B1519" s="3">
        <v>45187</v>
      </c>
      <c r="C1519" t="s">
        <v>2015</v>
      </c>
      <c r="D1519" t="s">
        <v>2025</v>
      </c>
      <c r="E1519" s="8">
        <v>2488</v>
      </c>
      <c r="F1519">
        <v>10</v>
      </c>
      <c r="G1519">
        <v>15</v>
      </c>
      <c r="H1519" s="8">
        <v>21148</v>
      </c>
      <c r="I1519">
        <v>1952.87</v>
      </c>
      <c r="J1519">
        <v>1619.32</v>
      </c>
      <c r="K1519" s="5">
        <f>IF(SalesData[[#This Row],[Total Revenue]]=0,0,SalesData[[#This Row],[Profit]]/SalesData[[#This Row],[Total Revenue]])</f>
        <v>7.6570834121429926E-2</v>
      </c>
      <c r="L1519" s="5" t="str">
        <f>TEXT(SalesData[[#This Row],[Date]],"mmm")</f>
        <v>Sep</v>
      </c>
      <c r="M1519">
        <f>YEAR(SalesData[[#This Row],[Date]])</f>
        <v>2023</v>
      </c>
      <c r="N1519">
        <f>WEEKNUM(SalesData[[#This Row],[Date]])</f>
        <v>38</v>
      </c>
      <c r="O1519" t="s">
        <v>2094</v>
      </c>
      <c r="P1519" t="s">
        <v>2522</v>
      </c>
      <c r="Q1519" t="s">
        <v>2527</v>
      </c>
    </row>
    <row r="1520" spans="1:17" x14ac:dyDescent="0.35">
      <c r="A1520" t="s">
        <v>554</v>
      </c>
      <c r="B1520" s="3">
        <v>45123</v>
      </c>
      <c r="C1520" t="s">
        <v>2021</v>
      </c>
      <c r="D1520" t="s">
        <v>2028</v>
      </c>
      <c r="E1520" s="8">
        <v>3525</v>
      </c>
      <c r="F1520">
        <v>6</v>
      </c>
      <c r="G1520">
        <v>0</v>
      </c>
      <c r="H1520" s="8">
        <v>21150</v>
      </c>
      <c r="I1520">
        <v>1896.42</v>
      </c>
      <c r="J1520">
        <v>9771.49</v>
      </c>
      <c r="K1520" s="5">
        <f>IF(SalesData[[#This Row],[Total Revenue]]=0,0,SalesData[[#This Row],[Profit]]/SalesData[[#This Row],[Total Revenue]])</f>
        <v>0.46200898345153663</v>
      </c>
      <c r="L1520" s="5" t="str">
        <f>TEXT(SalesData[[#This Row],[Date]],"mmm")</f>
        <v>Jul</v>
      </c>
      <c r="M1520">
        <f>YEAR(SalesData[[#This Row],[Date]])</f>
        <v>2023</v>
      </c>
      <c r="N1520">
        <f>WEEKNUM(SalesData[[#This Row],[Date]])</f>
        <v>29</v>
      </c>
      <c r="O1520" t="s">
        <v>2355</v>
      </c>
      <c r="P1520" t="s">
        <v>2523</v>
      </c>
      <c r="Q1520" t="s">
        <v>2525</v>
      </c>
    </row>
    <row r="1521" spans="1:17" x14ac:dyDescent="0.35">
      <c r="A1521" t="s">
        <v>964</v>
      </c>
      <c r="B1521" s="3">
        <v>45280</v>
      </c>
      <c r="C1521" t="s">
        <v>2017</v>
      </c>
      <c r="D1521" t="s">
        <v>2026</v>
      </c>
      <c r="E1521" s="8">
        <v>4454</v>
      </c>
      <c r="F1521">
        <v>5</v>
      </c>
      <c r="G1521">
        <v>5</v>
      </c>
      <c r="H1521" s="8">
        <v>21156.5</v>
      </c>
      <c r="I1521">
        <v>3324.13</v>
      </c>
      <c r="J1521">
        <v>4535.84</v>
      </c>
      <c r="K1521" s="5">
        <f>IF(SalesData[[#This Row],[Total Revenue]]=0,0,SalesData[[#This Row],[Profit]]/SalesData[[#This Row],[Total Revenue]])</f>
        <v>0.21439463049181104</v>
      </c>
      <c r="L1521" s="5" t="str">
        <f>TEXT(SalesData[[#This Row],[Date]],"mmm")</f>
        <v>Dec</v>
      </c>
      <c r="M1521">
        <f>YEAR(SalesData[[#This Row],[Date]])</f>
        <v>2023</v>
      </c>
      <c r="N1521">
        <f>WEEKNUM(SalesData[[#This Row],[Date]])</f>
        <v>51</v>
      </c>
      <c r="O1521" t="s">
        <v>2442</v>
      </c>
      <c r="P1521" t="s">
        <v>2522</v>
      </c>
      <c r="Q1521" t="s">
        <v>2525</v>
      </c>
    </row>
    <row r="1522" spans="1:17" x14ac:dyDescent="0.35">
      <c r="A1522" t="s">
        <v>1157</v>
      </c>
      <c r="B1522" s="3">
        <v>44943</v>
      </c>
      <c r="C1522" t="s">
        <v>2018</v>
      </c>
      <c r="D1522" t="s">
        <v>2026</v>
      </c>
      <c r="E1522" s="8">
        <v>4232</v>
      </c>
      <c r="F1522">
        <v>5</v>
      </c>
      <c r="G1522">
        <v>0</v>
      </c>
      <c r="H1522" s="8">
        <v>21160</v>
      </c>
      <c r="I1522">
        <v>2744.05</v>
      </c>
      <c r="J1522">
        <v>7439.73</v>
      </c>
      <c r="K1522" s="5">
        <f>IF(SalesData[[#This Row],[Total Revenue]]=0,0,SalesData[[#This Row],[Profit]]/SalesData[[#This Row],[Total Revenue]])</f>
        <v>0.35159404536861999</v>
      </c>
      <c r="L1522" s="5" t="str">
        <f>TEXT(SalesData[[#This Row],[Date]],"mmm")</f>
        <v>Jan</v>
      </c>
      <c r="M1522">
        <f>YEAR(SalesData[[#This Row],[Date]])</f>
        <v>2023</v>
      </c>
      <c r="N1522">
        <f>WEEKNUM(SalesData[[#This Row],[Date]])</f>
        <v>3</v>
      </c>
      <c r="O1522" t="s">
        <v>2174</v>
      </c>
      <c r="P1522" t="s">
        <v>2522</v>
      </c>
      <c r="Q1522" t="s">
        <v>2527</v>
      </c>
    </row>
    <row r="1523" spans="1:17" x14ac:dyDescent="0.35">
      <c r="A1523" t="s">
        <v>1253</v>
      </c>
      <c r="B1523" s="3">
        <v>45218</v>
      </c>
      <c r="C1523" t="s">
        <v>2021</v>
      </c>
      <c r="D1523" t="s">
        <v>2028</v>
      </c>
      <c r="E1523" s="8">
        <v>2355</v>
      </c>
      <c r="F1523">
        <v>9</v>
      </c>
      <c r="G1523">
        <v>0</v>
      </c>
      <c r="H1523" s="8">
        <v>21195</v>
      </c>
      <c r="I1523">
        <v>1205.0899999999999</v>
      </c>
      <c r="J1523">
        <v>10349.219999999999</v>
      </c>
      <c r="K1523" s="5">
        <f>IF(SalesData[[#This Row],[Total Revenue]]=0,0,SalesData[[#This Row],[Profit]]/SalesData[[#This Row],[Total Revenue]])</f>
        <v>0.48828591648973813</v>
      </c>
      <c r="L1523" s="5" t="str">
        <f>TEXT(SalesData[[#This Row],[Date]],"mmm")</f>
        <v>Oct</v>
      </c>
      <c r="M1523">
        <f>YEAR(SalesData[[#This Row],[Date]])</f>
        <v>2023</v>
      </c>
      <c r="N1523">
        <f>WEEKNUM(SalesData[[#This Row],[Date]])</f>
        <v>42</v>
      </c>
      <c r="O1523" t="s">
        <v>2490</v>
      </c>
      <c r="P1523" t="s">
        <v>2523</v>
      </c>
      <c r="Q1523" t="s">
        <v>2524</v>
      </c>
    </row>
    <row r="1524" spans="1:17" x14ac:dyDescent="0.35">
      <c r="A1524" t="s">
        <v>1302</v>
      </c>
      <c r="B1524" s="3">
        <v>45129</v>
      </c>
      <c r="C1524" t="s">
        <v>2021</v>
      </c>
      <c r="D1524" t="s">
        <v>2028</v>
      </c>
      <c r="E1524" s="8">
        <v>4158</v>
      </c>
      <c r="F1524">
        <v>6</v>
      </c>
      <c r="G1524">
        <v>15</v>
      </c>
      <c r="H1524" s="8">
        <v>21205.8</v>
      </c>
      <c r="I1524">
        <v>2805.99</v>
      </c>
      <c r="J1524">
        <v>4369.84</v>
      </c>
      <c r="K1524" s="5">
        <f>IF(SalesData[[#This Row],[Total Revenue]]=0,0,SalesData[[#This Row],[Profit]]/SalesData[[#This Row],[Total Revenue]])</f>
        <v>0.2060681511661904</v>
      </c>
      <c r="L1524" s="5" t="str">
        <f>TEXT(SalesData[[#This Row],[Date]],"mmm")</f>
        <v>Jul</v>
      </c>
      <c r="M1524">
        <f>YEAR(SalesData[[#This Row],[Date]])</f>
        <v>2023</v>
      </c>
      <c r="N1524">
        <f>WEEKNUM(SalesData[[#This Row],[Date]])</f>
        <v>29</v>
      </c>
      <c r="O1524" t="s">
        <v>2356</v>
      </c>
      <c r="P1524" t="s">
        <v>2523</v>
      </c>
      <c r="Q1524" t="s">
        <v>2525</v>
      </c>
    </row>
    <row r="1525" spans="1:17" x14ac:dyDescent="0.35">
      <c r="A1525" t="s">
        <v>1378</v>
      </c>
      <c r="B1525" s="3">
        <v>44946</v>
      </c>
      <c r="C1525" t="s">
        <v>2020</v>
      </c>
      <c r="D1525" t="s">
        <v>2028</v>
      </c>
      <c r="E1525" s="8">
        <v>3727</v>
      </c>
      <c r="F1525">
        <v>6</v>
      </c>
      <c r="G1525">
        <v>5</v>
      </c>
      <c r="H1525" s="8">
        <v>21243.9</v>
      </c>
      <c r="I1525">
        <v>2879.07</v>
      </c>
      <c r="J1525">
        <v>3969.49</v>
      </c>
      <c r="K1525" s="5">
        <f>IF(SalesData[[#This Row],[Total Revenue]]=0,0,SalesData[[#This Row],[Profit]]/SalesData[[#This Row],[Total Revenue]])</f>
        <v>0.18685316726213169</v>
      </c>
      <c r="L1525" s="5" t="str">
        <f>TEXT(SalesData[[#This Row],[Date]],"mmm")</f>
        <v>Jan</v>
      </c>
      <c r="M1525">
        <f>YEAR(SalesData[[#This Row],[Date]])</f>
        <v>2023</v>
      </c>
      <c r="N1525">
        <f>WEEKNUM(SalesData[[#This Row],[Date]])</f>
        <v>3</v>
      </c>
      <c r="O1525" t="s">
        <v>2345</v>
      </c>
      <c r="P1525" t="s">
        <v>2522</v>
      </c>
      <c r="Q1525" t="s">
        <v>2525</v>
      </c>
    </row>
    <row r="1526" spans="1:17" x14ac:dyDescent="0.35">
      <c r="A1526" t="s">
        <v>246</v>
      </c>
      <c r="B1526" s="3">
        <v>44998</v>
      </c>
      <c r="C1526" t="s">
        <v>2019</v>
      </c>
      <c r="D1526" t="s">
        <v>2027</v>
      </c>
      <c r="E1526" s="8">
        <v>3936</v>
      </c>
      <c r="F1526">
        <v>6</v>
      </c>
      <c r="G1526">
        <v>10</v>
      </c>
      <c r="H1526" s="8">
        <v>21254.400000000001</v>
      </c>
      <c r="I1526">
        <v>2280.38</v>
      </c>
      <c r="J1526">
        <v>7572.12</v>
      </c>
      <c r="K1526" s="5">
        <f>IF(SalesData[[#This Row],[Total Revenue]]=0,0,SalesData[[#This Row],[Profit]]/SalesData[[#This Row],[Total Revenue]])</f>
        <v>0.35626129177958443</v>
      </c>
      <c r="L1526" s="5" t="str">
        <f>TEXT(SalesData[[#This Row],[Date]],"mmm")</f>
        <v>Mar</v>
      </c>
      <c r="M1526">
        <f>YEAR(SalesData[[#This Row],[Date]])</f>
        <v>2023</v>
      </c>
      <c r="N1526">
        <f>WEEKNUM(SalesData[[#This Row],[Date]])</f>
        <v>11</v>
      </c>
      <c r="O1526" t="s">
        <v>2177</v>
      </c>
      <c r="P1526" t="s">
        <v>2523</v>
      </c>
      <c r="Q1526" t="s">
        <v>2525</v>
      </c>
    </row>
    <row r="1527" spans="1:17" x14ac:dyDescent="0.35">
      <c r="A1527" t="s">
        <v>619</v>
      </c>
      <c r="B1527" s="3">
        <v>45069</v>
      </c>
      <c r="C1527" t="s">
        <v>2021</v>
      </c>
      <c r="D1527" t="s">
        <v>2028</v>
      </c>
      <c r="E1527" s="8">
        <v>3741</v>
      </c>
      <c r="F1527">
        <v>6</v>
      </c>
      <c r="G1527">
        <v>5</v>
      </c>
      <c r="H1527" s="8">
        <v>21323.7</v>
      </c>
      <c r="I1527">
        <v>2882.67</v>
      </c>
      <c r="J1527">
        <v>4027.67</v>
      </c>
      <c r="K1527" s="5">
        <f>IF(SalesData[[#This Row],[Total Revenue]]=0,0,SalesData[[#This Row],[Profit]]/SalesData[[#This Row],[Total Revenue]])</f>
        <v>0.18888232342417122</v>
      </c>
      <c r="L1527" s="5" t="str">
        <f>TEXT(SalesData[[#This Row],[Date]],"mmm")</f>
        <v>May</v>
      </c>
      <c r="M1527">
        <f>YEAR(SalesData[[#This Row],[Date]])</f>
        <v>2023</v>
      </c>
      <c r="N1527">
        <f>WEEKNUM(SalesData[[#This Row],[Date]])</f>
        <v>21</v>
      </c>
      <c r="O1527" t="s">
        <v>2378</v>
      </c>
      <c r="P1527" t="s">
        <v>2522</v>
      </c>
      <c r="Q1527" t="s">
        <v>2527</v>
      </c>
    </row>
    <row r="1528" spans="1:17" x14ac:dyDescent="0.35">
      <c r="A1528" t="s">
        <v>1314</v>
      </c>
      <c r="B1528" s="3">
        <v>45201</v>
      </c>
      <c r="C1528" t="s">
        <v>2020</v>
      </c>
      <c r="D1528" t="s">
        <v>2028</v>
      </c>
      <c r="E1528" s="8">
        <v>4741</v>
      </c>
      <c r="F1528">
        <v>5</v>
      </c>
      <c r="G1528">
        <v>10</v>
      </c>
      <c r="H1528" s="8">
        <v>21334.5</v>
      </c>
      <c r="I1528">
        <v>2559.77</v>
      </c>
      <c r="J1528">
        <v>8535.64</v>
      </c>
      <c r="K1528" s="5">
        <f>IF(SalesData[[#This Row],[Total Revenue]]=0,0,SalesData[[#This Row],[Profit]]/SalesData[[#This Row],[Total Revenue]])</f>
        <v>0.40008624528346104</v>
      </c>
      <c r="L1528" s="5" t="str">
        <f>TEXT(SalesData[[#This Row],[Date]],"mmm")</f>
        <v>Oct</v>
      </c>
      <c r="M1528">
        <f>YEAR(SalesData[[#This Row],[Date]])</f>
        <v>2023</v>
      </c>
      <c r="N1528">
        <f>WEEKNUM(SalesData[[#This Row],[Date]])</f>
        <v>40</v>
      </c>
      <c r="O1528" t="s">
        <v>2084</v>
      </c>
      <c r="P1528" t="s">
        <v>2522</v>
      </c>
      <c r="Q1528" t="s">
        <v>2526</v>
      </c>
    </row>
    <row r="1529" spans="1:17" x14ac:dyDescent="0.35">
      <c r="A1529" t="s">
        <v>1078</v>
      </c>
      <c r="B1529" s="3">
        <v>45091</v>
      </c>
      <c r="C1529" t="s">
        <v>2013</v>
      </c>
      <c r="D1529" t="s">
        <v>2023</v>
      </c>
      <c r="E1529" s="8">
        <v>2789</v>
      </c>
      <c r="F1529">
        <v>9</v>
      </c>
      <c r="G1529">
        <v>15</v>
      </c>
      <c r="H1529" s="8">
        <v>21335.85</v>
      </c>
      <c r="I1529">
        <v>1656.52</v>
      </c>
      <c r="J1529">
        <v>6427.19</v>
      </c>
      <c r="K1529" s="5">
        <f>IF(SalesData[[#This Row],[Total Revenue]]=0,0,SalesData[[#This Row],[Profit]]/SalesData[[#This Row],[Total Revenue]])</f>
        <v>0.30123899446237201</v>
      </c>
      <c r="L1529" s="5" t="str">
        <f>TEXT(SalesData[[#This Row],[Date]],"mmm")</f>
        <v>Jun</v>
      </c>
      <c r="M1529">
        <f>YEAR(SalesData[[#This Row],[Date]])</f>
        <v>2023</v>
      </c>
      <c r="N1529">
        <f>WEEKNUM(SalesData[[#This Row],[Date]])</f>
        <v>24</v>
      </c>
      <c r="O1529" t="s">
        <v>2161</v>
      </c>
      <c r="P1529" t="s">
        <v>2522</v>
      </c>
      <c r="Q1529" t="s">
        <v>2525</v>
      </c>
    </row>
    <row r="1530" spans="1:17" x14ac:dyDescent="0.35">
      <c r="A1530" t="s">
        <v>503</v>
      </c>
      <c r="B1530" s="3">
        <v>45273</v>
      </c>
      <c r="C1530" t="s">
        <v>2021</v>
      </c>
      <c r="D1530" t="s">
        <v>2028</v>
      </c>
      <c r="E1530" s="8">
        <v>4495</v>
      </c>
      <c r="F1530">
        <v>5</v>
      </c>
      <c r="G1530">
        <v>5</v>
      </c>
      <c r="H1530" s="8">
        <v>21351.25</v>
      </c>
      <c r="I1530">
        <v>3264.62</v>
      </c>
      <c r="J1530">
        <v>5028.1499999999996</v>
      </c>
      <c r="K1530" s="5">
        <f>IF(SalesData[[#This Row],[Total Revenue]]=0,0,SalesData[[#This Row],[Profit]]/SalesData[[#This Row],[Total Revenue]])</f>
        <v>0.23549675077571569</v>
      </c>
      <c r="L1530" s="5" t="str">
        <f>TEXT(SalesData[[#This Row],[Date]],"mmm")</f>
        <v>Dec</v>
      </c>
      <c r="M1530">
        <f>YEAR(SalesData[[#This Row],[Date]])</f>
        <v>2023</v>
      </c>
      <c r="N1530">
        <f>WEEKNUM(SalesData[[#This Row],[Date]])</f>
        <v>50</v>
      </c>
      <c r="O1530" t="s">
        <v>2241</v>
      </c>
      <c r="P1530" t="s">
        <v>2522</v>
      </c>
      <c r="Q1530" t="s">
        <v>2526</v>
      </c>
    </row>
    <row r="1531" spans="1:17" x14ac:dyDescent="0.35">
      <c r="A1531" t="s">
        <v>595</v>
      </c>
      <c r="B1531" s="3">
        <v>44928</v>
      </c>
      <c r="C1531" t="s">
        <v>2017</v>
      </c>
      <c r="D1531" t="s">
        <v>2026</v>
      </c>
      <c r="E1531" s="8">
        <v>2966</v>
      </c>
      <c r="F1531">
        <v>8</v>
      </c>
      <c r="G1531">
        <v>10</v>
      </c>
      <c r="H1531" s="8">
        <v>21355.200000000001</v>
      </c>
      <c r="I1531">
        <v>1898.87</v>
      </c>
      <c r="J1531">
        <v>6164.22</v>
      </c>
      <c r="K1531" s="5">
        <f>IF(SalesData[[#This Row],[Total Revenue]]=0,0,SalesData[[#This Row],[Profit]]/SalesData[[#This Row],[Total Revenue]])</f>
        <v>0.28865194425713642</v>
      </c>
      <c r="L1531" s="5" t="str">
        <f>TEXT(SalesData[[#This Row],[Date]],"mmm")</f>
        <v>Jan</v>
      </c>
      <c r="M1531">
        <f>YEAR(SalesData[[#This Row],[Date]])</f>
        <v>2023</v>
      </c>
      <c r="N1531">
        <f>WEEKNUM(SalesData[[#This Row],[Date]])</f>
        <v>1</v>
      </c>
      <c r="O1531" t="s">
        <v>2237</v>
      </c>
      <c r="P1531" t="s">
        <v>2522</v>
      </c>
      <c r="Q1531" t="s">
        <v>2525</v>
      </c>
    </row>
    <row r="1532" spans="1:17" x14ac:dyDescent="0.35">
      <c r="A1532" t="s">
        <v>1376</v>
      </c>
      <c r="B1532" s="3">
        <v>45267</v>
      </c>
      <c r="C1532" t="s">
        <v>2015</v>
      </c>
      <c r="D1532" t="s">
        <v>2025</v>
      </c>
      <c r="E1532" s="8">
        <v>2248</v>
      </c>
      <c r="F1532">
        <v>10</v>
      </c>
      <c r="G1532">
        <v>5</v>
      </c>
      <c r="H1532" s="8">
        <v>21356</v>
      </c>
      <c r="I1532">
        <v>1659.32</v>
      </c>
      <c r="J1532">
        <v>4762.79</v>
      </c>
      <c r="K1532" s="5">
        <f>IF(SalesData[[#This Row],[Total Revenue]]=0,0,SalesData[[#This Row],[Profit]]/SalesData[[#This Row],[Total Revenue]])</f>
        <v>0.22301882374976587</v>
      </c>
      <c r="L1532" s="5" t="str">
        <f>TEXT(SalesData[[#This Row],[Date]],"mmm")</f>
        <v>Dec</v>
      </c>
      <c r="M1532">
        <f>YEAR(SalesData[[#This Row],[Date]])</f>
        <v>2023</v>
      </c>
      <c r="N1532">
        <f>WEEKNUM(SalesData[[#This Row],[Date]])</f>
        <v>49</v>
      </c>
      <c r="O1532" t="s">
        <v>2074</v>
      </c>
      <c r="P1532" t="s">
        <v>2523</v>
      </c>
      <c r="Q1532" t="s">
        <v>2525</v>
      </c>
    </row>
    <row r="1533" spans="1:17" x14ac:dyDescent="0.35">
      <c r="A1533" t="s">
        <v>1840</v>
      </c>
      <c r="B1533" s="3">
        <v>44968</v>
      </c>
      <c r="C1533" t="s">
        <v>2018</v>
      </c>
      <c r="D1533" t="s">
        <v>2026</v>
      </c>
      <c r="E1533" s="8">
        <v>4192</v>
      </c>
      <c r="F1533">
        <v>6</v>
      </c>
      <c r="G1533">
        <v>15</v>
      </c>
      <c r="H1533" s="8">
        <v>21379.200000000001</v>
      </c>
      <c r="I1533">
        <v>2697.96</v>
      </c>
      <c r="J1533">
        <v>5191.43</v>
      </c>
      <c r="K1533" s="5">
        <f>IF(SalesData[[#This Row],[Total Revenue]]=0,0,SalesData[[#This Row],[Profit]]/SalesData[[#This Row],[Total Revenue]])</f>
        <v>0.2428262049094447</v>
      </c>
      <c r="L1533" s="5" t="str">
        <f>TEXT(SalesData[[#This Row],[Date]],"mmm")</f>
        <v>Feb</v>
      </c>
      <c r="M1533">
        <f>YEAR(SalesData[[#This Row],[Date]])</f>
        <v>2023</v>
      </c>
      <c r="N1533">
        <f>WEEKNUM(SalesData[[#This Row],[Date]])</f>
        <v>6</v>
      </c>
      <c r="O1533" t="s">
        <v>2519</v>
      </c>
      <c r="P1533" t="s">
        <v>2523</v>
      </c>
      <c r="Q1533" t="s">
        <v>2526</v>
      </c>
    </row>
    <row r="1534" spans="1:17" x14ac:dyDescent="0.35">
      <c r="A1534" t="s">
        <v>1477</v>
      </c>
      <c r="B1534" s="3">
        <v>44965</v>
      </c>
      <c r="C1534" t="s">
        <v>2022</v>
      </c>
      <c r="D1534" t="s">
        <v>2024</v>
      </c>
      <c r="E1534" s="8">
        <v>3972</v>
      </c>
      <c r="F1534">
        <v>6</v>
      </c>
      <c r="G1534">
        <v>10</v>
      </c>
      <c r="H1534" s="8">
        <v>21448.799999999999</v>
      </c>
      <c r="I1534">
        <v>2911.35</v>
      </c>
      <c r="J1534">
        <v>3980.73</v>
      </c>
      <c r="K1534" s="5">
        <f>IF(SalesData[[#This Row],[Total Revenue]]=0,0,SalesData[[#This Row],[Profit]]/SalesData[[#This Row],[Total Revenue]])</f>
        <v>0.18559220096229159</v>
      </c>
      <c r="L1534" s="5" t="str">
        <f>TEXT(SalesData[[#This Row],[Date]],"mmm")</f>
        <v>Feb</v>
      </c>
      <c r="M1534">
        <f>YEAR(SalesData[[#This Row],[Date]])</f>
        <v>2023</v>
      </c>
      <c r="N1534">
        <f>WEEKNUM(SalesData[[#This Row],[Date]])</f>
        <v>6</v>
      </c>
      <c r="O1534" t="s">
        <v>2387</v>
      </c>
      <c r="P1534" t="s">
        <v>2523</v>
      </c>
      <c r="Q1534" t="s">
        <v>2525</v>
      </c>
    </row>
    <row r="1535" spans="1:17" x14ac:dyDescent="0.35">
      <c r="A1535" t="s">
        <v>1237</v>
      </c>
      <c r="B1535" s="3">
        <v>45193</v>
      </c>
      <c r="C1535" t="s">
        <v>2014</v>
      </c>
      <c r="D1535" t="s">
        <v>2024</v>
      </c>
      <c r="E1535" s="8">
        <v>4517</v>
      </c>
      <c r="F1535">
        <v>5</v>
      </c>
      <c r="G1535">
        <v>5</v>
      </c>
      <c r="H1535" s="8">
        <v>21455.75</v>
      </c>
      <c r="I1535">
        <v>3326</v>
      </c>
      <c r="J1535">
        <v>4825.75</v>
      </c>
      <c r="K1535" s="5">
        <f>IF(SalesData[[#This Row],[Total Revenue]]=0,0,SalesData[[#This Row],[Profit]]/SalesData[[#This Row],[Total Revenue]])</f>
        <v>0.22491639770224764</v>
      </c>
      <c r="L1535" s="5" t="str">
        <f>TEXT(SalesData[[#This Row],[Date]],"mmm")</f>
        <v>Sep</v>
      </c>
      <c r="M1535">
        <f>YEAR(SalesData[[#This Row],[Date]])</f>
        <v>2023</v>
      </c>
      <c r="N1535">
        <f>WEEKNUM(SalesData[[#This Row],[Date]])</f>
        <v>39</v>
      </c>
      <c r="O1535" t="s">
        <v>2344</v>
      </c>
      <c r="P1535" t="s">
        <v>2522</v>
      </c>
      <c r="Q1535" t="s">
        <v>2524</v>
      </c>
    </row>
    <row r="1536" spans="1:17" x14ac:dyDescent="0.35">
      <c r="A1536" t="s">
        <v>1094</v>
      </c>
      <c r="B1536" s="3">
        <v>45238</v>
      </c>
      <c r="C1536" t="s">
        <v>2019</v>
      </c>
      <c r="D1536" t="s">
        <v>2027</v>
      </c>
      <c r="E1536" s="8">
        <v>3075</v>
      </c>
      <c r="F1536">
        <v>7</v>
      </c>
      <c r="G1536">
        <v>0</v>
      </c>
      <c r="H1536" s="8">
        <v>21525</v>
      </c>
      <c r="I1536">
        <v>1615.84</v>
      </c>
      <c r="J1536">
        <v>10214.11</v>
      </c>
      <c r="K1536" s="5">
        <f>IF(SalesData[[#This Row],[Total Revenue]]=0,0,SalesData[[#This Row],[Profit]]/SalesData[[#This Row],[Total Revenue]])</f>
        <v>0.47452311265969804</v>
      </c>
      <c r="L1536" s="5" t="str">
        <f>TEXT(SalesData[[#This Row],[Date]],"mmm")</f>
        <v>Nov</v>
      </c>
      <c r="M1536">
        <f>YEAR(SalesData[[#This Row],[Date]])</f>
        <v>2023</v>
      </c>
      <c r="N1536">
        <f>WEEKNUM(SalesData[[#This Row],[Date]])</f>
        <v>45</v>
      </c>
      <c r="O1536" t="s">
        <v>2457</v>
      </c>
      <c r="P1536" t="s">
        <v>2523</v>
      </c>
      <c r="Q1536" t="s">
        <v>2526</v>
      </c>
    </row>
    <row r="1537" spans="1:17" x14ac:dyDescent="0.35">
      <c r="A1537" t="s">
        <v>1789</v>
      </c>
      <c r="B1537" s="3">
        <v>45288</v>
      </c>
      <c r="C1537" t="s">
        <v>2019</v>
      </c>
      <c r="D1537" t="s">
        <v>2027</v>
      </c>
      <c r="E1537" s="8">
        <v>3077</v>
      </c>
      <c r="F1537">
        <v>7</v>
      </c>
      <c r="G1537">
        <v>0</v>
      </c>
      <c r="H1537" s="8">
        <v>21539</v>
      </c>
      <c r="I1537">
        <v>2426.12</v>
      </c>
      <c r="J1537">
        <v>4556.16</v>
      </c>
      <c r="K1537" s="5">
        <f>IF(SalesData[[#This Row],[Total Revenue]]=0,0,SalesData[[#This Row],[Profit]]/SalesData[[#This Row],[Total Revenue]])</f>
        <v>0.21153071173220669</v>
      </c>
      <c r="L1537" s="5" t="str">
        <f>TEXT(SalesData[[#This Row],[Date]],"mmm")</f>
        <v>Dec</v>
      </c>
      <c r="M1537">
        <f>YEAR(SalesData[[#This Row],[Date]])</f>
        <v>2023</v>
      </c>
      <c r="N1537">
        <f>WEEKNUM(SalesData[[#This Row],[Date]])</f>
        <v>52</v>
      </c>
      <c r="O1537" t="s">
        <v>2257</v>
      </c>
      <c r="P1537" t="s">
        <v>2522</v>
      </c>
      <c r="Q1537" t="s">
        <v>2527</v>
      </c>
    </row>
    <row r="1538" spans="1:17" x14ac:dyDescent="0.35">
      <c r="A1538" t="s">
        <v>1242</v>
      </c>
      <c r="B1538" s="3">
        <v>45017</v>
      </c>
      <c r="C1538" t="s">
        <v>2017</v>
      </c>
      <c r="D1538" t="s">
        <v>2026</v>
      </c>
      <c r="E1538" s="8">
        <v>3620</v>
      </c>
      <c r="F1538">
        <v>7</v>
      </c>
      <c r="G1538">
        <v>15</v>
      </c>
      <c r="H1538" s="8">
        <v>21539</v>
      </c>
      <c r="I1538">
        <v>2274.87</v>
      </c>
      <c r="J1538">
        <v>5614.88</v>
      </c>
      <c r="K1538" s="5">
        <f>IF(SalesData[[#This Row],[Total Revenue]]=0,0,SalesData[[#This Row],[Profit]]/SalesData[[#This Row],[Total Revenue]])</f>
        <v>0.26068434003435631</v>
      </c>
      <c r="L1538" s="5" t="str">
        <f>TEXT(SalesData[[#This Row],[Date]],"mmm")</f>
        <v>Apr</v>
      </c>
      <c r="M1538">
        <f>YEAR(SalesData[[#This Row],[Date]])</f>
        <v>2023</v>
      </c>
      <c r="N1538">
        <f>WEEKNUM(SalesData[[#This Row],[Date]])</f>
        <v>13</v>
      </c>
      <c r="O1538" t="s">
        <v>2468</v>
      </c>
      <c r="P1538" t="s">
        <v>2522</v>
      </c>
      <c r="Q1538" t="s">
        <v>2525</v>
      </c>
    </row>
    <row r="1539" spans="1:17" x14ac:dyDescent="0.35">
      <c r="A1539" t="s">
        <v>1270</v>
      </c>
      <c r="B1539" s="3">
        <v>44987</v>
      </c>
      <c r="C1539" t="s">
        <v>2018</v>
      </c>
      <c r="D1539" t="s">
        <v>2026</v>
      </c>
      <c r="E1539" s="8">
        <v>2396</v>
      </c>
      <c r="F1539">
        <v>10</v>
      </c>
      <c r="G1539">
        <v>10</v>
      </c>
      <c r="H1539" s="8">
        <v>21564</v>
      </c>
      <c r="I1539">
        <v>1241.43</v>
      </c>
      <c r="J1539">
        <v>9149.74</v>
      </c>
      <c r="K1539" s="5">
        <f>IF(SalesData[[#This Row],[Total Revenue]]=0,0,SalesData[[#This Row],[Profit]]/SalesData[[#This Row],[Total Revenue]])</f>
        <v>0.42430625115933962</v>
      </c>
      <c r="L1539" s="5" t="str">
        <f>TEXT(SalesData[[#This Row],[Date]],"mmm")</f>
        <v>Mar</v>
      </c>
      <c r="M1539">
        <f>YEAR(SalesData[[#This Row],[Date]])</f>
        <v>2023</v>
      </c>
      <c r="N1539">
        <f>WEEKNUM(SalesData[[#This Row],[Date]])</f>
        <v>9</v>
      </c>
      <c r="O1539" t="s">
        <v>2409</v>
      </c>
      <c r="P1539" t="s">
        <v>2522</v>
      </c>
      <c r="Q1539" t="s">
        <v>2526</v>
      </c>
    </row>
    <row r="1540" spans="1:17" x14ac:dyDescent="0.35">
      <c r="A1540" t="s">
        <v>876</v>
      </c>
      <c r="B1540" s="3">
        <v>45087</v>
      </c>
      <c r="C1540" t="s">
        <v>2013</v>
      </c>
      <c r="D1540" t="s">
        <v>2023</v>
      </c>
      <c r="E1540" s="8">
        <v>4797</v>
      </c>
      <c r="F1540">
        <v>5</v>
      </c>
      <c r="G1540">
        <v>10</v>
      </c>
      <c r="H1540" s="8">
        <v>21586.5</v>
      </c>
      <c r="I1540">
        <v>2754.78</v>
      </c>
      <c r="J1540">
        <v>7812.58</v>
      </c>
      <c r="K1540" s="5">
        <f>IF(SalesData[[#This Row],[Total Revenue]]=0,0,SalesData[[#This Row],[Profit]]/SalesData[[#This Row],[Total Revenue]])</f>
        <v>0.36191971834248254</v>
      </c>
      <c r="L1540" s="5" t="str">
        <f>TEXT(SalesData[[#This Row],[Date]],"mmm")</f>
        <v>Jun</v>
      </c>
      <c r="M1540">
        <f>YEAR(SalesData[[#This Row],[Date]])</f>
        <v>2023</v>
      </c>
      <c r="N1540">
        <f>WEEKNUM(SalesData[[#This Row],[Date]])</f>
        <v>23</v>
      </c>
      <c r="O1540" t="s">
        <v>2289</v>
      </c>
      <c r="P1540" t="s">
        <v>2523</v>
      </c>
      <c r="Q1540" t="s">
        <v>2526</v>
      </c>
    </row>
    <row r="1541" spans="1:17" x14ac:dyDescent="0.35">
      <c r="A1541" t="s">
        <v>643</v>
      </c>
      <c r="B1541" s="3">
        <v>44949</v>
      </c>
      <c r="C1541" t="s">
        <v>2014</v>
      </c>
      <c r="D1541" t="s">
        <v>2024</v>
      </c>
      <c r="E1541" s="8">
        <v>3606</v>
      </c>
      <c r="F1541">
        <v>6</v>
      </c>
      <c r="G1541">
        <v>0</v>
      </c>
      <c r="H1541" s="8">
        <v>21636</v>
      </c>
      <c r="I1541">
        <v>1906.72</v>
      </c>
      <c r="J1541">
        <v>10195.700000000001</v>
      </c>
      <c r="K1541" s="5">
        <f>IF(SalesData[[#This Row],[Total Revenue]]=0,0,SalesData[[#This Row],[Profit]]/SalesData[[#This Row],[Total Revenue]])</f>
        <v>0.47123775189498984</v>
      </c>
      <c r="L1541" s="5" t="str">
        <f>TEXT(SalesData[[#This Row],[Date]],"mmm")</f>
        <v>Jan</v>
      </c>
      <c r="M1541">
        <f>YEAR(SalesData[[#This Row],[Date]])</f>
        <v>2023</v>
      </c>
      <c r="N1541">
        <f>WEEKNUM(SalesData[[#This Row],[Date]])</f>
        <v>4</v>
      </c>
      <c r="O1541" t="s">
        <v>2380</v>
      </c>
      <c r="P1541" t="s">
        <v>2523</v>
      </c>
      <c r="Q1541" t="s">
        <v>2527</v>
      </c>
    </row>
    <row r="1542" spans="1:17" x14ac:dyDescent="0.35">
      <c r="A1542" t="s">
        <v>186</v>
      </c>
      <c r="B1542" s="3">
        <v>45002</v>
      </c>
      <c r="C1542" t="s">
        <v>2016</v>
      </c>
      <c r="D1542" t="s">
        <v>2025</v>
      </c>
      <c r="E1542" s="8">
        <v>2280</v>
      </c>
      <c r="F1542">
        <v>10</v>
      </c>
      <c r="G1542">
        <v>5</v>
      </c>
      <c r="H1542" s="8">
        <v>21660</v>
      </c>
      <c r="I1542">
        <v>1222.55</v>
      </c>
      <c r="J1542">
        <v>9434.5</v>
      </c>
      <c r="K1542" s="5">
        <f>IF(SalesData[[#This Row],[Total Revenue]]=0,0,SalesData[[#This Row],[Profit]]/SalesData[[#This Row],[Total Revenue]])</f>
        <v>0.43557248384118191</v>
      </c>
      <c r="L1542" s="5" t="str">
        <f>TEXT(SalesData[[#This Row],[Date]],"mmm")</f>
        <v>Mar</v>
      </c>
      <c r="M1542">
        <f>YEAR(SalesData[[#This Row],[Date]])</f>
        <v>2023</v>
      </c>
      <c r="N1542">
        <f>WEEKNUM(SalesData[[#This Row],[Date]])</f>
        <v>11</v>
      </c>
      <c r="O1542" t="s">
        <v>2176</v>
      </c>
      <c r="P1542" t="s">
        <v>2522</v>
      </c>
      <c r="Q1542" t="s">
        <v>2527</v>
      </c>
    </row>
    <row r="1543" spans="1:17" x14ac:dyDescent="0.35">
      <c r="A1543" t="s">
        <v>1530</v>
      </c>
      <c r="B1543" s="3">
        <v>45275</v>
      </c>
      <c r="C1543" t="s">
        <v>2015</v>
      </c>
      <c r="D1543" t="s">
        <v>2025</v>
      </c>
      <c r="E1543" s="8">
        <v>3613</v>
      </c>
      <c r="F1543">
        <v>6</v>
      </c>
      <c r="G1543">
        <v>0</v>
      </c>
      <c r="H1543" s="8">
        <v>21678</v>
      </c>
      <c r="I1543">
        <v>2715.75</v>
      </c>
      <c r="J1543">
        <v>5383.52</v>
      </c>
      <c r="K1543" s="5">
        <f>IF(SalesData[[#This Row],[Total Revenue]]=0,0,SalesData[[#This Row],[Profit]]/SalesData[[#This Row],[Total Revenue]])</f>
        <v>0.24834025279084787</v>
      </c>
      <c r="L1543" s="5" t="str">
        <f>TEXT(SalesData[[#This Row],[Date]],"mmm")</f>
        <v>Dec</v>
      </c>
      <c r="M1543">
        <f>YEAR(SalesData[[#This Row],[Date]])</f>
        <v>2023</v>
      </c>
      <c r="N1543">
        <f>WEEKNUM(SalesData[[#This Row],[Date]])</f>
        <v>50</v>
      </c>
      <c r="O1543" t="s">
        <v>2385</v>
      </c>
      <c r="P1543" t="s">
        <v>2522</v>
      </c>
      <c r="Q1543" t="s">
        <v>2524</v>
      </c>
    </row>
    <row r="1544" spans="1:17" x14ac:dyDescent="0.35">
      <c r="A1544" t="s">
        <v>816</v>
      </c>
      <c r="B1544" s="3">
        <v>45115</v>
      </c>
      <c r="C1544" t="s">
        <v>2016</v>
      </c>
      <c r="D1544" t="s">
        <v>2025</v>
      </c>
      <c r="E1544" s="8">
        <v>2409</v>
      </c>
      <c r="F1544">
        <v>9</v>
      </c>
      <c r="G1544">
        <v>0</v>
      </c>
      <c r="H1544" s="8">
        <v>21681</v>
      </c>
      <c r="I1544">
        <v>1447.15</v>
      </c>
      <c r="J1544">
        <v>8656.64</v>
      </c>
      <c r="K1544" s="5">
        <f>IF(SalesData[[#This Row],[Total Revenue]]=0,0,SalesData[[#This Row],[Profit]]/SalesData[[#This Row],[Total Revenue]])</f>
        <v>0.39927309625939761</v>
      </c>
      <c r="L1544" s="5" t="str">
        <f>TEXT(SalesData[[#This Row],[Date]],"mmm")</f>
        <v>Jul</v>
      </c>
      <c r="M1544">
        <f>YEAR(SalesData[[#This Row],[Date]])</f>
        <v>2023</v>
      </c>
      <c r="N1544">
        <f>WEEKNUM(SalesData[[#This Row],[Date]])</f>
        <v>27</v>
      </c>
      <c r="O1544" t="s">
        <v>2088</v>
      </c>
      <c r="P1544" t="s">
        <v>2522</v>
      </c>
      <c r="Q1544" t="s">
        <v>2526</v>
      </c>
    </row>
    <row r="1545" spans="1:17" x14ac:dyDescent="0.35">
      <c r="A1545" t="s">
        <v>244</v>
      </c>
      <c r="B1545" s="3">
        <v>44993</v>
      </c>
      <c r="C1545" t="s">
        <v>2019</v>
      </c>
      <c r="D1545" t="s">
        <v>2027</v>
      </c>
      <c r="E1545" s="8">
        <v>3629</v>
      </c>
      <c r="F1545">
        <v>6</v>
      </c>
      <c r="G1545">
        <v>0</v>
      </c>
      <c r="H1545" s="8">
        <v>21774</v>
      </c>
      <c r="I1545">
        <v>2458.46</v>
      </c>
      <c r="J1545">
        <v>7023.25</v>
      </c>
      <c r="K1545" s="5">
        <f>IF(SalesData[[#This Row],[Total Revenue]]=0,0,SalesData[[#This Row],[Profit]]/SalesData[[#This Row],[Total Revenue]])</f>
        <v>0.32255212638927161</v>
      </c>
      <c r="L1545" s="5" t="str">
        <f>TEXT(SalesData[[#This Row],[Date]],"mmm")</f>
        <v>Mar</v>
      </c>
      <c r="M1545">
        <f>YEAR(SalesData[[#This Row],[Date]])</f>
        <v>2023</v>
      </c>
      <c r="N1545">
        <f>WEEKNUM(SalesData[[#This Row],[Date]])</f>
        <v>10</v>
      </c>
      <c r="O1545" t="s">
        <v>2214</v>
      </c>
      <c r="P1545" t="s">
        <v>2522</v>
      </c>
      <c r="Q1545" t="s">
        <v>2527</v>
      </c>
    </row>
    <row r="1546" spans="1:17" x14ac:dyDescent="0.35">
      <c r="A1546" t="s">
        <v>1368</v>
      </c>
      <c r="B1546" s="3">
        <v>45185</v>
      </c>
      <c r="C1546" t="s">
        <v>2022</v>
      </c>
      <c r="D1546" t="s">
        <v>2024</v>
      </c>
      <c r="E1546" s="8">
        <v>3820</v>
      </c>
      <c r="F1546">
        <v>6</v>
      </c>
      <c r="G1546">
        <v>5</v>
      </c>
      <c r="H1546" s="8">
        <v>21774</v>
      </c>
      <c r="I1546">
        <v>2663.73</v>
      </c>
      <c r="J1546">
        <v>5791.62</v>
      </c>
      <c r="K1546" s="5">
        <f>IF(SalesData[[#This Row],[Total Revenue]]=0,0,SalesData[[#This Row],[Profit]]/SalesData[[#This Row],[Total Revenue]])</f>
        <v>0.26598787544778174</v>
      </c>
      <c r="L1546" s="5" t="str">
        <f>TEXT(SalesData[[#This Row],[Date]],"mmm")</f>
        <v>Sep</v>
      </c>
      <c r="M1546">
        <f>YEAR(SalesData[[#This Row],[Date]])</f>
        <v>2023</v>
      </c>
      <c r="N1546">
        <f>WEEKNUM(SalesData[[#This Row],[Date]])</f>
        <v>37</v>
      </c>
      <c r="O1546" t="s">
        <v>2062</v>
      </c>
      <c r="P1546" t="s">
        <v>2523</v>
      </c>
      <c r="Q1546" t="s">
        <v>2524</v>
      </c>
    </row>
    <row r="1547" spans="1:17" x14ac:dyDescent="0.35">
      <c r="A1547" t="s">
        <v>1592</v>
      </c>
      <c r="B1547" s="3">
        <v>45101</v>
      </c>
      <c r="C1547" t="s">
        <v>2015</v>
      </c>
      <c r="D1547" t="s">
        <v>2025</v>
      </c>
      <c r="E1547" s="8">
        <v>2295</v>
      </c>
      <c r="F1547">
        <v>10</v>
      </c>
      <c r="G1547">
        <v>5</v>
      </c>
      <c r="H1547" s="8">
        <v>21802.5</v>
      </c>
      <c r="I1547">
        <v>1197.69</v>
      </c>
      <c r="J1547">
        <v>9825.58</v>
      </c>
      <c r="K1547" s="5">
        <f>IF(SalesData[[#This Row],[Total Revenue]]=0,0,SalesData[[#This Row],[Profit]]/SalesData[[#This Row],[Total Revenue]])</f>
        <v>0.45066299736268778</v>
      </c>
      <c r="L1547" s="5" t="str">
        <f>TEXT(SalesData[[#This Row],[Date]],"mmm")</f>
        <v>Jun</v>
      </c>
      <c r="M1547">
        <f>YEAR(SalesData[[#This Row],[Date]])</f>
        <v>2023</v>
      </c>
      <c r="N1547">
        <f>WEEKNUM(SalesData[[#This Row],[Date]])</f>
        <v>25</v>
      </c>
      <c r="O1547" t="s">
        <v>2073</v>
      </c>
      <c r="P1547" t="s">
        <v>2522</v>
      </c>
      <c r="Q1547" t="s">
        <v>2524</v>
      </c>
    </row>
    <row r="1548" spans="1:17" x14ac:dyDescent="0.35">
      <c r="A1548" t="s">
        <v>1758</v>
      </c>
      <c r="B1548" s="3">
        <v>45201</v>
      </c>
      <c r="C1548" t="s">
        <v>2018</v>
      </c>
      <c r="D1548" t="s">
        <v>2026</v>
      </c>
      <c r="E1548" s="8">
        <v>2568</v>
      </c>
      <c r="F1548">
        <v>10</v>
      </c>
      <c r="G1548">
        <v>15</v>
      </c>
      <c r="H1548" s="8">
        <v>21828</v>
      </c>
      <c r="I1548">
        <v>1839.5</v>
      </c>
      <c r="J1548">
        <v>3432.98</v>
      </c>
      <c r="K1548" s="5">
        <f>IF(SalesData[[#This Row],[Total Revenue]]=0,0,SalesData[[#This Row],[Profit]]/SalesData[[#This Row],[Total Revenue]])</f>
        <v>0.15727414330218067</v>
      </c>
      <c r="L1548" s="5" t="str">
        <f>TEXT(SalesData[[#This Row],[Date]],"mmm")</f>
        <v>Oct</v>
      </c>
      <c r="M1548">
        <f>YEAR(SalesData[[#This Row],[Date]])</f>
        <v>2023</v>
      </c>
      <c r="N1548">
        <f>WEEKNUM(SalesData[[#This Row],[Date]])</f>
        <v>40</v>
      </c>
      <c r="O1548" t="s">
        <v>2268</v>
      </c>
      <c r="P1548" t="s">
        <v>2522</v>
      </c>
      <c r="Q1548" t="s">
        <v>2525</v>
      </c>
    </row>
    <row r="1549" spans="1:17" x14ac:dyDescent="0.35">
      <c r="A1549" t="s">
        <v>259</v>
      </c>
      <c r="B1549" s="3">
        <v>44987</v>
      </c>
      <c r="C1549" t="s">
        <v>2021</v>
      </c>
      <c r="D1549" t="s">
        <v>2028</v>
      </c>
      <c r="E1549" s="8">
        <v>2426</v>
      </c>
      <c r="F1549">
        <v>9</v>
      </c>
      <c r="G1549">
        <v>0</v>
      </c>
      <c r="H1549" s="8">
        <v>21834</v>
      </c>
      <c r="I1549">
        <v>1606.79</v>
      </c>
      <c r="J1549">
        <v>7372.86</v>
      </c>
      <c r="K1549" s="5">
        <f>IF(SalesData[[#This Row],[Total Revenue]]=0,0,SalesData[[#This Row],[Profit]]/SalesData[[#This Row],[Total Revenue]])</f>
        <v>0.33767793349821379</v>
      </c>
      <c r="L1549" s="5" t="str">
        <f>TEXT(SalesData[[#This Row],[Date]],"mmm")</f>
        <v>Mar</v>
      </c>
      <c r="M1549">
        <f>YEAR(SalesData[[#This Row],[Date]])</f>
        <v>2023</v>
      </c>
      <c r="N1549">
        <f>WEEKNUM(SalesData[[#This Row],[Date]])</f>
        <v>9</v>
      </c>
      <c r="O1549" t="s">
        <v>2043</v>
      </c>
      <c r="P1549" t="s">
        <v>2523</v>
      </c>
      <c r="Q1549" t="s">
        <v>2527</v>
      </c>
    </row>
    <row r="1550" spans="1:17" x14ac:dyDescent="0.35">
      <c r="A1550" t="s">
        <v>685</v>
      </c>
      <c r="B1550" s="3">
        <v>45129</v>
      </c>
      <c r="C1550" t="s">
        <v>2021</v>
      </c>
      <c r="D1550" t="s">
        <v>2028</v>
      </c>
      <c r="E1550" s="8">
        <v>2300</v>
      </c>
      <c r="F1550">
        <v>10</v>
      </c>
      <c r="G1550">
        <v>5</v>
      </c>
      <c r="H1550" s="8">
        <v>21850</v>
      </c>
      <c r="I1550">
        <v>1153.3</v>
      </c>
      <c r="J1550">
        <v>10316.98</v>
      </c>
      <c r="K1550" s="5">
        <f>IF(SalesData[[#This Row],[Total Revenue]]=0,0,SalesData[[#This Row],[Profit]]/SalesData[[#This Row],[Total Revenue]])</f>
        <v>0.47217299771167048</v>
      </c>
      <c r="L1550" s="5" t="str">
        <f>TEXT(SalesData[[#This Row],[Date]],"mmm")</f>
        <v>Jul</v>
      </c>
      <c r="M1550">
        <f>YEAR(SalesData[[#This Row],[Date]])</f>
        <v>2023</v>
      </c>
      <c r="N1550">
        <f>WEEKNUM(SalesData[[#This Row],[Date]])</f>
        <v>29</v>
      </c>
      <c r="O1550" t="s">
        <v>2398</v>
      </c>
      <c r="P1550" t="s">
        <v>2522</v>
      </c>
      <c r="Q1550" t="s">
        <v>2526</v>
      </c>
    </row>
    <row r="1551" spans="1:17" x14ac:dyDescent="0.35">
      <c r="A1551" t="s">
        <v>711</v>
      </c>
      <c r="B1551" s="3">
        <v>45046</v>
      </c>
      <c r="C1551" t="s">
        <v>2018</v>
      </c>
      <c r="D1551" t="s">
        <v>2026</v>
      </c>
      <c r="E1551" s="8">
        <v>2879</v>
      </c>
      <c r="F1551">
        <v>8</v>
      </c>
      <c r="G1551">
        <v>5</v>
      </c>
      <c r="H1551" s="8">
        <v>21880.400000000001</v>
      </c>
      <c r="I1551">
        <v>1724.83</v>
      </c>
      <c r="J1551">
        <v>8081.74</v>
      </c>
      <c r="K1551" s="5">
        <f>IF(SalesData[[#This Row],[Total Revenue]]=0,0,SalesData[[#This Row],[Profit]]/SalesData[[#This Row],[Total Revenue]])</f>
        <v>0.36935979232555161</v>
      </c>
      <c r="L1551" s="5" t="str">
        <f>TEXT(SalesData[[#This Row],[Date]],"mmm")</f>
        <v>Apr</v>
      </c>
      <c r="M1551">
        <f>YEAR(SalesData[[#This Row],[Date]])</f>
        <v>2023</v>
      </c>
      <c r="N1551">
        <f>WEEKNUM(SalesData[[#This Row],[Date]])</f>
        <v>18</v>
      </c>
      <c r="O1551" t="s">
        <v>2403</v>
      </c>
      <c r="P1551" t="s">
        <v>2522</v>
      </c>
      <c r="Q1551" t="s">
        <v>2524</v>
      </c>
    </row>
    <row r="1552" spans="1:17" x14ac:dyDescent="0.35">
      <c r="A1552" t="s">
        <v>1702</v>
      </c>
      <c r="B1552" s="3">
        <v>45029</v>
      </c>
      <c r="C1552" t="s">
        <v>2013</v>
      </c>
      <c r="D1552" t="s">
        <v>2023</v>
      </c>
      <c r="E1552" s="8">
        <v>2741</v>
      </c>
      <c r="F1552">
        <v>8</v>
      </c>
      <c r="G1552">
        <v>0</v>
      </c>
      <c r="H1552" s="8">
        <v>21928</v>
      </c>
      <c r="I1552">
        <v>1615.8</v>
      </c>
      <c r="J1552">
        <v>9001.6299999999992</v>
      </c>
      <c r="K1552" s="5">
        <f>IF(SalesData[[#This Row],[Total Revenue]]=0,0,SalesData[[#This Row],[Profit]]/SalesData[[#This Row],[Total Revenue]])</f>
        <v>0.41050848230572778</v>
      </c>
      <c r="L1552" s="5" t="str">
        <f>TEXT(SalesData[[#This Row],[Date]],"mmm")</f>
        <v>Apr</v>
      </c>
      <c r="M1552">
        <f>YEAR(SalesData[[#This Row],[Date]])</f>
        <v>2023</v>
      </c>
      <c r="N1552">
        <f>WEEKNUM(SalesData[[#This Row],[Date]])</f>
        <v>15</v>
      </c>
      <c r="O1552" t="s">
        <v>2515</v>
      </c>
      <c r="P1552" t="s">
        <v>2522</v>
      </c>
      <c r="Q1552" t="s">
        <v>2526</v>
      </c>
    </row>
    <row r="1553" spans="1:17" x14ac:dyDescent="0.35">
      <c r="A1553" t="s">
        <v>467</v>
      </c>
      <c r="B1553" s="3">
        <v>45275</v>
      </c>
      <c r="C1553" t="s">
        <v>2020</v>
      </c>
      <c r="D1553" t="s">
        <v>2028</v>
      </c>
      <c r="E1553" s="8">
        <v>4072</v>
      </c>
      <c r="F1553">
        <v>6</v>
      </c>
      <c r="G1553">
        <v>10</v>
      </c>
      <c r="H1553" s="8">
        <v>21988.799999999999</v>
      </c>
      <c r="I1553">
        <v>2729.21</v>
      </c>
      <c r="J1553">
        <v>5613.57</v>
      </c>
      <c r="K1553" s="5">
        <f>IF(SalesData[[#This Row],[Total Revenue]]=0,0,SalesData[[#This Row],[Profit]]/SalesData[[#This Row],[Total Revenue]])</f>
        <v>0.25529223968565817</v>
      </c>
      <c r="L1553" s="5" t="str">
        <f>TEXT(SalesData[[#This Row],[Date]],"mmm")</f>
        <v>Dec</v>
      </c>
      <c r="M1553">
        <f>YEAR(SalesData[[#This Row],[Date]])</f>
        <v>2023</v>
      </c>
      <c r="N1553">
        <f>WEEKNUM(SalesData[[#This Row],[Date]])</f>
        <v>50</v>
      </c>
      <c r="O1553" t="s">
        <v>2074</v>
      </c>
      <c r="P1553" t="s">
        <v>2522</v>
      </c>
      <c r="Q1553" t="s">
        <v>2524</v>
      </c>
    </row>
    <row r="1554" spans="1:17" x14ac:dyDescent="0.35">
      <c r="A1554" t="s">
        <v>1327</v>
      </c>
      <c r="B1554" s="3">
        <v>45071</v>
      </c>
      <c r="C1554" t="s">
        <v>2022</v>
      </c>
      <c r="D1554" t="s">
        <v>2024</v>
      </c>
      <c r="E1554" s="8">
        <v>2882</v>
      </c>
      <c r="F1554">
        <v>9</v>
      </c>
      <c r="G1554">
        <v>15</v>
      </c>
      <c r="H1554" s="8">
        <v>22047.3</v>
      </c>
      <c r="I1554">
        <v>2249.1</v>
      </c>
      <c r="J1554">
        <v>1805.43</v>
      </c>
      <c r="K1554" s="5">
        <f>IF(SalesData[[#This Row],[Total Revenue]]=0,0,SalesData[[#This Row],[Profit]]/SalesData[[#This Row],[Total Revenue]])</f>
        <v>8.1888938781619527E-2</v>
      </c>
      <c r="L1554" s="5" t="str">
        <f>TEXT(SalesData[[#This Row],[Date]],"mmm")</f>
        <v>May</v>
      </c>
      <c r="M1554">
        <f>YEAR(SalesData[[#This Row],[Date]])</f>
        <v>2023</v>
      </c>
      <c r="N1554">
        <f>WEEKNUM(SalesData[[#This Row],[Date]])</f>
        <v>21</v>
      </c>
      <c r="O1554" t="s">
        <v>2286</v>
      </c>
      <c r="P1554" t="s">
        <v>2523</v>
      </c>
      <c r="Q1554" t="s">
        <v>2525</v>
      </c>
    </row>
    <row r="1555" spans="1:17" x14ac:dyDescent="0.35">
      <c r="A1555" t="s">
        <v>1729</v>
      </c>
      <c r="B1555" s="3">
        <v>45035</v>
      </c>
      <c r="C1555" t="s">
        <v>2013</v>
      </c>
      <c r="D1555" t="s">
        <v>2023</v>
      </c>
      <c r="E1555" s="8">
        <v>3675</v>
      </c>
      <c r="F1555">
        <v>6</v>
      </c>
      <c r="G1555">
        <v>0</v>
      </c>
      <c r="H1555" s="8">
        <v>22050</v>
      </c>
      <c r="I1555">
        <v>2448.89</v>
      </c>
      <c r="J1555">
        <v>7356.69</v>
      </c>
      <c r="K1555" s="5">
        <f>IF(SalesData[[#This Row],[Total Revenue]]=0,0,SalesData[[#This Row],[Profit]]/SalesData[[#This Row],[Total Revenue]])</f>
        <v>0.33363673469387756</v>
      </c>
      <c r="L1555" s="5" t="str">
        <f>TEXT(SalesData[[#This Row],[Date]],"mmm")</f>
        <v>Apr</v>
      </c>
      <c r="M1555">
        <f>YEAR(SalesData[[#This Row],[Date]])</f>
        <v>2023</v>
      </c>
      <c r="N1555">
        <f>WEEKNUM(SalesData[[#This Row],[Date]])</f>
        <v>16</v>
      </c>
      <c r="O1555" t="s">
        <v>2238</v>
      </c>
      <c r="P1555" t="s">
        <v>2523</v>
      </c>
      <c r="Q1555" t="s">
        <v>2527</v>
      </c>
    </row>
    <row r="1556" spans="1:17" x14ac:dyDescent="0.35">
      <c r="A1556" t="s">
        <v>20</v>
      </c>
      <c r="B1556" s="3">
        <v>44976</v>
      </c>
      <c r="C1556" t="s">
        <v>2016</v>
      </c>
      <c r="D1556" t="s">
        <v>2025</v>
      </c>
      <c r="E1556" s="8">
        <v>3322</v>
      </c>
      <c r="F1556">
        <v>7</v>
      </c>
      <c r="G1556">
        <v>5</v>
      </c>
      <c r="H1556" s="8">
        <v>22091.3</v>
      </c>
      <c r="I1556">
        <v>2169.61</v>
      </c>
      <c r="J1556">
        <v>6904.06</v>
      </c>
      <c r="K1556" s="5">
        <f>IF(SalesData[[#This Row],[Total Revenue]]=0,0,SalesData[[#This Row],[Profit]]/SalesData[[#This Row],[Total Revenue]])</f>
        <v>0.3125239347616483</v>
      </c>
      <c r="L1556" s="5" t="str">
        <f>TEXT(SalesData[[#This Row],[Date]],"mmm")</f>
        <v>Feb</v>
      </c>
      <c r="M1556">
        <f>YEAR(SalesData[[#This Row],[Date]])</f>
        <v>2023</v>
      </c>
      <c r="N1556">
        <f>WEEKNUM(SalesData[[#This Row],[Date]])</f>
        <v>8</v>
      </c>
      <c r="O1556" t="s">
        <v>2036</v>
      </c>
      <c r="P1556" t="s">
        <v>2523</v>
      </c>
      <c r="Q1556" t="s">
        <v>2526</v>
      </c>
    </row>
    <row r="1557" spans="1:17" x14ac:dyDescent="0.35">
      <c r="A1557" t="s">
        <v>899</v>
      </c>
      <c r="B1557" s="3">
        <v>44983</v>
      </c>
      <c r="C1557" t="s">
        <v>2013</v>
      </c>
      <c r="D1557" t="s">
        <v>2023</v>
      </c>
      <c r="E1557" s="8">
        <v>3687</v>
      </c>
      <c r="F1557">
        <v>6</v>
      </c>
      <c r="G1557">
        <v>0</v>
      </c>
      <c r="H1557" s="8">
        <v>22122</v>
      </c>
      <c r="I1557">
        <v>2740.62</v>
      </c>
      <c r="J1557">
        <v>5678.26</v>
      </c>
      <c r="K1557" s="5">
        <f>IF(SalesData[[#This Row],[Total Revenue]]=0,0,SalesData[[#This Row],[Profit]]/SalesData[[#This Row],[Total Revenue]])</f>
        <v>0.25667932375011304</v>
      </c>
      <c r="L1557" s="5" t="str">
        <f>TEXT(SalesData[[#This Row],[Date]],"mmm")</f>
        <v>Feb</v>
      </c>
      <c r="M1557">
        <f>YEAR(SalesData[[#This Row],[Date]])</f>
        <v>2023</v>
      </c>
      <c r="N1557">
        <f>WEEKNUM(SalesData[[#This Row],[Date]])</f>
        <v>9</v>
      </c>
      <c r="O1557" t="s">
        <v>2442</v>
      </c>
      <c r="P1557" t="s">
        <v>2522</v>
      </c>
      <c r="Q1557" t="s">
        <v>2525</v>
      </c>
    </row>
    <row r="1558" spans="1:17" x14ac:dyDescent="0.35">
      <c r="A1558" t="s">
        <v>1536</v>
      </c>
      <c r="B1558" s="3">
        <v>45144</v>
      </c>
      <c r="C1558" t="s">
        <v>2019</v>
      </c>
      <c r="D1558" t="s">
        <v>2027</v>
      </c>
      <c r="E1558" s="8">
        <v>3073</v>
      </c>
      <c r="F1558">
        <v>8</v>
      </c>
      <c r="G1558">
        <v>10</v>
      </c>
      <c r="H1558" s="8">
        <v>22125.599999999999</v>
      </c>
      <c r="I1558">
        <v>2441.6799999999998</v>
      </c>
      <c r="J1558">
        <v>2592.15</v>
      </c>
      <c r="K1558" s="5">
        <f>IF(SalesData[[#This Row],[Total Revenue]]=0,0,SalesData[[#This Row],[Profit]]/SalesData[[#This Row],[Total Revenue]])</f>
        <v>0.11715614491810393</v>
      </c>
      <c r="L1558" s="5" t="str">
        <f>TEXT(SalesData[[#This Row],[Date]],"mmm")</f>
        <v>Aug</v>
      </c>
      <c r="M1558">
        <f>YEAR(SalesData[[#This Row],[Date]])</f>
        <v>2023</v>
      </c>
      <c r="N1558">
        <f>WEEKNUM(SalesData[[#This Row],[Date]])</f>
        <v>32</v>
      </c>
      <c r="O1558" t="s">
        <v>2509</v>
      </c>
      <c r="P1558" t="s">
        <v>2523</v>
      </c>
      <c r="Q1558" t="s">
        <v>2525</v>
      </c>
    </row>
    <row r="1559" spans="1:17" x14ac:dyDescent="0.35">
      <c r="A1559" t="s">
        <v>562</v>
      </c>
      <c r="B1559" s="3">
        <v>45146</v>
      </c>
      <c r="C1559" t="s">
        <v>2020</v>
      </c>
      <c r="D1559" t="s">
        <v>2028</v>
      </c>
      <c r="E1559" s="8">
        <v>3690</v>
      </c>
      <c r="F1559">
        <v>6</v>
      </c>
      <c r="G1559">
        <v>0</v>
      </c>
      <c r="H1559" s="8">
        <v>22140</v>
      </c>
      <c r="I1559">
        <v>1901.88</v>
      </c>
      <c r="J1559">
        <v>10728.75</v>
      </c>
      <c r="K1559" s="5">
        <f>IF(SalesData[[#This Row],[Total Revenue]]=0,0,SalesData[[#This Row],[Profit]]/SalesData[[#This Row],[Total Revenue]])</f>
        <v>0.48458672086720866</v>
      </c>
      <c r="L1559" s="5" t="str">
        <f>TEXT(SalesData[[#This Row],[Date]],"mmm")</f>
        <v>Aug</v>
      </c>
      <c r="M1559">
        <f>YEAR(SalesData[[#This Row],[Date]])</f>
        <v>2023</v>
      </c>
      <c r="N1559">
        <f>WEEKNUM(SalesData[[#This Row],[Date]])</f>
        <v>32</v>
      </c>
      <c r="O1559" t="s">
        <v>2358</v>
      </c>
      <c r="P1559" t="s">
        <v>2523</v>
      </c>
      <c r="Q1559" t="s">
        <v>2524</v>
      </c>
    </row>
    <row r="1560" spans="1:17" x14ac:dyDescent="0.35">
      <c r="A1560" t="s">
        <v>233</v>
      </c>
      <c r="B1560" s="3">
        <v>45260</v>
      </c>
      <c r="C1560" t="s">
        <v>2014</v>
      </c>
      <c r="D1560" t="s">
        <v>2024</v>
      </c>
      <c r="E1560" s="8">
        <v>3258</v>
      </c>
      <c r="F1560">
        <v>8</v>
      </c>
      <c r="G1560">
        <v>15</v>
      </c>
      <c r="H1560" s="8">
        <v>22154.400000000001</v>
      </c>
      <c r="I1560">
        <v>2134.63</v>
      </c>
      <c r="J1560">
        <v>5077.3599999999997</v>
      </c>
      <c r="K1560" s="5">
        <f>IF(SalesData[[#This Row],[Total Revenue]]=0,0,SalesData[[#This Row],[Profit]]/SalesData[[#This Row],[Total Revenue]])</f>
        <v>0.22918065937240456</v>
      </c>
      <c r="L1560" s="5" t="str">
        <f>TEXT(SalesData[[#This Row],[Date]],"mmm")</f>
        <v>Nov</v>
      </c>
      <c r="M1560">
        <f>YEAR(SalesData[[#This Row],[Date]])</f>
        <v>2023</v>
      </c>
      <c r="N1560">
        <f>WEEKNUM(SalesData[[#This Row],[Date]])</f>
        <v>48</v>
      </c>
      <c r="O1560" t="s">
        <v>2157</v>
      </c>
      <c r="P1560" t="s">
        <v>2523</v>
      </c>
      <c r="Q1560" t="s">
        <v>2526</v>
      </c>
    </row>
    <row r="1561" spans="1:17" x14ac:dyDescent="0.35">
      <c r="A1561" t="s">
        <v>1429</v>
      </c>
      <c r="B1561" s="3">
        <v>45089</v>
      </c>
      <c r="C1561" t="s">
        <v>2017</v>
      </c>
      <c r="D1561" t="s">
        <v>2026</v>
      </c>
      <c r="E1561" s="8">
        <v>3746</v>
      </c>
      <c r="F1561">
        <v>7</v>
      </c>
      <c r="G1561">
        <v>15</v>
      </c>
      <c r="H1561" s="8">
        <v>22288.7</v>
      </c>
      <c r="I1561">
        <v>2852.07</v>
      </c>
      <c r="J1561">
        <v>2324.2399999999998</v>
      </c>
      <c r="K1561" s="5">
        <f>IF(SalesData[[#This Row],[Total Revenue]]=0,0,SalesData[[#This Row],[Profit]]/SalesData[[#This Row],[Total Revenue]])</f>
        <v>0.10427884982076117</v>
      </c>
      <c r="L1561" s="5" t="str">
        <f>TEXT(SalesData[[#This Row],[Date]],"mmm")</f>
        <v>Jun</v>
      </c>
      <c r="M1561">
        <f>YEAR(SalesData[[#This Row],[Date]])</f>
        <v>2023</v>
      </c>
      <c r="N1561">
        <f>WEEKNUM(SalesData[[#This Row],[Date]])</f>
        <v>24</v>
      </c>
      <c r="O1561" t="s">
        <v>2170</v>
      </c>
      <c r="P1561" t="s">
        <v>2523</v>
      </c>
      <c r="Q1561" t="s">
        <v>2524</v>
      </c>
    </row>
    <row r="1562" spans="1:17" x14ac:dyDescent="0.35">
      <c r="A1562" t="s">
        <v>1932</v>
      </c>
      <c r="B1562" s="3">
        <v>45285</v>
      </c>
      <c r="C1562" t="s">
        <v>2013</v>
      </c>
      <c r="D1562" t="s">
        <v>2023</v>
      </c>
      <c r="E1562" s="8">
        <v>4955</v>
      </c>
      <c r="F1562">
        <v>5</v>
      </c>
      <c r="G1562">
        <v>10</v>
      </c>
      <c r="H1562" s="8">
        <v>22297.5</v>
      </c>
      <c r="I1562">
        <v>2525.59</v>
      </c>
      <c r="J1562">
        <v>9669.57</v>
      </c>
      <c r="K1562" s="5">
        <f>IF(SalesData[[#This Row],[Total Revenue]]=0,0,SalesData[[#This Row],[Profit]]/SalesData[[#This Row],[Total Revenue]])</f>
        <v>0.43366162125798857</v>
      </c>
      <c r="L1562" s="5" t="str">
        <f>TEXT(SalesData[[#This Row],[Date]],"mmm")</f>
        <v>Dec</v>
      </c>
      <c r="M1562">
        <f>YEAR(SalesData[[#This Row],[Date]])</f>
        <v>2023</v>
      </c>
      <c r="N1562">
        <f>WEEKNUM(SalesData[[#This Row],[Date]])</f>
        <v>52</v>
      </c>
      <c r="O1562" t="s">
        <v>2215</v>
      </c>
      <c r="P1562" t="s">
        <v>2523</v>
      </c>
      <c r="Q1562" t="s">
        <v>2525</v>
      </c>
    </row>
    <row r="1563" spans="1:17" x14ac:dyDescent="0.35">
      <c r="A1563" t="s">
        <v>893</v>
      </c>
      <c r="B1563" s="3">
        <v>45190</v>
      </c>
      <c r="C1563" t="s">
        <v>2018</v>
      </c>
      <c r="D1563" t="s">
        <v>2026</v>
      </c>
      <c r="E1563" s="8">
        <v>2611</v>
      </c>
      <c r="F1563">
        <v>9</v>
      </c>
      <c r="G1563">
        <v>5</v>
      </c>
      <c r="H1563" s="8">
        <v>22324.05</v>
      </c>
      <c r="I1563">
        <v>1813.15</v>
      </c>
      <c r="J1563">
        <v>6005.73</v>
      </c>
      <c r="K1563" s="5">
        <f>IF(SalesData[[#This Row],[Total Revenue]]=0,0,SalesData[[#This Row],[Profit]]/SalesData[[#This Row],[Total Revenue]])</f>
        <v>0.26902510969111787</v>
      </c>
      <c r="L1563" s="5" t="str">
        <f>TEXT(SalesData[[#This Row],[Date]],"mmm")</f>
        <v>Sep</v>
      </c>
      <c r="M1563">
        <f>YEAR(SalesData[[#This Row],[Date]])</f>
        <v>2023</v>
      </c>
      <c r="N1563">
        <f>WEEKNUM(SalesData[[#This Row],[Date]])</f>
        <v>38</v>
      </c>
      <c r="O1563" t="s">
        <v>2438</v>
      </c>
      <c r="P1563" t="s">
        <v>2523</v>
      </c>
      <c r="Q1563" t="s">
        <v>2525</v>
      </c>
    </row>
    <row r="1564" spans="1:17" x14ac:dyDescent="0.35">
      <c r="A1564" t="s">
        <v>536</v>
      </c>
      <c r="B1564" s="3">
        <v>45086</v>
      </c>
      <c r="C1564" t="s">
        <v>2014</v>
      </c>
      <c r="D1564" t="s">
        <v>2024</v>
      </c>
      <c r="E1564" s="8">
        <v>4700</v>
      </c>
      <c r="F1564">
        <v>5</v>
      </c>
      <c r="G1564">
        <v>5</v>
      </c>
      <c r="H1564" s="8">
        <v>22325</v>
      </c>
      <c r="I1564">
        <v>3146.59</v>
      </c>
      <c r="J1564">
        <v>6592.06</v>
      </c>
      <c r="K1564" s="5">
        <f>IF(SalesData[[#This Row],[Total Revenue]]=0,0,SalesData[[#This Row],[Profit]]/SalesData[[#This Row],[Total Revenue]])</f>
        <v>0.29527704367301233</v>
      </c>
      <c r="L1564" s="5" t="str">
        <f>TEXT(SalesData[[#This Row],[Date]],"mmm")</f>
        <v>Jun</v>
      </c>
      <c r="M1564">
        <f>YEAR(SalesData[[#This Row],[Date]])</f>
        <v>2023</v>
      </c>
      <c r="N1564">
        <f>WEEKNUM(SalesData[[#This Row],[Date]])</f>
        <v>23</v>
      </c>
      <c r="O1564" t="s">
        <v>2350</v>
      </c>
      <c r="P1564" t="s">
        <v>2522</v>
      </c>
      <c r="Q1564" t="s">
        <v>2524</v>
      </c>
    </row>
    <row r="1565" spans="1:17" x14ac:dyDescent="0.35">
      <c r="A1565" t="s">
        <v>1763</v>
      </c>
      <c r="B1565" s="3">
        <v>45015</v>
      </c>
      <c r="C1565" t="s">
        <v>2013</v>
      </c>
      <c r="D1565" t="s">
        <v>2023</v>
      </c>
      <c r="E1565" s="8">
        <v>4968</v>
      </c>
      <c r="F1565">
        <v>5</v>
      </c>
      <c r="G1565">
        <v>10</v>
      </c>
      <c r="H1565" s="8">
        <v>22356</v>
      </c>
      <c r="I1565">
        <v>3058.89</v>
      </c>
      <c r="J1565">
        <v>7061.54</v>
      </c>
      <c r="K1565" s="5">
        <f>IF(SalesData[[#This Row],[Total Revenue]]=0,0,SalesData[[#This Row],[Profit]]/SalesData[[#This Row],[Total Revenue]])</f>
        <v>0.31586777598854893</v>
      </c>
      <c r="L1565" s="5" t="str">
        <f>TEXT(SalesData[[#This Row],[Date]],"mmm")</f>
        <v>Mar</v>
      </c>
      <c r="M1565">
        <f>YEAR(SalesData[[#This Row],[Date]])</f>
        <v>2023</v>
      </c>
      <c r="N1565">
        <f>WEEKNUM(SalesData[[#This Row],[Date]])</f>
        <v>13</v>
      </c>
      <c r="O1565" t="s">
        <v>2442</v>
      </c>
      <c r="P1565" t="s">
        <v>2522</v>
      </c>
      <c r="Q1565" t="s">
        <v>2524</v>
      </c>
    </row>
    <row r="1566" spans="1:17" x14ac:dyDescent="0.35">
      <c r="A1566" t="s">
        <v>1057</v>
      </c>
      <c r="B1566" s="3">
        <v>44937</v>
      </c>
      <c r="C1566" t="s">
        <v>2022</v>
      </c>
      <c r="D1566" t="s">
        <v>2024</v>
      </c>
      <c r="E1566" s="8">
        <v>4385</v>
      </c>
      <c r="F1566">
        <v>6</v>
      </c>
      <c r="G1566">
        <v>15</v>
      </c>
      <c r="H1566" s="8">
        <v>22363.5</v>
      </c>
      <c r="I1566">
        <v>2761.72</v>
      </c>
      <c r="J1566">
        <v>5793.15</v>
      </c>
      <c r="K1566" s="5">
        <f>IF(SalesData[[#This Row],[Total Revenue]]=0,0,SalesData[[#This Row],[Profit]]/SalesData[[#This Row],[Total Revenue]])</f>
        <v>0.25904487222483064</v>
      </c>
      <c r="L1566" s="5" t="str">
        <f>TEXT(SalesData[[#This Row],[Date]],"mmm")</f>
        <v>Jan</v>
      </c>
      <c r="M1566">
        <f>YEAR(SalesData[[#This Row],[Date]])</f>
        <v>2023</v>
      </c>
      <c r="N1566">
        <f>WEEKNUM(SalesData[[#This Row],[Date]])</f>
        <v>2</v>
      </c>
      <c r="O1566" t="s">
        <v>2421</v>
      </c>
      <c r="P1566" t="s">
        <v>2523</v>
      </c>
      <c r="Q1566" t="s">
        <v>2524</v>
      </c>
    </row>
    <row r="1567" spans="1:17" x14ac:dyDescent="0.35">
      <c r="A1567" t="s">
        <v>971</v>
      </c>
      <c r="B1567" s="3">
        <v>44941</v>
      </c>
      <c r="C1567" t="s">
        <v>2022</v>
      </c>
      <c r="D1567" t="s">
        <v>2024</v>
      </c>
      <c r="E1567" s="8">
        <v>3363</v>
      </c>
      <c r="F1567">
        <v>7</v>
      </c>
      <c r="G1567">
        <v>5</v>
      </c>
      <c r="H1567" s="8">
        <v>22363.95</v>
      </c>
      <c r="I1567">
        <v>2551.98</v>
      </c>
      <c r="J1567">
        <v>4500.1099999999997</v>
      </c>
      <c r="K1567" s="5">
        <f>IF(SalesData[[#This Row],[Total Revenue]]=0,0,SalesData[[#This Row],[Profit]]/SalesData[[#This Row],[Total Revenue]])</f>
        <v>0.20122160888394042</v>
      </c>
      <c r="L1567" s="5" t="str">
        <f>TEXT(SalesData[[#This Row],[Date]],"mmm")</f>
        <v>Jan</v>
      </c>
      <c r="M1567">
        <f>YEAR(SalesData[[#This Row],[Date]])</f>
        <v>2023</v>
      </c>
      <c r="N1567">
        <f>WEEKNUM(SalesData[[#This Row],[Date]])</f>
        <v>3</v>
      </c>
      <c r="O1567" t="s">
        <v>2450</v>
      </c>
      <c r="P1567" t="s">
        <v>2522</v>
      </c>
      <c r="Q1567" t="s">
        <v>2525</v>
      </c>
    </row>
    <row r="1568" spans="1:17" x14ac:dyDescent="0.35">
      <c r="A1568" t="s">
        <v>939</v>
      </c>
      <c r="B1568" s="3">
        <v>45110</v>
      </c>
      <c r="C1568" t="s">
        <v>2015</v>
      </c>
      <c r="D1568" t="s">
        <v>2025</v>
      </c>
      <c r="E1568" s="8">
        <v>4715</v>
      </c>
      <c r="F1568">
        <v>5</v>
      </c>
      <c r="G1568">
        <v>5</v>
      </c>
      <c r="H1568" s="8">
        <v>22396.25</v>
      </c>
      <c r="I1568">
        <v>2751.84</v>
      </c>
      <c r="J1568">
        <v>8637.07</v>
      </c>
      <c r="K1568" s="5">
        <f>IF(SalesData[[#This Row],[Total Revenue]]=0,0,SalesData[[#This Row],[Profit]]/SalesData[[#This Row],[Total Revenue]])</f>
        <v>0.38564804375732542</v>
      </c>
      <c r="L1568" s="5" t="str">
        <f>TEXT(SalesData[[#This Row],[Date]],"mmm")</f>
        <v>Jul</v>
      </c>
      <c r="M1568">
        <f>YEAR(SalesData[[#This Row],[Date]])</f>
        <v>2023</v>
      </c>
      <c r="N1568">
        <f>WEEKNUM(SalesData[[#This Row],[Date]])</f>
        <v>27</v>
      </c>
      <c r="O1568" t="s">
        <v>2447</v>
      </c>
      <c r="P1568" t="s">
        <v>2522</v>
      </c>
      <c r="Q1568" t="s">
        <v>2525</v>
      </c>
    </row>
    <row r="1569" spans="1:17" x14ac:dyDescent="0.35">
      <c r="A1569" t="s">
        <v>222</v>
      </c>
      <c r="B1569" s="3">
        <v>45244</v>
      </c>
      <c r="C1569" t="s">
        <v>2017</v>
      </c>
      <c r="D1569" t="s">
        <v>2026</v>
      </c>
      <c r="E1569" s="8">
        <v>2489</v>
      </c>
      <c r="F1569">
        <v>9</v>
      </c>
      <c r="G1569">
        <v>0</v>
      </c>
      <c r="H1569" s="8">
        <v>22401</v>
      </c>
      <c r="I1569">
        <v>1314.18</v>
      </c>
      <c r="J1569">
        <v>10573.34</v>
      </c>
      <c r="K1569" s="5">
        <f>IF(SalesData[[#This Row],[Total Revenue]]=0,0,SalesData[[#This Row],[Profit]]/SalesData[[#This Row],[Total Revenue]])</f>
        <v>0.47200303557876883</v>
      </c>
      <c r="L1569" s="5" t="str">
        <f>TEXT(SalesData[[#This Row],[Date]],"mmm")</f>
        <v>Nov</v>
      </c>
      <c r="M1569">
        <f>YEAR(SalesData[[#This Row],[Date]])</f>
        <v>2023</v>
      </c>
      <c r="N1569">
        <f>WEEKNUM(SalesData[[#This Row],[Date]])</f>
        <v>46</v>
      </c>
      <c r="O1569" t="s">
        <v>2114</v>
      </c>
      <c r="P1569" t="s">
        <v>2522</v>
      </c>
      <c r="Q1569" t="s">
        <v>2527</v>
      </c>
    </row>
    <row r="1570" spans="1:17" x14ac:dyDescent="0.35">
      <c r="A1570" t="s">
        <v>1900</v>
      </c>
      <c r="B1570" s="3">
        <v>44938</v>
      </c>
      <c r="C1570" t="s">
        <v>2016</v>
      </c>
      <c r="D1570" t="s">
        <v>2025</v>
      </c>
      <c r="E1570" s="8">
        <v>4741</v>
      </c>
      <c r="F1570">
        <v>5</v>
      </c>
      <c r="G1570">
        <v>5</v>
      </c>
      <c r="H1570" s="8">
        <v>22519.75</v>
      </c>
      <c r="I1570">
        <v>2427.36</v>
      </c>
      <c r="J1570">
        <v>10382.93</v>
      </c>
      <c r="K1570" s="5">
        <f>IF(SalesData[[#This Row],[Total Revenue]]=0,0,SalesData[[#This Row],[Profit]]/SalesData[[#This Row],[Total Revenue]])</f>
        <v>0.46105884834423116</v>
      </c>
      <c r="L1570" s="5" t="str">
        <f>TEXT(SalesData[[#This Row],[Date]],"mmm")</f>
        <v>Jan</v>
      </c>
      <c r="M1570">
        <f>YEAR(SalesData[[#This Row],[Date]])</f>
        <v>2023</v>
      </c>
      <c r="N1570">
        <f>WEEKNUM(SalesData[[#This Row],[Date]])</f>
        <v>2</v>
      </c>
      <c r="O1570" t="s">
        <v>2269</v>
      </c>
      <c r="P1570" t="s">
        <v>2523</v>
      </c>
      <c r="Q1570" t="s">
        <v>2525</v>
      </c>
    </row>
    <row r="1571" spans="1:17" x14ac:dyDescent="0.35">
      <c r="A1571" t="s">
        <v>1358</v>
      </c>
      <c r="B1571" s="3">
        <v>45172</v>
      </c>
      <c r="C1571" t="s">
        <v>2022</v>
      </c>
      <c r="D1571" t="s">
        <v>2024</v>
      </c>
      <c r="E1571" s="8">
        <v>4747</v>
      </c>
      <c r="F1571">
        <v>5</v>
      </c>
      <c r="G1571">
        <v>5</v>
      </c>
      <c r="H1571" s="8">
        <v>22548.25</v>
      </c>
      <c r="I1571">
        <v>3593.57</v>
      </c>
      <c r="J1571">
        <v>4580.3999999999996</v>
      </c>
      <c r="K1571" s="5">
        <f>IF(SalesData[[#This Row],[Total Revenue]]=0,0,SalesData[[#This Row],[Profit]]/SalesData[[#This Row],[Total Revenue]])</f>
        <v>0.2031377157872562</v>
      </c>
      <c r="L1571" s="5" t="str">
        <f>TEXT(SalesData[[#This Row],[Date]],"mmm")</f>
        <v>Sep</v>
      </c>
      <c r="M1571">
        <f>YEAR(SalesData[[#This Row],[Date]])</f>
        <v>2023</v>
      </c>
      <c r="N1571">
        <f>WEEKNUM(SalesData[[#This Row],[Date]])</f>
        <v>36</v>
      </c>
      <c r="O1571" t="s">
        <v>2364</v>
      </c>
      <c r="P1571" t="s">
        <v>2523</v>
      </c>
      <c r="Q1571" t="s">
        <v>2526</v>
      </c>
    </row>
    <row r="1572" spans="1:17" x14ac:dyDescent="0.35">
      <c r="A1572" t="s">
        <v>1513</v>
      </c>
      <c r="B1572" s="3">
        <v>45137</v>
      </c>
      <c r="C1572" t="s">
        <v>2016</v>
      </c>
      <c r="D1572" t="s">
        <v>2025</v>
      </c>
      <c r="E1572" s="8">
        <v>3792</v>
      </c>
      <c r="F1572">
        <v>7</v>
      </c>
      <c r="G1572">
        <v>15</v>
      </c>
      <c r="H1572" s="8">
        <v>22562.400000000001</v>
      </c>
      <c r="I1572">
        <v>2950.1</v>
      </c>
      <c r="J1572">
        <v>1911.71</v>
      </c>
      <c r="K1572" s="5">
        <f>IF(SalesData[[#This Row],[Total Revenue]]=0,0,SalesData[[#This Row],[Profit]]/SalesData[[#This Row],[Total Revenue]])</f>
        <v>8.4729904620075874E-2</v>
      </c>
      <c r="L1572" s="5" t="str">
        <f>TEXT(SalesData[[#This Row],[Date]],"mmm")</f>
        <v>Jul</v>
      </c>
      <c r="M1572">
        <f>YEAR(SalesData[[#This Row],[Date]])</f>
        <v>2023</v>
      </c>
      <c r="N1572">
        <f>WEEKNUM(SalesData[[#This Row],[Date]])</f>
        <v>31</v>
      </c>
      <c r="O1572" t="s">
        <v>2503</v>
      </c>
      <c r="P1572" t="s">
        <v>2522</v>
      </c>
      <c r="Q1572" t="s">
        <v>2524</v>
      </c>
    </row>
    <row r="1573" spans="1:17" x14ac:dyDescent="0.35">
      <c r="A1573" t="s">
        <v>669</v>
      </c>
      <c r="B1573" s="3">
        <v>45009</v>
      </c>
      <c r="C1573" t="s">
        <v>2016</v>
      </c>
      <c r="D1573" t="s">
        <v>2025</v>
      </c>
      <c r="E1573" s="8">
        <v>3586</v>
      </c>
      <c r="F1573">
        <v>7</v>
      </c>
      <c r="G1573">
        <v>10</v>
      </c>
      <c r="H1573" s="8">
        <v>22591.8</v>
      </c>
      <c r="I1573">
        <v>2514.19</v>
      </c>
      <c r="J1573">
        <v>4992.49</v>
      </c>
      <c r="K1573" s="5">
        <f>IF(SalesData[[#This Row],[Total Revenue]]=0,0,SalesData[[#This Row],[Profit]]/SalesData[[#This Row],[Total Revenue]])</f>
        <v>0.22098681822608202</v>
      </c>
      <c r="L1573" s="5" t="str">
        <f>TEXT(SalesData[[#This Row],[Date]],"mmm")</f>
        <v>Mar</v>
      </c>
      <c r="M1573">
        <f>YEAR(SalesData[[#This Row],[Date]])</f>
        <v>2023</v>
      </c>
      <c r="N1573">
        <f>WEEKNUM(SalesData[[#This Row],[Date]])</f>
        <v>12</v>
      </c>
      <c r="O1573" t="s">
        <v>2267</v>
      </c>
      <c r="P1573" t="s">
        <v>2523</v>
      </c>
      <c r="Q1573" t="s">
        <v>2526</v>
      </c>
    </row>
    <row r="1574" spans="1:17" x14ac:dyDescent="0.35">
      <c r="A1574" t="s">
        <v>1077</v>
      </c>
      <c r="B1574" s="3">
        <v>45020</v>
      </c>
      <c r="C1574" t="s">
        <v>2018</v>
      </c>
      <c r="D1574" t="s">
        <v>2026</v>
      </c>
      <c r="E1574" s="8">
        <v>4519</v>
      </c>
      <c r="F1574">
        <v>5</v>
      </c>
      <c r="G1574">
        <v>0</v>
      </c>
      <c r="H1574" s="8">
        <v>22595</v>
      </c>
      <c r="I1574">
        <v>3204.69</v>
      </c>
      <c r="J1574">
        <v>6571.56</v>
      </c>
      <c r="K1574" s="5">
        <f>IF(SalesData[[#This Row],[Total Revenue]]=0,0,SalesData[[#This Row],[Profit]]/SalesData[[#This Row],[Total Revenue]])</f>
        <v>0.29084133657888916</v>
      </c>
      <c r="L1574" s="5" t="str">
        <f>TEXT(SalesData[[#This Row],[Date]],"mmm")</f>
        <v>Apr</v>
      </c>
      <c r="M1574">
        <f>YEAR(SalesData[[#This Row],[Date]])</f>
        <v>2023</v>
      </c>
      <c r="N1574">
        <f>WEEKNUM(SalesData[[#This Row],[Date]])</f>
        <v>14</v>
      </c>
      <c r="O1574" t="s">
        <v>2071</v>
      </c>
      <c r="P1574" t="s">
        <v>2522</v>
      </c>
      <c r="Q1574" t="s">
        <v>2526</v>
      </c>
    </row>
    <row r="1575" spans="1:17" x14ac:dyDescent="0.35">
      <c r="A1575" t="s">
        <v>1705</v>
      </c>
      <c r="B1575" s="3">
        <v>45151</v>
      </c>
      <c r="C1575" t="s">
        <v>2017</v>
      </c>
      <c r="D1575" t="s">
        <v>2026</v>
      </c>
      <c r="E1575" s="8">
        <v>3798</v>
      </c>
      <c r="F1575">
        <v>7</v>
      </c>
      <c r="G1575">
        <v>15</v>
      </c>
      <c r="H1575" s="8">
        <v>22598.1</v>
      </c>
      <c r="I1575">
        <v>1940.49</v>
      </c>
      <c r="J1575">
        <v>9014.68</v>
      </c>
      <c r="K1575" s="5">
        <f>IF(SalesData[[#This Row],[Total Revenue]]=0,0,SalesData[[#This Row],[Profit]]/SalesData[[#This Row],[Total Revenue]])</f>
        <v>0.39891318296670963</v>
      </c>
      <c r="L1575" s="5" t="str">
        <f>TEXT(SalesData[[#This Row],[Date]],"mmm")</f>
        <v>Aug</v>
      </c>
      <c r="M1575">
        <f>YEAR(SalesData[[#This Row],[Date]])</f>
        <v>2023</v>
      </c>
      <c r="N1575">
        <f>WEEKNUM(SalesData[[#This Row],[Date]])</f>
        <v>33</v>
      </c>
      <c r="O1575" t="s">
        <v>2453</v>
      </c>
      <c r="P1575" t="s">
        <v>2522</v>
      </c>
      <c r="Q1575" t="s">
        <v>2525</v>
      </c>
    </row>
    <row r="1576" spans="1:17" x14ac:dyDescent="0.35">
      <c r="A1576" t="s">
        <v>365</v>
      </c>
      <c r="B1576" s="3">
        <v>44973</v>
      </c>
      <c r="C1576" t="s">
        <v>2019</v>
      </c>
      <c r="D1576" t="s">
        <v>2027</v>
      </c>
      <c r="E1576" s="8">
        <v>4759</v>
      </c>
      <c r="F1576">
        <v>5</v>
      </c>
      <c r="G1576">
        <v>5</v>
      </c>
      <c r="H1576" s="8">
        <v>22605.25</v>
      </c>
      <c r="I1576">
        <v>2804.47</v>
      </c>
      <c r="J1576">
        <v>8582.89</v>
      </c>
      <c r="K1576" s="5">
        <f>IF(SalesData[[#This Row],[Total Revenue]]=0,0,SalesData[[#This Row],[Profit]]/SalesData[[#This Row],[Total Revenue]])</f>
        <v>0.37968569248294087</v>
      </c>
      <c r="L1576" s="5" t="str">
        <f>TEXT(SalesData[[#This Row],[Date]],"mmm")</f>
        <v>Feb</v>
      </c>
      <c r="M1576">
        <f>YEAR(SalesData[[#This Row],[Date]])</f>
        <v>2023</v>
      </c>
      <c r="N1576">
        <f>WEEKNUM(SalesData[[#This Row],[Date]])</f>
        <v>7</v>
      </c>
      <c r="O1576" t="s">
        <v>2279</v>
      </c>
      <c r="P1576" t="s">
        <v>2522</v>
      </c>
      <c r="Q1576" t="s">
        <v>2526</v>
      </c>
    </row>
    <row r="1577" spans="1:17" x14ac:dyDescent="0.35">
      <c r="A1577" t="s">
        <v>942</v>
      </c>
      <c r="B1577" s="3">
        <v>45235</v>
      </c>
      <c r="C1577" t="s">
        <v>2017</v>
      </c>
      <c r="D1577" t="s">
        <v>2026</v>
      </c>
      <c r="E1577" s="8">
        <v>2512</v>
      </c>
      <c r="F1577">
        <v>10</v>
      </c>
      <c r="G1577">
        <v>10</v>
      </c>
      <c r="H1577" s="8">
        <v>22608</v>
      </c>
      <c r="I1577">
        <v>1958.62</v>
      </c>
      <c r="J1577">
        <v>3021.81</v>
      </c>
      <c r="K1577" s="5">
        <f>IF(SalesData[[#This Row],[Total Revenue]]=0,0,SalesData[[#This Row],[Profit]]/SalesData[[#This Row],[Total Revenue]])</f>
        <v>0.13366109341825902</v>
      </c>
      <c r="L1577" s="5" t="str">
        <f>TEXT(SalesData[[#This Row],[Date]],"mmm")</f>
        <v>Nov</v>
      </c>
      <c r="M1577">
        <f>YEAR(SalesData[[#This Row],[Date]])</f>
        <v>2023</v>
      </c>
      <c r="N1577">
        <f>WEEKNUM(SalesData[[#This Row],[Date]])</f>
        <v>45</v>
      </c>
      <c r="O1577" t="s">
        <v>2163</v>
      </c>
      <c r="P1577" t="s">
        <v>2522</v>
      </c>
      <c r="Q1577" t="s">
        <v>2525</v>
      </c>
    </row>
    <row r="1578" spans="1:17" x14ac:dyDescent="0.35">
      <c r="A1578" t="s">
        <v>1139</v>
      </c>
      <c r="B1578" s="3">
        <v>45217</v>
      </c>
      <c r="C1578" t="s">
        <v>2017</v>
      </c>
      <c r="D1578" t="s">
        <v>2026</v>
      </c>
      <c r="E1578" s="8">
        <v>3400</v>
      </c>
      <c r="F1578">
        <v>7</v>
      </c>
      <c r="G1578">
        <v>5</v>
      </c>
      <c r="H1578" s="8">
        <v>22610</v>
      </c>
      <c r="I1578">
        <v>2354.31</v>
      </c>
      <c r="J1578">
        <v>6129.81</v>
      </c>
      <c r="K1578" s="5">
        <f>IF(SalesData[[#This Row],[Total Revenue]]=0,0,SalesData[[#This Row],[Profit]]/SalesData[[#This Row],[Total Revenue]])</f>
        <v>0.27111057054400711</v>
      </c>
      <c r="L1578" s="5" t="str">
        <f>TEXT(SalesData[[#This Row],[Date]],"mmm")</f>
        <v>Oct</v>
      </c>
      <c r="M1578">
        <f>YEAR(SalesData[[#This Row],[Date]])</f>
        <v>2023</v>
      </c>
      <c r="N1578">
        <f>WEEKNUM(SalesData[[#This Row],[Date]])</f>
        <v>42</v>
      </c>
      <c r="O1578" t="s">
        <v>2362</v>
      </c>
      <c r="P1578" t="s">
        <v>2522</v>
      </c>
      <c r="Q1578" t="s">
        <v>2527</v>
      </c>
    </row>
    <row r="1579" spans="1:17" x14ac:dyDescent="0.35">
      <c r="A1579" t="s">
        <v>528</v>
      </c>
      <c r="B1579" s="3">
        <v>45171</v>
      </c>
      <c r="C1579" t="s">
        <v>2022</v>
      </c>
      <c r="D1579" t="s">
        <v>2024</v>
      </c>
      <c r="E1579" s="8">
        <v>4191</v>
      </c>
      <c r="F1579">
        <v>6</v>
      </c>
      <c r="G1579">
        <v>10</v>
      </c>
      <c r="H1579" s="8">
        <v>22631.4</v>
      </c>
      <c r="I1579">
        <v>2270.0700000000002</v>
      </c>
      <c r="J1579">
        <v>9010.9599999999991</v>
      </c>
      <c r="K1579" s="5">
        <f>IF(SalesData[[#This Row],[Total Revenue]]=0,0,SalesData[[#This Row],[Profit]]/SalesData[[#This Row],[Total Revenue]])</f>
        <v>0.39816184593087472</v>
      </c>
      <c r="L1579" s="5" t="str">
        <f>TEXT(SalesData[[#This Row],[Date]],"mmm")</f>
        <v>Sep</v>
      </c>
      <c r="M1579">
        <f>YEAR(SalesData[[#This Row],[Date]])</f>
        <v>2023</v>
      </c>
      <c r="N1579">
        <f>WEEKNUM(SalesData[[#This Row],[Date]])</f>
        <v>35</v>
      </c>
      <c r="O1579" t="s">
        <v>2225</v>
      </c>
      <c r="P1579" t="s">
        <v>2522</v>
      </c>
      <c r="Q1579" t="s">
        <v>2524</v>
      </c>
    </row>
    <row r="1580" spans="1:17" x14ac:dyDescent="0.35">
      <c r="A1580" t="s">
        <v>448</v>
      </c>
      <c r="B1580" s="3">
        <v>44988</v>
      </c>
      <c r="C1580" t="s">
        <v>2021</v>
      </c>
      <c r="D1580" t="s">
        <v>2028</v>
      </c>
      <c r="E1580" s="8">
        <v>2521</v>
      </c>
      <c r="F1580">
        <v>10</v>
      </c>
      <c r="G1580">
        <v>10</v>
      </c>
      <c r="H1580" s="8">
        <v>22689</v>
      </c>
      <c r="I1580">
        <v>1293.9100000000001</v>
      </c>
      <c r="J1580">
        <v>9749.85</v>
      </c>
      <c r="K1580" s="5">
        <f>IF(SalesData[[#This Row],[Total Revenue]]=0,0,SalesData[[#This Row],[Profit]]/SalesData[[#This Row],[Total Revenue]])</f>
        <v>0.42971704350125611</v>
      </c>
      <c r="L1580" s="5" t="str">
        <f>TEXT(SalesData[[#This Row],[Date]],"mmm")</f>
        <v>Mar</v>
      </c>
      <c r="M1580">
        <f>YEAR(SalesData[[#This Row],[Date]])</f>
        <v>2023</v>
      </c>
      <c r="N1580">
        <f>WEEKNUM(SalesData[[#This Row],[Date]])</f>
        <v>9</v>
      </c>
      <c r="O1580" t="s">
        <v>2314</v>
      </c>
      <c r="P1580" t="s">
        <v>2522</v>
      </c>
      <c r="Q1580" t="s">
        <v>2526</v>
      </c>
    </row>
    <row r="1581" spans="1:17" x14ac:dyDescent="0.35">
      <c r="A1581" t="s">
        <v>526</v>
      </c>
      <c r="B1581" s="3">
        <v>45064</v>
      </c>
      <c r="C1581" t="s">
        <v>2017</v>
      </c>
      <c r="D1581" t="s">
        <v>2026</v>
      </c>
      <c r="E1581" s="8">
        <v>3783</v>
      </c>
      <c r="F1581">
        <v>6</v>
      </c>
      <c r="G1581">
        <v>0</v>
      </c>
      <c r="H1581" s="8">
        <v>22698</v>
      </c>
      <c r="I1581">
        <v>2638.1</v>
      </c>
      <c r="J1581">
        <v>6869.41</v>
      </c>
      <c r="K1581" s="5">
        <f>IF(SalesData[[#This Row],[Total Revenue]]=0,0,SalesData[[#This Row],[Profit]]/SalesData[[#This Row],[Total Revenue]])</f>
        <v>0.30264384527271126</v>
      </c>
      <c r="L1581" s="5" t="str">
        <f>TEXT(SalesData[[#This Row],[Date]],"mmm")</f>
        <v>May</v>
      </c>
      <c r="M1581">
        <f>YEAR(SalesData[[#This Row],[Date]])</f>
        <v>2023</v>
      </c>
      <c r="N1581">
        <f>WEEKNUM(SalesData[[#This Row],[Date]])</f>
        <v>20</v>
      </c>
      <c r="O1581" t="s">
        <v>2328</v>
      </c>
      <c r="P1581" t="s">
        <v>2522</v>
      </c>
      <c r="Q1581" t="s">
        <v>2526</v>
      </c>
    </row>
    <row r="1582" spans="1:17" x14ac:dyDescent="0.35">
      <c r="A1582" t="s">
        <v>1897</v>
      </c>
      <c r="B1582" s="3">
        <v>45088</v>
      </c>
      <c r="C1582" t="s">
        <v>2020</v>
      </c>
      <c r="D1582" t="s">
        <v>2028</v>
      </c>
      <c r="E1582" s="8">
        <v>4457</v>
      </c>
      <c r="F1582">
        <v>6</v>
      </c>
      <c r="G1582">
        <v>15</v>
      </c>
      <c r="H1582" s="8">
        <v>22730.7</v>
      </c>
      <c r="I1582">
        <v>2563.4699999999998</v>
      </c>
      <c r="J1582">
        <v>7349.85</v>
      </c>
      <c r="K1582" s="5">
        <f>IF(SalesData[[#This Row],[Total Revenue]]=0,0,SalesData[[#This Row],[Profit]]/SalesData[[#This Row],[Total Revenue]])</f>
        <v>0.32334463962834403</v>
      </c>
      <c r="L1582" s="5" t="str">
        <f>TEXT(SalesData[[#This Row],[Date]],"mmm")</f>
        <v>Jun</v>
      </c>
      <c r="M1582">
        <f>YEAR(SalesData[[#This Row],[Date]])</f>
        <v>2023</v>
      </c>
      <c r="N1582">
        <f>WEEKNUM(SalesData[[#This Row],[Date]])</f>
        <v>24</v>
      </c>
      <c r="O1582" t="s">
        <v>2509</v>
      </c>
      <c r="P1582" t="s">
        <v>2522</v>
      </c>
      <c r="Q1582" t="s">
        <v>2525</v>
      </c>
    </row>
    <row r="1583" spans="1:17" x14ac:dyDescent="0.35">
      <c r="A1583" t="s">
        <v>1604</v>
      </c>
      <c r="B1583" s="3">
        <v>45202</v>
      </c>
      <c r="C1583" t="s">
        <v>2022</v>
      </c>
      <c r="D1583" t="s">
        <v>2024</v>
      </c>
      <c r="E1583" s="8">
        <v>4210</v>
      </c>
      <c r="F1583">
        <v>6</v>
      </c>
      <c r="G1583">
        <v>10</v>
      </c>
      <c r="H1583" s="8">
        <v>22734</v>
      </c>
      <c r="I1583">
        <v>2693.03</v>
      </c>
      <c r="J1583">
        <v>6575.81</v>
      </c>
      <c r="K1583" s="5">
        <f>IF(SalesData[[#This Row],[Total Revenue]]=0,0,SalesData[[#This Row],[Profit]]/SalesData[[#This Row],[Total Revenue]])</f>
        <v>0.28925002199348993</v>
      </c>
      <c r="L1583" s="5" t="str">
        <f>TEXT(SalesData[[#This Row],[Date]],"mmm")</f>
        <v>Oct</v>
      </c>
      <c r="M1583">
        <f>YEAR(SalesData[[#This Row],[Date]])</f>
        <v>2023</v>
      </c>
      <c r="N1583">
        <f>WEEKNUM(SalesData[[#This Row],[Date]])</f>
        <v>40</v>
      </c>
      <c r="O1583" t="s">
        <v>2263</v>
      </c>
      <c r="P1583" t="s">
        <v>2522</v>
      </c>
      <c r="Q1583" t="s">
        <v>2525</v>
      </c>
    </row>
    <row r="1584" spans="1:17" x14ac:dyDescent="0.35">
      <c r="A1584" t="s">
        <v>35</v>
      </c>
      <c r="B1584" s="3">
        <v>45245</v>
      </c>
      <c r="C1584" t="s">
        <v>2016</v>
      </c>
      <c r="D1584" t="s">
        <v>2025</v>
      </c>
      <c r="E1584" s="8">
        <v>2274</v>
      </c>
      <c r="F1584">
        <v>10</v>
      </c>
      <c r="G1584">
        <v>0</v>
      </c>
      <c r="H1584" s="8">
        <v>22740</v>
      </c>
      <c r="I1584">
        <v>1140.1400000000001</v>
      </c>
      <c r="J1584">
        <v>11338.61</v>
      </c>
      <c r="K1584" s="5">
        <f>IF(SalesData[[#This Row],[Total Revenue]]=0,0,SalesData[[#This Row],[Profit]]/SalesData[[#This Row],[Total Revenue]])</f>
        <v>0.49861961301671065</v>
      </c>
      <c r="L1584" s="5" t="str">
        <f>TEXT(SalesData[[#This Row],[Date]],"mmm")</f>
        <v>Nov</v>
      </c>
      <c r="M1584">
        <f>YEAR(SalesData[[#This Row],[Date]])</f>
        <v>2023</v>
      </c>
      <c r="N1584">
        <f>WEEKNUM(SalesData[[#This Row],[Date]])</f>
        <v>46</v>
      </c>
      <c r="O1584" t="s">
        <v>2050</v>
      </c>
      <c r="P1584" t="s">
        <v>2522</v>
      </c>
      <c r="Q1584" t="s">
        <v>2524</v>
      </c>
    </row>
    <row r="1585" spans="1:17" x14ac:dyDescent="0.35">
      <c r="A1585" t="s">
        <v>918</v>
      </c>
      <c r="B1585" s="3">
        <v>44980</v>
      </c>
      <c r="C1585" t="s">
        <v>2018</v>
      </c>
      <c r="D1585" t="s">
        <v>2026</v>
      </c>
      <c r="E1585" s="8">
        <v>2278</v>
      </c>
      <c r="F1585">
        <v>10</v>
      </c>
      <c r="G1585">
        <v>0</v>
      </c>
      <c r="H1585" s="8">
        <v>22780</v>
      </c>
      <c r="I1585">
        <v>1631.88</v>
      </c>
      <c r="J1585">
        <v>6461.25</v>
      </c>
      <c r="K1585" s="5">
        <f>IF(SalesData[[#This Row],[Total Revenue]]=0,0,SalesData[[#This Row],[Profit]]/SalesData[[#This Row],[Total Revenue]])</f>
        <v>0.28363696224758561</v>
      </c>
      <c r="L1585" s="5" t="str">
        <f>TEXT(SalesData[[#This Row],[Date]],"mmm")</f>
        <v>Feb</v>
      </c>
      <c r="M1585">
        <f>YEAR(SalesData[[#This Row],[Date]])</f>
        <v>2023</v>
      </c>
      <c r="N1585">
        <f>WEEKNUM(SalesData[[#This Row],[Date]])</f>
        <v>8</v>
      </c>
      <c r="O1585" t="s">
        <v>2054</v>
      </c>
      <c r="P1585" t="s">
        <v>2522</v>
      </c>
      <c r="Q1585" t="s">
        <v>2525</v>
      </c>
    </row>
    <row r="1586" spans="1:17" x14ac:dyDescent="0.35">
      <c r="A1586" t="s">
        <v>1257</v>
      </c>
      <c r="B1586" s="3">
        <v>45074</v>
      </c>
      <c r="C1586" t="s">
        <v>2022</v>
      </c>
      <c r="D1586" t="s">
        <v>2024</v>
      </c>
      <c r="E1586" s="8">
        <v>3798</v>
      </c>
      <c r="F1586">
        <v>6</v>
      </c>
      <c r="G1586">
        <v>0</v>
      </c>
      <c r="H1586" s="8">
        <v>22788</v>
      </c>
      <c r="I1586">
        <v>2844.5</v>
      </c>
      <c r="J1586">
        <v>5720.98</v>
      </c>
      <c r="K1586" s="5">
        <f>IF(SalesData[[#This Row],[Total Revenue]]=0,0,SalesData[[#This Row],[Profit]]/SalesData[[#This Row],[Total Revenue]])</f>
        <v>0.25105230823240299</v>
      </c>
      <c r="L1586" s="5" t="str">
        <f>TEXT(SalesData[[#This Row],[Date]],"mmm")</f>
        <v>May</v>
      </c>
      <c r="M1586">
        <f>YEAR(SalesData[[#This Row],[Date]])</f>
        <v>2023</v>
      </c>
      <c r="N1586">
        <f>WEEKNUM(SalesData[[#This Row],[Date]])</f>
        <v>22</v>
      </c>
      <c r="O1586" t="s">
        <v>2269</v>
      </c>
      <c r="P1586" t="s">
        <v>2523</v>
      </c>
      <c r="Q1586" t="s">
        <v>2527</v>
      </c>
    </row>
    <row r="1587" spans="1:17" x14ac:dyDescent="0.35">
      <c r="A1587" t="s">
        <v>275</v>
      </c>
      <c r="B1587" s="3">
        <v>44978</v>
      </c>
      <c r="C1587" t="s">
        <v>2016</v>
      </c>
      <c r="D1587" t="s">
        <v>2025</v>
      </c>
      <c r="E1587" s="8">
        <v>2850</v>
      </c>
      <c r="F1587">
        <v>8</v>
      </c>
      <c r="G1587">
        <v>0</v>
      </c>
      <c r="H1587" s="8">
        <v>22800</v>
      </c>
      <c r="I1587">
        <v>2119.9699999999998</v>
      </c>
      <c r="J1587">
        <v>5840.21</v>
      </c>
      <c r="K1587" s="5">
        <f>IF(SalesData[[#This Row],[Total Revenue]]=0,0,SalesData[[#This Row],[Profit]]/SalesData[[#This Row],[Total Revenue]])</f>
        <v>0.25614956140350875</v>
      </c>
      <c r="L1587" s="5" t="str">
        <f>TEXT(SalesData[[#This Row],[Date]],"mmm")</f>
        <v>Feb</v>
      </c>
      <c r="M1587">
        <f>YEAR(SalesData[[#This Row],[Date]])</f>
        <v>2023</v>
      </c>
      <c r="N1587">
        <f>WEEKNUM(SalesData[[#This Row],[Date]])</f>
        <v>8</v>
      </c>
      <c r="O1587" t="s">
        <v>2152</v>
      </c>
      <c r="P1587" t="s">
        <v>2522</v>
      </c>
      <c r="Q1587" t="s">
        <v>2527</v>
      </c>
    </row>
    <row r="1588" spans="1:17" x14ac:dyDescent="0.35">
      <c r="A1588" t="s">
        <v>532</v>
      </c>
      <c r="B1588" s="3">
        <v>45104</v>
      </c>
      <c r="C1588" t="s">
        <v>2020</v>
      </c>
      <c r="D1588" t="s">
        <v>2028</v>
      </c>
      <c r="E1588" s="8">
        <v>3354</v>
      </c>
      <c r="F1588">
        <v>8</v>
      </c>
      <c r="G1588">
        <v>15</v>
      </c>
      <c r="H1588" s="8">
        <v>22807.200000000001</v>
      </c>
      <c r="I1588">
        <v>2428.56</v>
      </c>
      <c r="J1588">
        <v>3378.69</v>
      </c>
      <c r="K1588" s="5">
        <f>IF(SalesData[[#This Row],[Total Revenue]]=0,0,SalesData[[#This Row],[Profit]]/SalesData[[#This Row],[Total Revenue]])</f>
        <v>0.14814137640745029</v>
      </c>
      <c r="L1588" s="5" t="str">
        <f>TEXT(SalesData[[#This Row],[Date]],"mmm")</f>
        <v>Jun</v>
      </c>
      <c r="M1588">
        <f>YEAR(SalesData[[#This Row],[Date]])</f>
        <v>2023</v>
      </c>
      <c r="N1588">
        <f>WEEKNUM(SalesData[[#This Row],[Date]])</f>
        <v>26</v>
      </c>
      <c r="O1588" t="s">
        <v>2078</v>
      </c>
      <c r="P1588" t="s">
        <v>2523</v>
      </c>
      <c r="Q1588" t="s">
        <v>2524</v>
      </c>
    </row>
    <row r="1589" spans="1:17" x14ac:dyDescent="0.35">
      <c r="A1589" t="s">
        <v>1989</v>
      </c>
      <c r="B1589" s="3">
        <v>45117</v>
      </c>
      <c r="C1589" t="s">
        <v>2015</v>
      </c>
      <c r="D1589" t="s">
        <v>2025</v>
      </c>
      <c r="E1589" s="8">
        <v>2668</v>
      </c>
      <c r="F1589">
        <v>9</v>
      </c>
      <c r="G1589">
        <v>5</v>
      </c>
      <c r="H1589" s="8">
        <v>22811.4</v>
      </c>
      <c r="I1589">
        <v>1949.94</v>
      </c>
      <c r="J1589">
        <v>5261.9</v>
      </c>
      <c r="K1589" s="5">
        <f>IF(SalesData[[#This Row],[Total Revenue]]=0,0,SalesData[[#This Row],[Profit]]/SalesData[[#This Row],[Total Revenue]])</f>
        <v>0.23066975284287677</v>
      </c>
      <c r="L1589" s="5" t="str">
        <f>TEXT(SalesData[[#This Row],[Date]],"mmm")</f>
        <v>Jul</v>
      </c>
      <c r="M1589">
        <f>YEAR(SalesData[[#This Row],[Date]])</f>
        <v>2023</v>
      </c>
      <c r="N1589">
        <f>WEEKNUM(SalesData[[#This Row],[Date]])</f>
        <v>28</v>
      </c>
      <c r="O1589" t="s">
        <v>2456</v>
      </c>
      <c r="P1589" t="s">
        <v>2522</v>
      </c>
      <c r="Q1589" t="s">
        <v>2526</v>
      </c>
    </row>
    <row r="1590" spans="1:17" x14ac:dyDescent="0.35">
      <c r="A1590" t="s">
        <v>381</v>
      </c>
      <c r="B1590" s="3">
        <v>45284</v>
      </c>
      <c r="C1590" t="s">
        <v>2021</v>
      </c>
      <c r="D1590" t="s">
        <v>2028</v>
      </c>
      <c r="E1590" s="8">
        <v>3357</v>
      </c>
      <c r="F1590">
        <v>8</v>
      </c>
      <c r="G1590">
        <v>15</v>
      </c>
      <c r="H1590" s="8">
        <v>22827.599999999999</v>
      </c>
      <c r="I1590">
        <v>2208.5500000000002</v>
      </c>
      <c r="J1590">
        <v>5159.16</v>
      </c>
      <c r="K1590" s="5">
        <f>IF(SalesData[[#This Row],[Total Revenue]]=0,0,SalesData[[#This Row],[Profit]]/SalesData[[#This Row],[Total Revenue]])</f>
        <v>0.22600536193029491</v>
      </c>
      <c r="L1590" s="5" t="str">
        <f>TEXT(SalesData[[#This Row],[Date]],"mmm")</f>
        <v>Dec</v>
      </c>
      <c r="M1590">
        <f>YEAR(SalesData[[#This Row],[Date]])</f>
        <v>2023</v>
      </c>
      <c r="N1590">
        <f>WEEKNUM(SalesData[[#This Row],[Date]])</f>
        <v>52</v>
      </c>
      <c r="O1590" t="s">
        <v>2129</v>
      </c>
      <c r="P1590" t="s">
        <v>2523</v>
      </c>
      <c r="Q1590" t="s">
        <v>2527</v>
      </c>
    </row>
    <row r="1591" spans="1:17" x14ac:dyDescent="0.35">
      <c r="A1591" t="s">
        <v>370</v>
      </c>
      <c r="B1591" s="3">
        <v>45287</v>
      </c>
      <c r="C1591" t="s">
        <v>2020</v>
      </c>
      <c r="D1591" t="s">
        <v>2028</v>
      </c>
      <c r="E1591" s="8">
        <v>4566</v>
      </c>
      <c r="F1591">
        <v>5</v>
      </c>
      <c r="G1591">
        <v>0</v>
      </c>
      <c r="H1591" s="8">
        <v>22830</v>
      </c>
      <c r="I1591">
        <v>3511.44</v>
      </c>
      <c r="J1591">
        <v>5272.8</v>
      </c>
      <c r="K1591" s="5">
        <f>IF(SalesData[[#This Row],[Total Revenue]]=0,0,SalesData[[#This Row],[Profit]]/SalesData[[#This Row],[Total Revenue]])</f>
        <v>0.23095926412614981</v>
      </c>
      <c r="L1591" s="5" t="str">
        <f>TEXT(SalesData[[#This Row],[Date]],"mmm")</f>
        <v>Dec</v>
      </c>
      <c r="M1591">
        <f>YEAR(SalesData[[#This Row],[Date]])</f>
        <v>2023</v>
      </c>
      <c r="N1591">
        <f>WEEKNUM(SalesData[[#This Row],[Date]])</f>
        <v>52</v>
      </c>
      <c r="O1591" t="s">
        <v>2281</v>
      </c>
      <c r="P1591" t="s">
        <v>2522</v>
      </c>
      <c r="Q1591" t="s">
        <v>2527</v>
      </c>
    </row>
    <row r="1592" spans="1:17" x14ac:dyDescent="0.35">
      <c r="A1592" t="s">
        <v>1762</v>
      </c>
      <c r="B1592" s="3">
        <v>45119</v>
      </c>
      <c r="C1592" t="s">
        <v>2018</v>
      </c>
      <c r="D1592" t="s">
        <v>2026</v>
      </c>
      <c r="E1592" s="8">
        <v>3361</v>
      </c>
      <c r="F1592">
        <v>8</v>
      </c>
      <c r="G1592">
        <v>15</v>
      </c>
      <c r="H1592" s="8">
        <v>22854.799999999999</v>
      </c>
      <c r="I1592">
        <v>2388.48</v>
      </c>
      <c r="J1592">
        <v>3746.96</v>
      </c>
      <c r="K1592" s="5">
        <f>IF(SalesData[[#This Row],[Total Revenue]]=0,0,SalesData[[#This Row],[Profit]]/SalesData[[#This Row],[Total Revenue]])</f>
        <v>0.16394630449621087</v>
      </c>
      <c r="L1592" s="5" t="str">
        <f>TEXT(SalesData[[#This Row],[Date]],"mmm")</f>
        <v>Jul</v>
      </c>
      <c r="M1592">
        <f>YEAR(SalesData[[#This Row],[Date]])</f>
        <v>2023</v>
      </c>
      <c r="N1592">
        <f>WEEKNUM(SalesData[[#This Row],[Date]])</f>
        <v>28</v>
      </c>
      <c r="O1592" t="s">
        <v>2291</v>
      </c>
      <c r="P1592" t="s">
        <v>2523</v>
      </c>
      <c r="Q1592" t="s">
        <v>2526</v>
      </c>
    </row>
    <row r="1593" spans="1:17" x14ac:dyDescent="0.35">
      <c r="A1593" t="s">
        <v>1747</v>
      </c>
      <c r="B1593" s="3">
        <v>44993</v>
      </c>
      <c r="C1593" t="s">
        <v>2016</v>
      </c>
      <c r="D1593" t="s">
        <v>2025</v>
      </c>
      <c r="E1593" s="8">
        <v>3814</v>
      </c>
      <c r="F1593">
        <v>6</v>
      </c>
      <c r="G1593">
        <v>0</v>
      </c>
      <c r="H1593" s="8">
        <v>22884</v>
      </c>
      <c r="I1593">
        <v>2860.48</v>
      </c>
      <c r="J1593">
        <v>5721.15</v>
      </c>
      <c r="K1593" s="5">
        <f>IF(SalesData[[#This Row],[Total Revenue]]=0,0,SalesData[[#This Row],[Profit]]/SalesData[[#This Row],[Total Revenue]])</f>
        <v>0.25000655479811218</v>
      </c>
      <c r="L1593" s="5" t="str">
        <f>TEXT(SalesData[[#This Row],[Date]],"mmm")</f>
        <v>Mar</v>
      </c>
      <c r="M1593">
        <f>YEAR(SalesData[[#This Row],[Date]])</f>
        <v>2023</v>
      </c>
      <c r="N1593">
        <f>WEEKNUM(SalesData[[#This Row],[Date]])</f>
        <v>10</v>
      </c>
      <c r="O1593" t="s">
        <v>2319</v>
      </c>
      <c r="P1593" t="s">
        <v>2522</v>
      </c>
      <c r="Q1593" t="s">
        <v>2526</v>
      </c>
    </row>
    <row r="1594" spans="1:17" x14ac:dyDescent="0.35">
      <c r="A1594" t="s">
        <v>1802</v>
      </c>
      <c r="B1594" s="3">
        <v>45185</v>
      </c>
      <c r="C1594" t="s">
        <v>2016</v>
      </c>
      <c r="D1594" t="s">
        <v>2025</v>
      </c>
      <c r="E1594" s="8">
        <v>3634</v>
      </c>
      <c r="F1594">
        <v>7</v>
      </c>
      <c r="G1594">
        <v>10</v>
      </c>
      <c r="H1594" s="8">
        <v>22894.2</v>
      </c>
      <c r="I1594">
        <v>2681.48</v>
      </c>
      <c r="J1594">
        <v>4123.82</v>
      </c>
      <c r="K1594" s="5">
        <f>IF(SalesData[[#This Row],[Total Revenue]]=0,0,SalesData[[#This Row],[Profit]]/SalesData[[#This Row],[Total Revenue]])</f>
        <v>0.18012509718618688</v>
      </c>
      <c r="L1594" s="5" t="str">
        <f>TEXT(SalesData[[#This Row],[Date]],"mmm")</f>
        <v>Sep</v>
      </c>
      <c r="M1594">
        <f>YEAR(SalesData[[#This Row],[Date]])</f>
        <v>2023</v>
      </c>
      <c r="N1594">
        <f>WEEKNUM(SalesData[[#This Row],[Date]])</f>
        <v>37</v>
      </c>
      <c r="O1594" t="s">
        <v>2262</v>
      </c>
      <c r="P1594" t="s">
        <v>2522</v>
      </c>
      <c r="Q1594" t="s">
        <v>2525</v>
      </c>
    </row>
    <row r="1595" spans="1:17" x14ac:dyDescent="0.35">
      <c r="A1595" t="s">
        <v>1398</v>
      </c>
      <c r="B1595" s="3">
        <v>45270</v>
      </c>
      <c r="C1595" t="s">
        <v>2022</v>
      </c>
      <c r="D1595" t="s">
        <v>2024</v>
      </c>
      <c r="E1595" s="8">
        <v>3448</v>
      </c>
      <c r="F1595">
        <v>7</v>
      </c>
      <c r="G1595">
        <v>5</v>
      </c>
      <c r="H1595" s="8">
        <v>22929.200000000001</v>
      </c>
      <c r="I1595">
        <v>2671.34</v>
      </c>
      <c r="J1595">
        <v>4229.8</v>
      </c>
      <c r="K1595" s="5">
        <f>IF(SalesData[[#This Row],[Total Revenue]]=0,0,SalesData[[#This Row],[Profit]]/SalesData[[#This Row],[Total Revenue]])</f>
        <v>0.18447220138513337</v>
      </c>
      <c r="L1595" s="5" t="str">
        <f>TEXT(SalesData[[#This Row],[Date]],"mmm")</f>
        <v>Dec</v>
      </c>
      <c r="M1595">
        <f>YEAR(SalesData[[#This Row],[Date]])</f>
        <v>2023</v>
      </c>
      <c r="N1595">
        <f>WEEKNUM(SalesData[[#This Row],[Date]])</f>
        <v>50</v>
      </c>
      <c r="O1595" t="s">
        <v>2441</v>
      </c>
      <c r="P1595" t="s">
        <v>2522</v>
      </c>
      <c r="Q1595" t="s">
        <v>2527</v>
      </c>
    </row>
    <row r="1596" spans="1:17" x14ac:dyDescent="0.35">
      <c r="A1596" t="s">
        <v>480</v>
      </c>
      <c r="B1596" s="3">
        <v>45153</v>
      </c>
      <c r="C1596" t="s">
        <v>2017</v>
      </c>
      <c r="D1596" t="s">
        <v>2026</v>
      </c>
      <c r="E1596" s="8">
        <v>3020</v>
      </c>
      <c r="F1596">
        <v>8</v>
      </c>
      <c r="G1596">
        <v>5</v>
      </c>
      <c r="H1596" s="8">
        <v>22952</v>
      </c>
      <c r="I1596">
        <v>1938.1</v>
      </c>
      <c r="J1596">
        <v>7447.16</v>
      </c>
      <c r="K1596" s="5">
        <f>IF(SalesData[[#This Row],[Total Revenue]]=0,0,SalesData[[#This Row],[Profit]]/SalesData[[#This Row],[Total Revenue]])</f>
        <v>0.32446671314046704</v>
      </c>
      <c r="L1596" s="5" t="str">
        <f>TEXT(SalesData[[#This Row],[Date]],"mmm")</f>
        <v>Aug</v>
      </c>
      <c r="M1596">
        <f>YEAR(SalesData[[#This Row],[Date]])</f>
        <v>2023</v>
      </c>
      <c r="N1596">
        <f>WEEKNUM(SalesData[[#This Row],[Date]])</f>
        <v>33</v>
      </c>
      <c r="O1596" t="s">
        <v>2327</v>
      </c>
      <c r="P1596" t="s">
        <v>2523</v>
      </c>
      <c r="Q1596" t="s">
        <v>2526</v>
      </c>
    </row>
    <row r="1597" spans="1:17" x14ac:dyDescent="0.35">
      <c r="A1597" t="s">
        <v>1610</v>
      </c>
      <c r="B1597" s="3">
        <v>45074</v>
      </c>
      <c r="C1597" t="s">
        <v>2022</v>
      </c>
      <c r="D1597" t="s">
        <v>2024</v>
      </c>
      <c r="E1597" s="8">
        <v>3280</v>
      </c>
      <c r="F1597">
        <v>7</v>
      </c>
      <c r="G1597">
        <v>0</v>
      </c>
      <c r="H1597" s="8">
        <v>22960</v>
      </c>
      <c r="I1597">
        <v>2435.46</v>
      </c>
      <c r="J1597">
        <v>5911.8</v>
      </c>
      <c r="K1597" s="5">
        <f>IF(SalesData[[#This Row],[Total Revenue]]=0,0,SalesData[[#This Row],[Profit]]/SalesData[[#This Row],[Total Revenue]])</f>
        <v>0.25748257839721256</v>
      </c>
      <c r="L1597" s="5" t="str">
        <f>TEXT(SalesData[[#This Row],[Date]],"mmm")</f>
        <v>May</v>
      </c>
      <c r="M1597">
        <f>YEAR(SalesData[[#This Row],[Date]])</f>
        <v>2023</v>
      </c>
      <c r="N1597">
        <f>WEEKNUM(SalesData[[#This Row],[Date]])</f>
        <v>22</v>
      </c>
      <c r="O1597" t="s">
        <v>2046</v>
      </c>
      <c r="P1597" t="s">
        <v>2523</v>
      </c>
      <c r="Q1597" t="s">
        <v>2526</v>
      </c>
    </row>
    <row r="1598" spans="1:17" x14ac:dyDescent="0.35">
      <c r="A1598" t="s">
        <v>1002</v>
      </c>
      <c r="B1598" s="3">
        <v>44940</v>
      </c>
      <c r="C1598" t="s">
        <v>2013</v>
      </c>
      <c r="D1598" t="s">
        <v>2023</v>
      </c>
      <c r="E1598" s="8">
        <v>3289</v>
      </c>
      <c r="F1598">
        <v>7</v>
      </c>
      <c r="G1598">
        <v>0</v>
      </c>
      <c r="H1598" s="8">
        <v>23023</v>
      </c>
      <c r="I1598">
        <v>2130.44</v>
      </c>
      <c r="J1598">
        <v>8109.94</v>
      </c>
      <c r="K1598" s="5">
        <f>IF(SalesData[[#This Row],[Total Revenue]]=0,0,SalesData[[#This Row],[Profit]]/SalesData[[#This Row],[Total Revenue]])</f>
        <v>0.35225383312339831</v>
      </c>
      <c r="L1598" s="5" t="str">
        <f>TEXT(SalesData[[#This Row],[Date]],"mmm")</f>
        <v>Jan</v>
      </c>
      <c r="M1598">
        <f>YEAR(SalesData[[#This Row],[Date]])</f>
        <v>2023</v>
      </c>
      <c r="N1598">
        <f>WEEKNUM(SalesData[[#This Row],[Date]])</f>
        <v>2</v>
      </c>
      <c r="O1598" t="s">
        <v>2455</v>
      </c>
      <c r="P1598" t="s">
        <v>2522</v>
      </c>
      <c r="Q1598" t="s">
        <v>2526</v>
      </c>
    </row>
    <row r="1599" spans="1:17" x14ac:dyDescent="0.35">
      <c r="A1599" t="s">
        <v>172</v>
      </c>
      <c r="B1599" s="3">
        <v>45170</v>
      </c>
      <c r="C1599" t="s">
        <v>2014</v>
      </c>
      <c r="D1599" t="s">
        <v>2024</v>
      </c>
      <c r="E1599" s="8">
        <v>3013</v>
      </c>
      <c r="F1599">
        <v>9</v>
      </c>
      <c r="G1599">
        <v>15</v>
      </c>
      <c r="H1599" s="8">
        <v>23049.45</v>
      </c>
      <c r="I1599">
        <v>2402.69</v>
      </c>
      <c r="J1599">
        <v>1425.24</v>
      </c>
      <c r="K1599" s="5">
        <f>IF(SalesData[[#This Row],[Total Revenue]]=0,0,SalesData[[#This Row],[Profit]]/SalesData[[#This Row],[Total Revenue]])</f>
        <v>6.1834013392944295E-2</v>
      </c>
      <c r="L1599" s="5" t="str">
        <f>TEXT(SalesData[[#This Row],[Date]],"mmm")</f>
        <v>Sep</v>
      </c>
      <c r="M1599">
        <f>YEAR(SalesData[[#This Row],[Date]])</f>
        <v>2023</v>
      </c>
      <c r="N1599">
        <f>WEEKNUM(SalesData[[#This Row],[Date]])</f>
        <v>35</v>
      </c>
      <c r="O1599" t="s">
        <v>2168</v>
      </c>
      <c r="P1599" t="s">
        <v>2523</v>
      </c>
      <c r="Q1599" t="s">
        <v>2527</v>
      </c>
    </row>
    <row r="1600" spans="1:17" x14ac:dyDescent="0.35">
      <c r="A1600" t="s">
        <v>1471</v>
      </c>
      <c r="B1600" s="3">
        <v>45073</v>
      </c>
      <c r="C1600" t="s">
        <v>2017</v>
      </c>
      <c r="D1600" t="s">
        <v>2026</v>
      </c>
      <c r="E1600" s="8">
        <v>3302</v>
      </c>
      <c r="F1600">
        <v>7</v>
      </c>
      <c r="G1600">
        <v>0</v>
      </c>
      <c r="H1600" s="8">
        <v>23114</v>
      </c>
      <c r="I1600">
        <v>2504.67</v>
      </c>
      <c r="J1600">
        <v>5581.29</v>
      </c>
      <c r="K1600" s="5">
        <f>IF(SalesData[[#This Row],[Total Revenue]]=0,0,SalesData[[#This Row],[Profit]]/SalesData[[#This Row],[Total Revenue]])</f>
        <v>0.24146794150731157</v>
      </c>
      <c r="L1600" s="5" t="str">
        <f>TEXT(SalesData[[#This Row],[Date]],"mmm")</f>
        <v>May</v>
      </c>
      <c r="M1600">
        <f>YEAR(SalesData[[#This Row],[Date]])</f>
        <v>2023</v>
      </c>
      <c r="N1600">
        <f>WEEKNUM(SalesData[[#This Row],[Date]])</f>
        <v>21</v>
      </c>
      <c r="O1600" t="s">
        <v>2185</v>
      </c>
      <c r="P1600" t="s">
        <v>2522</v>
      </c>
      <c r="Q1600" t="s">
        <v>2527</v>
      </c>
    </row>
    <row r="1601" spans="1:17" x14ac:dyDescent="0.35">
      <c r="A1601" t="s">
        <v>1054</v>
      </c>
      <c r="B1601" s="3">
        <v>45038</v>
      </c>
      <c r="C1601" t="s">
        <v>2014</v>
      </c>
      <c r="D1601" t="s">
        <v>2024</v>
      </c>
      <c r="E1601" s="8">
        <v>3898</v>
      </c>
      <c r="F1601">
        <v>7</v>
      </c>
      <c r="G1601">
        <v>15</v>
      </c>
      <c r="H1601" s="8">
        <v>23193.1</v>
      </c>
      <c r="I1601">
        <v>2936.15</v>
      </c>
      <c r="J1601">
        <v>2640.07</v>
      </c>
      <c r="K1601" s="5">
        <f>IF(SalesData[[#This Row],[Total Revenue]]=0,0,SalesData[[#This Row],[Profit]]/SalesData[[#This Row],[Total Revenue]])</f>
        <v>0.11382997529437636</v>
      </c>
      <c r="L1601" s="5" t="str">
        <f>TEXT(SalesData[[#This Row],[Date]],"mmm")</f>
        <v>Apr</v>
      </c>
      <c r="M1601">
        <f>YEAR(SalesData[[#This Row],[Date]])</f>
        <v>2023</v>
      </c>
      <c r="N1601">
        <f>WEEKNUM(SalesData[[#This Row],[Date]])</f>
        <v>16</v>
      </c>
      <c r="O1601" t="s">
        <v>2438</v>
      </c>
      <c r="P1601" t="s">
        <v>2522</v>
      </c>
      <c r="Q1601" t="s">
        <v>2526</v>
      </c>
    </row>
    <row r="1602" spans="1:17" x14ac:dyDescent="0.35">
      <c r="A1602" t="s">
        <v>1230</v>
      </c>
      <c r="B1602" s="3">
        <v>44943</v>
      </c>
      <c r="C1602" t="s">
        <v>2019</v>
      </c>
      <c r="D1602" t="s">
        <v>2027</v>
      </c>
      <c r="E1602" s="8">
        <v>4072</v>
      </c>
      <c r="F1602">
        <v>6</v>
      </c>
      <c r="G1602">
        <v>5</v>
      </c>
      <c r="H1602" s="8">
        <v>23210.400000000001</v>
      </c>
      <c r="I1602">
        <v>2107.3000000000002</v>
      </c>
      <c r="J1602">
        <v>10566.63</v>
      </c>
      <c r="K1602" s="5">
        <f>IF(SalesData[[#This Row],[Total Revenue]]=0,0,SalesData[[#This Row],[Profit]]/SalesData[[#This Row],[Total Revenue]])</f>
        <v>0.45525411022645013</v>
      </c>
      <c r="L1602" s="5" t="str">
        <f>TEXT(SalesData[[#This Row],[Date]],"mmm")</f>
        <v>Jan</v>
      </c>
      <c r="M1602">
        <f>YEAR(SalesData[[#This Row],[Date]])</f>
        <v>2023</v>
      </c>
      <c r="N1602">
        <f>WEEKNUM(SalesData[[#This Row],[Date]])</f>
        <v>3</v>
      </c>
      <c r="O1602" t="s">
        <v>2099</v>
      </c>
      <c r="P1602" t="s">
        <v>2523</v>
      </c>
      <c r="Q1602" t="s">
        <v>2524</v>
      </c>
    </row>
    <row r="1603" spans="1:17" x14ac:dyDescent="0.35">
      <c r="A1603" t="s">
        <v>1388</v>
      </c>
      <c r="B1603" s="3">
        <v>44981</v>
      </c>
      <c r="C1603" t="s">
        <v>2019</v>
      </c>
      <c r="D1603" t="s">
        <v>2027</v>
      </c>
      <c r="E1603" s="8">
        <v>4300</v>
      </c>
      <c r="F1603">
        <v>6</v>
      </c>
      <c r="G1603">
        <v>10</v>
      </c>
      <c r="H1603" s="8">
        <v>23220</v>
      </c>
      <c r="I1603">
        <v>3366.68</v>
      </c>
      <c r="J1603">
        <v>3019.95</v>
      </c>
      <c r="K1603" s="5">
        <f>IF(SalesData[[#This Row],[Total Revenue]]=0,0,SalesData[[#This Row],[Profit]]/SalesData[[#This Row],[Total Revenue]])</f>
        <v>0.13005813953488371</v>
      </c>
      <c r="L1603" s="5" t="str">
        <f>TEXT(SalesData[[#This Row],[Date]],"mmm")</f>
        <v>Feb</v>
      </c>
      <c r="M1603">
        <f>YEAR(SalesData[[#This Row],[Date]])</f>
        <v>2023</v>
      </c>
      <c r="N1603">
        <f>WEEKNUM(SalesData[[#This Row],[Date]])</f>
        <v>8</v>
      </c>
      <c r="O1603" t="s">
        <v>2361</v>
      </c>
      <c r="P1603" t="s">
        <v>2523</v>
      </c>
      <c r="Q1603" t="s">
        <v>2526</v>
      </c>
    </row>
    <row r="1604" spans="1:17" x14ac:dyDescent="0.35">
      <c r="A1604" t="s">
        <v>1235</v>
      </c>
      <c r="B1604" s="3">
        <v>45204</v>
      </c>
      <c r="C1604" t="s">
        <v>2016</v>
      </c>
      <c r="D1604" t="s">
        <v>2025</v>
      </c>
      <c r="E1604" s="8">
        <v>3914</v>
      </c>
      <c r="F1604">
        <v>7</v>
      </c>
      <c r="G1604">
        <v>15</v>
      </c>
      <c r="H1604" s="8">
        <v>23288.3</v>
      </c>
      <c r="I1604">
        <v>3014.44</v>
      </c>
      <c r="J1604">
        <v>2187.21</v>
      </c>
      <c r="K1604" s="5">
        <f>IF(SalesData[[#This Row],[Total Revenue]]=0,0,SalesData[[#This Row],[Profit]]/SalesData[[#This Row],[Total Revenue]])</f>
        <v>9.3918834779696245E-2</v>
      </c>
      <c r="L1604" s="5" t="str">
        <f>TEXT(SalesData[[#This Row],[Date]],"mmm")</f>
        <v>Oct</v>
      </c>
      <c r="M1604">
        <f>YEAR(SalesData[[#This Row],[Date]])</f>
        <v>2023</v>
      </c>
      <c r="N1604">
        <f>WEEKNUM(SalesData[[#This Row],[Date]])</f>
        <v>40</v>
      </c>
      <c r="O1604" t="s">
        <v>2389</v>
      </c>
      <c r="P1604" t="s">
        <v>2523</v>
      </c>
      <c r="Q1604" t="s">
        <v>2525</v>
      </c>
    </row>
    <row r="1605" spans="1:17" x14ac:dyDescent="0.35">
      <c r="A1605" t="s">
        <v>1122</v>
      </c>
      <c r="B1605" s="3">
        <v>45134</v>
      </c>
      <c r="C1605" t="s">
        <v>2014</v>
      </c>
      <c r="D1605" t="s">
        <v>2024</v>
      </c>
      <c r="E1605" s="8">
        <v>2453</v>
      </c>
      <c r="F1605">
        <v>10</v>
      </c>
      <c r="G1605">
        <v>5</v>
      </c>
      <c r="H1605" s="8">
        <v>23303.5</v>
      </c>
      <c r="I1605">
        <v>1495.38</v>
      </c>
      <c r="J1605">
        <v>8349.73</v>
      </c>
      <c r="K1605" s="5">
        <f>IF(SalesData[[#This Row],[Total Revenue]]=0,0,SalesData[[#This Row],[Profit]]/SalesData[[#This Row],[Total Revenue]])</f>
        <v>0.35830368828716713</v>
      </c>
      <c r="L1605" s="5" t="str">
        <f>TEXT(SalesData[[#This Row],[Date]],"mmm")</f>
        <v>Jul</v>
      </c>
      <c r="M1605">
        <f>YEAR(SalesData[[#This Row],[Date]])</f>
        <v>2023</v>
      </c>
      <c r="N1605">
        <f>WEEKNUM(SalesData[[#This Row],[Date]])</f>
        <v>30</v>
      </c>
      <c r="O1605" t="s">
        <v>2324</v>
      </c>
      <c r="P1605" t="s">
        <v>2523</v>
      </c>
      <c r="Q1605" t="s">
        <v>2525</v>
      </c>
    </row>
    <row r="1606" spans="1:17" x14ac:dyDescent="0.35">
      <c r="A1606" t="s">
        <v>33</v>
      </c>
      <c r="B1606" s="3">
        <v>45164</v>
      </c>
      <c r="C1606" t="s">
        <v>2016</v>
      </c>
      <c r="D1606" t="s">
        <v>2025</v>
      </c>
      <c r="E1606" s="8">
        <v>2341</v>
      </c>
      <c r="F1606">
        <v>10</v>
      </c>
      <c r="G1606">
        <v>0</v>
      </c>
      <c r="H1606" s="8">
        <v>23410</v>
      </c>
      <c r="I1606">
        <v>1781.97</v>
      </c>
      <c r="J1606">
        <v>5590.35</v>
      </c>
      <c r="K1606" s="5">
        <f>IF(SalesData[[#This Row],[Total Revenue]]=0,0,SalesData[[#This Row],[Profit]]/SalesData[[#This Row],[Total Revenue]])</f>
        <v>0.23880179410508331</v>
      </c>
      <c r="L1606" s="5" t="str">
        <f>TEXT(SalesData[[#This Row],[Date]],"mmm")</f>
        <v>Aug</v>
      </c>
      <c r="M1606">
        <f>YEAR(SalesData[[#This Row],[Date]])</f>
        <v>2023</v>
      </c>
      <c r="N1606">
        <f>WEEKNUM(SalesData[[#This Row],[Date]])</f>
        <v>34</v>
      </c>
      <c r="O1606" t="s">
        <v>2047</v>
      </c>
      <c r="P1606" t="s">
        <v>2523</v>
      </c>
      <c r="Q1606" t="s">
        <v>2526</v>
      </c>
    </row>
    <row r="1607" spans="1:17" x14ac:dyDescent="0.35">
      <c r="A1607" t="s">
        <v>420</v>
      </c>
      <c r="B1607" s="3">
        <v>45274</v>
      </c>
      <c r="C1607" t="s">
        <v>2017</v>
      </c>
      <c r="D1607" t="s">
        <v>2026</v>
      </c>
      <c r="E1607" s="8">
        <v>3444</v>
      </c>
      <c r="F1607">
        <v>8</v>
      </c>
      <c r="G1607">
        <v>15</v>
      </c>
      <c r="H1607" s="8">
        <v>23419.200000000001</v>
      </c>
      <c r="I1607">
        <v>1931</v>
      </c>
      <c r="J1607">
        <v>7971.17</v>
      </c>
      <c r="K1607" s="5">
        <f>IF(SalesData[[#This Row],[Total Revenue]]=0,0,SalesData[[#This Row],[Profit]]/SalesData[[#This Row],[Total Revenue]])</f>
        <v>0.34036901345904214</v>
      </c>
      <c r="L1607" s="5" t="str">
        <f>TEXT(SalesData[[#This Row],[Date]],"mmm")</f>
        <v>Dec</v>
      </c>
      <c r="M1607">
        <f>YEAR(SalesData[[#This Row],[Date]])</f>
        <v>2023</v>
      </c>
      <c r="N1607">
        <f>WEEKNUM(SalesData[[#This Row],[Date]])</f>
        <v>50</v>
      </c>
      <c r="O1607" t="s">
        <v>2306</v>
      </c>
      <c r="P1607" t="s">
        <v>2522</v>
      </c>
      <c r="Q1607" t="s">
        <v>2526</v>
      </c>
    </row>
    <row r="1608" spans="1:17" x14ac:dyDescent="0.35">
      <c r="A1608" t="s">
        <v>155</v>
      </c>
      <c r="B1608" s="3">
        <v>45185</v>
      </c>
      <c r="C1608" t="s">
        <v>2022</v>
      </c>
      <c r="D1608" t="s">
        <v>2024</v>
      </c>
      <c r="E1608" s="8">
        <v>3910</v>
      </c>
      <c r="F1608">
        <v>6</v>
      </c>
      <c r="G1608">
        <v>0</v>
      </c>
      <c r="H1608" s="8">
        <v>23460</v>
      </c>
      <c r="I1608">
        <v>2196.14</v>
      </c>
      <c r="J1608">
        <v>10283.15</v>
      </c>
      <c r="K1608" s="5">
        <f>IF(SalesData[[#This Row],[Total Revenue]]=0,0,SalesData[[#This Row],[Profit]]/SalesData[[#This Row],[Total Revenue]])</f>
        <v>0.43832693947144075</v>
      </c>
      <c r="L1608" s="5" t="str">
        <f>TEXT(SalesData[[#This Row],[Date]],"mmm")</f>
        <v>Sep</v>
      </c>
      <c r="M1608">
        <f>YEAR(SalesData[[#This Row],[Date]])</f>
        <v>2023</v>
      </c>
      <c r="N1608">
        <f>WEEKNUM(SalesData[[#This Row],[Date]])</f>
        <v>37</v>
      </c>
      <c r="O1608" t="s">
        <v>2155</v>
      </c>
      <c r="P1608" t="s">
        <v>2522</v>
      </c>
      <c r="Q1608" t="s">
        <v>2525</v>
      </c>
    </row>
    <row r="1609" spans="1:17" x14ac:dyDescent="0.35">
      <c r="A1609" t="s">
        <v>1502</v>
      </c>
      <c r="B1609" s="3">
        <v>45279</v>
      </c>
      <c r="C1609" t="s">
        <v>2021</v>
      </c>
      <c r="D1609" t="s">
        <v>2028</v>
      </c>
      <c r="E1609" s="8">
        <v>4607</v>
      </c>
      <c r="F1609">
        <v>6</v>
      </c>
      <c r="G1609">
        <v>15</v>
      </c>
      <c r="H1609" s="8">
        <v>23495.7</v>
      </c>
      <c r="I1609">
        <v>2882.27</v>
      </c>
      <c r="J1609">
        <v>6202.05</v>
      </c>
      <c r="K1609" s="5">
        <f>IF(SalesData[[#This Row],[Total Revenue]]=0,0,SalesData[[#This Row],[Profit]]/SalesData[[#This Row],[Total Revenue]])</f>
        <v>0.26396532131411282</v>
      </c>
      <c r="L1609" s="5" t="str">
        <f>TEXT(SalesData[[#This Row],[Date]],"mmm")</f>
        <v>Dec</v>
      </c>
      <c r="M1609">
        <f>YEAR(SalesData[[#This Row],[Date]])</f>
        <v>2023</v>
      </c>
      <c r="N1609">
        <f>WEEKNUM(SalesData[[#This Row],[Date]])</f>
        <v>51</v>
      </c>
      <c r="O1609" t="s">
        <v>2379</v>
      </c>
      <c r="P1609" t="s">
        <v>2522</v>
      </c>
      <c r="Q1609" t="s">
        <v>2526</v>
      </c>
    </row>
    <row r="1610" spans="1:17" x14ac:dyDescent="0.35">
      <c r="A1610" t="s">
        <v>1790</v>
      </c>
      <c r="B1610" s="3">
        <v>44999</v>
      </c>
      <c r="C1610" t="s">
        <v>2014</v>
      </c>
      <c r="D1610" t="s">
        <v>2024</v>
      </c>
      <c r="E1610" s="8">
        <v>4701</v>
      </c>
      <c r="F1610">
        <v>5</v>
      </c>
      <c r="G1610">
        <v>0</v>
      </c>
      <c r="H1610" s="8">
        <v>23505</v>
      </c>
      <c r="I1610">
        <v>2834.36</v>
      </c>
      <c r="J1610">
        <v>9333.2099999999991</v>
      </c>
      <c r="K1610" s="5">
        <f>IF(SalesData[[#This Row],[Total Revenue]]=0,0,SalesData[[#This Row],[Profit]]/SalesData[[#This Row],[Total Revenue]])</f>
        <v>0.39707338864071473</v>
      </c>
      <c r="L1610" s="5" t="str">
        <f>TEXT(SalesData[[#This Row],[Date]],"mmm")</f>
        <v>Mar</v>
      </c>
      <c r="M1610">
        <f>YEAR(SalesData[[#This Row],[Date]])</f>
        <v>2023</v>
      </c>
      <c r="N1610">
        <f>WEEKNUM(SalesData[[#This Row],[Date]])</f>
        <v>11</v>
      </c>
      <c r="O1610" t="s">
        <v>2513</v>
      </c>
      <c r="P1610" t="s">
        <v>2522</v>
      </c>
      <c r="Q1610" t="s">
        <v>2527</v>
      </c>
    </row>
    <row r="1611" spans="1:17" x14ac:dyDescent="0.35">
      <c r="A1611" t="s">
        <v>806</v>
      </c>
      <c r="B1611" s="3">
        <v>45151</v>
      </c>
      <c r="C1611" t="s">
        <v>2022</v>
      </c>
      <c r="D1611" t="s">
        <v>2024</v>
      </c>
      <c r="E1611" s="8">
        <v>4359</v>
      </c>
      <c r="F1611">
        <v>6</v>
      </c>
      <c r="G1611">
        <v>10</v>
      </c>
      <c r="H1611" s="8">
        <v>23538.6</v>
      </c>
      <c r="I1611">
        <v>3075.06</v>
      </c>
      <c r="J1611">
        <v>5088.2299999999996</v>
      </c>
      <c r="K1611" s="5">
        <f>IF(SalesData[[#This Row],[Total Revenue]]=0,0,SalesData[[#This Row],[Profit]]/SalesData[[#This Row],[Total Revenue]])</f>
        <v>0.21616536242597265</v>
      </c>
      <c r="L1611" s="5" t="str">
        <f>TEXT(SalesData[[#This Row],[Date]],"mmm")</f>
        <v>Aug</v>
      </c>
      <c r="M1611">
        <f>YEAR(SalesData[[#This Row],[Date]])</f>
        <v>2023</v>
      </c>
      <c r="N1611">
        <f>WEEKNUM(SalesData[[#This Row],[Date]])</f>
        <v>33</v>
      </c>
      <c r="O1611" t="s">
        <v>2245</v>
      </c>
      <c r="P1611" t="s">
        <v>2523</v>
      </c>
      <c r="Q1611" t="s">
        <v>2525</v>
      </c>
    </row>
    <row r="1612" spans="1:17" x14ac:dyDescent="0.35">
      <c r="A1612" t="s">
        <v>1442</v>
      </c>
      <c r="B1612" s="3">
        <v>45268</v>
      </c>
      <c r="C1612" t="s">
        <v>2021</v>
      </c>
      <c r="D1612" t="s">
        <v>2028</v>
      </c>
      <c r="E1612" s="8">
        <v>4138</v>
      </c>
      <c r="F1612">
        <v>6</v>
      </c>
      <c r="G1612">
        <v>5</v>
      </c>
      <c r="H1612" s="8">
        <v>23586.6</v>
      </c>
      <c r="I1612">
        <v>3278.56</v>
      </c>
      <c r="J1612">
        <v>3915.22</v>
      </c>
      <c r="K1612" s="5">
        <f>IF(SalesData[[#This Row],[Total Revenue]]=0,0,SalesData[[#This Row],[Profit]]/SalesData[[#This Row],[Total Revenue]])</f>
        <v>0.16599340303392604</v>
      </c>
      <c r="L1612" s="5" t="str">
        <f>TEXT(SalesData[[#This Row],[Date]],"mmm")</f>
        <v>Dec</v>
      </c>
      <c r="M1612">
        <f>YEAR(SalesData[[#This Row],[Date]])</f>
        <v>2023</v>
      </c>
      <c r="N1612">
        <f>WEEKNUM(SalesData[[#This Row],[Date]])</f>
        <v>49</v>
      </c>
      <c r="O1612" t="s">
        <v>2330</v>
      </c>
      <c r="P1612" t="s">
        <v>2522</v>
      </c>
      <c r="Q1612" t="s">
        <v>2525</v>
      </c>
    </row>
    <row r="1613" spans="1:17" x14ac:dyDescent="0.35">
      <c r="A1613" t="s">
        <v>1159</v>
      </c>
      <c r="B1613" s="3">
        <v>45289</v>
      </c>
      <c r="C1613" t="s">
        <v>2014</v>
      </c>
      <c r="D1613" t="s">
        <v>2024</v>
      </c>
      <c r="E1613" s="8">
        <v>2759</v>
      </c>
      <c r="F1613">
        <v>9</v>
      </c>
      <c r="G1613">
        <v>5</v>
      </c>
      <c r="H1613" s="8">
        <v>23589.45</v>
      </c>
      <c r="I1613">
        <v>1891.95</v>
      </c>
      <c r="J1613">
        <v>6561.87</v>
      </c>
      <c r="K1613" s="5">
        <f>IF(SalesData[[#This Row],[Total Revenue]]=0,0,SalesData[[#This Row],[Profit]]/SalesData[[#This Row],[Total Revenue]])</f>
        <v>0.27816969026407989</v>
      </c>
      <c r="L1613" s="5" t="str">
        <f>TEXT(SalesData[[#This Row],[Date]],"mmm")</f>
        <v>Dec</v>
      </c>
      <c r="M1613">
        <f>YEAR(SalesData[[#This Row],[Date]])</f>
        <v>2023</v>
      </c>
      <c r="N1613">
        <f>WEEKNUM(SalesData[[#This Row],[Date]])</f>
        <v>52</v>
      </c>
      <c r="O1613" t="s">
        <v>2477</v>
      </c>
      <c r="P1613" t="s">
        <v>2523</v>
      </c>
      <c r="Q1613" t="s">
        <v>2527</v>
      </c>
    </row>
    <row r="1614" spans="1:17" x14ac:dyDescent="0.35">
      <c r="A1614" t="s">
        <v>1939</v>
      </c>
      <c r="B1614" s="3">
        <v>44943</v>
      </c>
      <c r="C1614" t="s">
        <v>2020</v>
      </c>
      <c r="D1614" t="s">
        <v>2028</v>
      </c>
      <c r="E1614" s="8">
        <v>2949</v>
      </c>
      <c r="F1614">
        <v>8</v>
      </c>
      <c r="G1614">
        <v>0</v>
      </c>
      <c r="H1614" s="8">
        <v>23592</v>
      </c>
      <c r="I1614">
        <v>1677.57</v>
      </c>
      <c r="J1614">
        <v>10171.459999999999</v>
      </c>
      <c r="K1614" s="5">
        <f>IF(SalesData[[#This Row],[Total Revenue]]=0,0,SalesData[[#This Row],[Profit]]/SalesData[[#This Row],[Total Revenue]])</f>
        <v>0.43114021702271954</v>
      </c>
      <c r="L1614" s="5" t="str">
        <f>TEXT(SalesData[[#This Row],[Date]],"mmm")</f>
        <v>Jan</v>
      </c>
      <c r="M1614">
        <f>YEAR(SalesData[[#This Row],[Date]])</f>
        <v>2023</v>
      </c>
      <c r="N1614">
        <f>WEEKNUM(SalesData[[#This Row],[Date]])</f>
        <v>3</v>
      </c>
      <c r="O1614" t="s">
        <v>2443</v>
      </c>
      <c r="P1614" t="s">
        <v>2523</v>
      </c>
      <c r="Q1614" t="s">
        <v>2524</v>
      </c>
    </row>
    <row r="1615" spans="1:17" x14ac:dyDescent="0.35">
      <c r="A1615" t="s">
        <v>1853</v>
      </c>
      <c r="B1615" s="3">
        <v>45139</v>
      </c>
      <c r="C1615" t="s">
        <v>2014</v>
      </c>
      <c r="D1615" t="s">
        <v>2024</v>
      </c>
      <c r="E1615" s="8">
        <v>4974</v>
      </c>
      <c r="F1615">
        <v>5</v>
      </c>
      <c r="G1615">
        <v>5</v>
      </c>
      <c r="H1615" s="8">
        <v>23626.5</v>
      </c>
      <c r="I1615">
        <v>3850.61</v>
      </c>
      <c r="J1615">
        <v>4373.43</v>
      </c>
      <c r="K1615" s="5">
        <f>IF(SalesData[[#This Row],[Total Revenue]]=0,0,SalesData[[#This Row],[Profit]]/SalesData[[#This Row],[Total Revenue]])</f>
        <v>0.18510697733477241</v>
      </c>
      <c r="L1615" s="5" t="str">
        <f>TEXT(SalesData[[#This Row],[Date]],"mmm")</f>
        <v>Aug</v>
      </c>
      <c r="M1615">
        <f>YEAR(SalesData[[#This Row],[Date]])</f>
        <v>2023</v>
      </c>
      <c r="N1615">
        <f>WEEKNUM(SalesData[[#This Row],[Date]])</f>
        <v>31</v>
      </c>
      <c r="O1615" t="s">
        <v>2229</v>
      </c>
      <c r="P1615" t="s">
        <v>2522</v>
      </c>
      <c r="Q1615" t="s">
        <v>2527</v>
      </c>
    </row>
    <row r="1616" spans="1:17" x14ac:dyDescent="0.35">
      <c r="A1616" t="s">
        <v>1548</v>
      </c>
      <c r="B1616" s="3">
        <v>44995</v>
      </c>
      <c r="C1616" t="s">
        <v>2016</v>
      </c>
      <c r="D1616" t="s">
        <v>2025</v>
      </c>
      <c r="E1616" s="8">
        <v>4634</v>
      </c>
      <c r="F1616">
        <v>6</v>
      </c>
      <c r="G1616">
        <v>15</v>
      </c>
      <c r="H1616" s="8">
        <v>23633.4</v>
      </c>
      <c r="I1616">
        <v>2821.93</v>
      </c>
      <c r="J1616">
        <v>6701.79</v>
      </c>
      <c r="K1616" s="5">
        <f>IF(SalesData[[#This Row],[Total Revenue]]=0,0,SalesData[[#This Row],[Profit]]/SalesData[[#This Row],[Total Revenue]])</f>
        <v>0.28357282490035285</v>
      </c>
      <c r="L1616" s="5" t="str">
        <f>TEXT(SalesData[[#This Row],[Date]],"mmm")</f>
        <v>Mar</v>
      </c>
      <c r="M1616">
        <f>YEAR(SalesData[[#This Row],[Date]])</f>
        <v>2023</v>
      </c>
      <c r="N1616">
        <f>WEEKNUM(SalesData[[#This Row],[Date]])</f>
        <v>10</v>
      </c>
      <c r="O1616" t="s">
        <v>2312</v>
      </c>
      <c r="P1616" t="s">
        <v>2523</v>
      </c>
      <c r="Q1616" t="s">
        <v>2525</v>
      </c>
    </row>
    <row r="1617" spans="1:17" x14ac:dyDescent="0.35">
      <c r="A1617" t="s">
        <v>290</v>
      </c>
      <c r="B1617" s="3">
        <v>45217</v>
      </c>
      <c r="C1617" t="s">
        <v>2018</v>
      </c>
      <c r="D1617" t="s">
        <v>2026</v>
      </c>
      <c r="E1617" s="8">
        <v>2933</v>
      </c>
      <c r="F1617">
        <v>9</v>
      </c>
      <c r="G1617">
        <v>10</v>
      </c>
      <c r="H1617" s="8">
        <v>23757.3</v>
      </c>
      <c r="I1617">
        <v>1817.26</v>
      </c>
      <c r="J1617">
        <v>7401.93</v>
      </c>
      <c r="K1617" s="5">
        <f>IF(SalesData[[#This Row],[Total Revenue]]=0,0,SalesData[[#This Row],[Profit]]/SalesData[[#This Row],[Total Revenue]])</f>
        <v>0.31156444545466028</v>
      </c>
      <c r="L1617" s="5" t="str">
        <f>TEXT(SalesData[[#This Row],[Date]],"mmm")</f>
        <v>Oct</v>
      </c>
      <c r="M1617">
        <f>YEAR(SalesData[[#This Row],[Date]])</f>
        <v>2023</v>
      </c>
      <c r="N1617">
        <f>WEEKNUM(SalesData[[#This Row],[Date]])</f>
        <v>42</v>
      </c>
      <c r="O1617" t="s">
        <v>2240</v>
      </c>
      <c r="P1617" t="s">
        <v>2523</v>
      </c>
      <c r="Q1617" t="s">
        <v>2524</v>
      </c>
    </row>
    <row r="1618" spans="1:17" x14ac:dyDescent="0.35">
      <c r="A1618" t="s">
        <v>31</v>
      </c>
      <c r="B1618" s="3">
        <v>45015</v>
      </c>
      <c r="C1618" t="s">
        <v>2020</v>
      </c>
      <c r="D1618" t="s">
        <v>2028</v>
      </c>
      <c r="E1618" s="8">
        <v>3961</v>
      </c>
      <c r="F1618">
        <v>6</v>
      </c>
      <c r="G1618">
        <v>0</v>
      </c>
      <c r="H1618" s="8">
        <v>23766</v>
      </c>
      <c r="I1618">
        <v>2769.89</v>
      </c>
      <c r="J1618">
        <v>7146.68</v>
      </c>
      <c r="K1618" s="5">
        <f>IF(SalesData[[#This Row],[Total Revenue]]=0,0,SalesData[[#This Row],[Profit]]/SalesData[[#This Row],[Total Revenue]])</f>
        <v>0.30071025835226795</v>
      </c>
      <c r="L1618" s="5" t="str">
        <f>TEXT(SalesData[[#This Row],[Date]],"mmm")</f>
        <v>Mar</v>
      </c>
      <c r="M1618">
        <f>YEAR(SalesData[[#This Row],[Date]])</f>
        <v>2023</v>
      </c>
      <c r="N1618">
        <f>WEEKNUM(SalesData[[#This Row],[Date]])</f>
        <v>13</v>
      </c>
      <c r="O1618" t="s">
        <v>2047</v>
      </c>
      <c r="P1618" t="s">
        <v>2523</v>
      </c>
      <c r="Q1618" t="s">
        <v>2527</v>
      </c>
    </row>
    <row r="1619" spans="1:17" x14ac:dyDescent="0.35">
      <c r="A1619" t="s">
        <v>637</v>
      </c>
      <c r="B1619" s="3">
        <v>45268</v>
      </c>
      <c r="C1619" t="s">
        <v>2022</v>
      </c>
      <c r="D1619" t="s">
        <v>2024</v>
      </c>
      <c r="E1619" s="8">
        <v>4176</v>
      </c>
      <c r="F1619">
        <v>6</v>
      </c>
      <c r="G1619">
        <v>5</v>
      </c>
      <c r="H1619" s="8">
        <v>23803.200000000001</v>
      </c>
      <c r="I1619">
        <v>3027.54</v>
      </c>
      <c r="J1619">
        <v>5637.97</v>
      </c>
      <c r="K1619" s="5">
        <f>IF(SalesData[[#This Row],[Total Revenue]]=0,0,SalesData[[#This Row],[Profit]]/SalesData[[#This Row],[Total Revenue]])</f>
        <v>0.23685764939167844</v>
      </c>
      <c r="L1619" s="5" t="str">
        <f>TEXT(SalesData[[#This Row],[Date]],"mmm")</f>
        <v>Dec</v>
      </c>
      <c r="M1619">
        <f>YEAR(SalesData[[#This Row],[Date]])</f>
        <v>2023</v>
      </c>
      <c r="N1619">
        <f>WEEKNUM(SalesData[[#This Row],[Date]])</f>
        <v>49</v>
      </c>
      <c r="O1619" t="s">
        <v>2246</v>
      </c>
      <c r="P1619" t="s">
        <v>2522</v>
      </c>
      <c r="Q1619" t="s">
        <v>2527</v>
      </c>
    </row>
    <row r="1620" spans="1:17" x14ac:dyDescent="0.35">
      <c r="A1620" t="s">
        <v>1408</v>
      </c>
      <c r="B1620" s="3">
        <v>44968</v>
      </c>
      <c r="C1620" t="s">
        <v>2015</v>
      </c>
      <c r="D1620" t="s">
        <v>2025</v>
      </c>
      <c r="E1620" s="8">
        <v>3114</v>
      </c>
      <c r="F1620">
        <v>9</v>
      </c>
      <c r="G1620">
        <v>15</v>
      </c>
      <c r="H1620" s="8">
        <v>23822.1</v>
      </c>
      <c r="I1620">
        <v>1684.94</v>
      </c>
      <c r="J1620">
        <v>8657.6299999999992</v>
      </c>
      <c r="K1620" s="5">
        <f>IF(SalesData[[#This Row],[Total Revenue]]=0,0,SalesData[[#This Row],[Profit]]/SalesData[[#This Row],[Total Revenue]])</f>
        <v>0.36342849706784874</v>
      </c>
      <c r="L1620" s="5" t="str">
        <f>TEXT(SalesData[[#This Row],[Date]],"mmm")</f>
        <v>Feb</v>
      </c>
      <c r="M1620">
        <f>YEAR(SalesData[[#This Row],[Date]])</f>
        <v>2023</v>
      </c>
      <c r="N1620">
        <f>WEEKNUM(SalesData[[#This Row],[Date]])</f>
        <v>6</v>
      </c>
      <c r="O1620" t="s">
        <v>2324</v>
      </c>
      <c r="P1620" t="s">
        <v>2523</v>
      </c>
      <c r="Q1620" t="s">
        <v>2527</v>
      </c>
    </row>
    <row r="1621" spans="1:17" x14ac:dyDescent="0.35">
      <c r="A1621" t="s">
        <v>1004</v>
      </c>
      <c r="B1621" s="3">
        <v>45284</v>
      </c>
      <c r="C1621" t="s">
        <v>2017</v>
      </c>
      <c r="D1621" t="s">
        <v>2026</v>
      </c>
      <c r="E1621" s="8">
        <v>3971</v>
      </c>
      <c r="F1621">
        <v>6</v>
      </c>
      <c r="G1621">
        <v>0</v>
      </c>
      <c r="H1621" s="8">
        <v>23826</v>
      </c>
      <c r="I1621">
        <v>2163.27</v>
      </c>
      <c r="J1621">
        <v>10846.38</v>
      </c>
      <c r="K1621" s="5">
        <f>IF(SalesData[[#This Row],[Total Revenue]]=0,0,SalesData[[#This Row],[Profit]]/SalesData[[#This Row],[Total Revenue]])</f>
        <v>0.45523293880634597</v>
      </c>
      <c r="L1621" s="5" t="str">
        <f>TEXT(SalesData[[#This Row],[Date]],"mmm")</f>
        <v>Dec</v>
      </c>
      <c r="M1621">
        <f>YEAR(SalesData[[#This Row],[Date]])</f>
        <v>2023</v>
      </c>
      <c r="N1621">
        <f>WEEKNUM(SalesData[[#This Row],[Date]])</f>
        <v>52</v>
      </c>
      <c r="O1621" t="s">
        <v>2442</v>
      </c>
      <c r="P1621" t="s">
        <v>2522</v>
      </c>
      <c r="Q1621" t="s">
        <v>2527</v>
      </c>
    </row>
    <row r="1622" spans="1:17" x14ac:dyDescent="0.35">
      <c r="A1622" t="s">
        <v>1869</v>
      </c>
      <c r="B1622" s="3">
        <v>45042</v>
      </c>
      <c r="C1622" t="s">
        <v>2021</v>
      </c>
      <c r="D1622" t="s">
        <v>2028</v>
      </c>
      <c r="E1622" s="8">
        <v>4783</v>
      </c>
      <c r="F1622">
        <v>5</v>
      </c>
      <c r="G1622">
        <v>0</v>
      </c>
      <c r="H1622" s="8">
        <v>23915</v>
      </c>
      <c r="I1622">
        <v>3084.51</v>
      </c>
      <c r="J1622">
        <v>8492.4699999999993</v>
      </c>
      <c r="K1622" s="5">
        <f>IF(SalesData[[#This Row],[Total Revenue]]=0,0,SalesData[[#This Row],[Profit]]/SalesData[[#This Row],[Total Revenue]])</f>
        <v>0.35511060004181472</v>
      </c>
      <c r="L1622" s="5" t="str">
        <f>TEXT(SalesData[[#This Row],[Date]],"mmm")</f>
        <v>Apr</v>
      </c>
      <c r="M1622">
        <f>YEAR(SalesData[[#This Row],[Date]])</f>
        <v>2023</v>
      </c>
      <c r="N1622">
        <f>WEEKNUM(SalesData[[#This Row],[Date]])</f>
        <v>17</v>
      </c>
      <c r="O1622" t="s">
        <v>2264</v>
      </c>
      <c r="P1622" t="s">
        <v>2522</v>
      </c>
      <c r="Q1622" t="s">
        <v>2525</v>
      </c>
    </row>
    <row r="1623" spans="1:17" x14ac:dyDescent="0.35">
      <c r="A1623" t="s">
        <v>722</v>
      </c>
      <c r="B1623" s="3">
        <v>45012</v>
      </c>
      <c r="C1623" t="s">
        <v>2015</v>
      </c>
      <c r="D1623" t="s">
        <v>2025</v>
      </c>
      <c r="E1623" s="8">
        <v>4432</v>
      </c>
      <c r="F1623">
        <v>6</v>
      </c>
      <c r="G1623">
        <v>10</v>
      </c>
      <c r="H1623" s="8">
        <v>23932.799999999999</v>
      </c>
      <c r="I1623">
        <v>3480.12</v>
      </c>
      <c r="J1623">
        <v>3052.05</v>
      </c>
      <c r="K1623" s="5">
        <f>IF(SalesData[[#This Row],[Total Revenue]]=0,0,SalesData[[#This Row],[Profit]]/SalesData[[#This Row],[Total Revenue]])</f>
        <v>0.12752582230244686</v>
      </c>
      <c r="L1623" s="5" t="str">
        <f>TEXT(SalesData[[#This Row],[Date]],"mmm")</f>
        <v>Mar</v>
      </c>
      <c r="M1623">
        <f>YEAR(SalesData[[#This Row],[Date]])</f>
        <v>2023</v>
      </c>
      <c r="N1623">
        <f>WEEKNUM(SalesData[[#This Row],[Date]])</f>
        <v>13</v>
      </c>
      <c r="O1623" t="s">
        <v>2382</v>
      </c>
      <c r="P1623" t="s">
        <v>2522</v>
      </c>
      <c r="Q1623" t="s">
        <v>2524</v>
      </c>
    </row>
    <row r="1624" spans="1:17" x14ac:dyDescent="0.35">
      <c r="A1624" t="s">
        <v>1781</v>
      </c>
      <c r="B1624" s="3">
        <v>45019</v>
      </c>
      <c r="C1624" t="s">
        <v>2022</v>
      </c>
      <c r="D1624" t="s">
        <v>2024</v>
      </c>
      <c r="E1624" s="8">
        <v>4693</v>
      </c>
      <c r="F1624">
        <v>6</v>
      </c>
      <c r="G1624">
        <v>15</v>
      </c>
      <c r="H1624" s="8">
        <v>23934.3</v>
      </c>
      <c r="I1624">
        <v>2860.28</v>
      </c>
      <c r="J1624">
        <v>6772.62</v>
      </c>
      <c r="K1624" s="5">
        <f>IF(SalesData[[#This Row],[Total Revenue]]=0,0,SalesData[[#This Row],[Profit]]/SalesData[[#This Row],[Total Revenue]])</f>
        <v>0.28296712249783784</v>
      </c>
      <c r="L1624" s="5" t="str">
        <f>TEXT(SalesData[[#This Row],[Date]],"mmm")</f>
        <v>Apr</v>
      </c>
      <c r="M1624">
        <f>YEAR(SalesData[[#This Row],[Date]])</f>
        <v>2023</v>
      </c>
      <c r="N1624">
        <f>WEEKNUM(SalesData[[#This Row],[Date]])</f>
        <v>14</v>
      </c>
      <c r="O1624" t="s">
        <v>2391</v>
      </c>
      <c r="P1624" t="s">
        <v>2522</v>
      </c>
      <c r="Q1624" t="s">
        <v>2525</v>
      </c>
    </row>
    <row r="1625" spans="1:17" x14ac:dyDescent="0.35">
      <c r="A1625" t="s">
        <v>1294</v>
      </c>
      <c r="B1625" s="3">
        <v>45089</v>
      </c>
      <c r="C1625" t="s">
        <v>2015</v>
      </c>
      <c r="D1625" t="s">
        <v>2025</v>
      </c>
      <c r="E1625" s="8">
        <v>3520</v>
      </c>
      <c r="F1625">
        <v>8</v>
      </c>
      <c r="G1625">
        <v>15</v>
      </c>
      <c r="H1625" s="8">
        <v>23936</v>
      </c>
      <c r="I1625">
        <v>2555.94</v>
      </c>
      <c r="J1625">
        <v>3488.47</v>
      </c>
      <c r="K1625" s="5">
        <f>IF(SalesData[[#This Row],[Total Revenue]]=0,0,SalesData[[#This Row],[Profit]]/SalesData[[#This Row],[Total Revenue]])</f>
        <v>0.14574156082887699</v>
      </c>
      <c r="L1625" s="5" t="str">
        <f>TEXT(SalesData[[#This Row],[Date]],"mmm")</f>
        <v>Jun</v>
      </c>
      <c r="M1625">
        <f>YEAR(SalesData[[#This Row],[Date]])</f>
        <v>2023</v>
      </c>
      <c r="N1625">
        <f>WEEKNUM(SalesData[[#This Row],[Date]])</f>
        <v>24</v>
      </c>
      <c r="O1625" t="s">
        <v>2197</v>
      </c>
      <c r="P1625" t="s">
        <v>2522</v>
      </c>
      <c r="Q1625" t="s">
        <v>2527</v>
      </c>
    </row>
    <row r="1626" spans="1:17" x14ac:dyDescent="0.35">
      <c r="A1626" t="s">
        <v>27</v>
      </c>
      <c r="B1626" s="3">
        <v>44945</v>
      </c>
      <c r="C1626" t="s">
        <v>2021</v>
      </c>
      <c r="D1626" t="s">
        <v>2028</v>
      </c>
      <c r="E1626" s="8">
        <v>3424</v>
      </c>
      <c r="F1626">
        <v>7</v>
      </c>
      <c r="G1626">
        <v>0</v>
      </c>
      <c r="H1626" s="8">
        <v>23968</v>
      </c>
      <c r="I1626">
        <v>2412.12</v>
      </c>
      <c r="J1626">
        <v>7083.15</v>
      </c>
      <c r="K1626" s="5">
        <f>IF(SalesData[[#This Row],[Total Revenue]]=0,0,SalesData[[#This Row],[Profit]]/SalesData[[#This Row],[Total Revenue]])</f>
        <v>0.29552528371161546</v>
      </c>
      <c r="L1626" s="5" t="str">
        <f>TEXT(SalesData[[#This Row],[Date]],"mmm")</f>
        <v>Jan</v>
      </c>
      <c r="M1626">
        <f>YEAR(SalesData[[#This Row],[Date]])</f>
        <v>2023</v>
      </c>
      <c r="N1626">
        <f>WEEKNUM(SalesData[[#This Row],[Date]])</f>
        <v>3</v>
      </c>
      <c r="O1626" t="s">
        <v>2043</v>
      </c>
      <c r="P1626" t="s">
        <v>2522</v>
      </c>
      <c r="Q1626" t="s">
        <v>2527</v>
      </c>
    </row>
    <row r="1627" spans="1:17" x14ac:dyDescent="0.35">
      <c r="A1627" t="s">
        <v>405</v>
      </c>
      <c r="B1627" s="3">
        <v>45241</v>
      </c>
      <c r="C1627" t="s">
        <v>2015</v>
      </c>
      <c r="D1627" t="s">
        <v>2025</v>
      </c>
      <c r="E1627" s="8">
        <v>2409</v>
      </c>
      <c r="F1627">
        <v>10</v>
      </c>
      <c r="G1627">
        <v>0</v>
      </c>
      <c r="H1627" s="8">
        <v>24090</v>
      </c>
      <c r="I1627">
        <v>1366.1</v>
      </c>
      <c r="J1627">
        <v>10429.02</v>
      </c>
      <c r="K1627" s="5">
        <f>IF(SalesData[[#This Row],[Total Revenue]]=0,0,SalesData[[#This Row],[Profit]]/SalesData[[#This Row],[Total Revenue]])</f>
        <v>0.43291905354919058</v>
      </c>
      <c r="L1627" s="5" t="str">
        <f>TEXT(SalesData[[#This Row],[Date]],"mmm")</f>
        <v>Nov</v>
      </c>
      <c r="M1627">
        <f>YEAR(SalesData[[#This Row],[Date]])</f>
        <v>2023</v>
      </c>
      <c r="N1627">
        <f>WEEKNUM(SalesData[[#This Row],[Date]])</f>
        <v>45</v>
      </c>
      <c r="O1627" t="s">
        <v>2297</v>
      </c>
      <c r="P1627" t="s">
        <v>2522</v>
      </c>
      <c r="Q1627" t="s">
        <v>2527</v>
      </c>
    </row>
    <row r="1628" spans="1:17" x14ac:dyDescent="0.35">
      <c r="A1628" t="s">
        <v>1593</v>
      </c>
      <c r="B1628" s="3">
        <v>45110</v>
      </c>
      <c r="C1628" t="s">
        <v>2015</v>
      </c>
      <c r="D1628" t="s">
        <v>2025</v>
      </c>
      <c r="E1628" s="8">
        <v>3175</v>
      </c>
      <c r="F1628">
        <v>8</v>
      </c>
      <c r="G1628">
        <v>5</v>
      </c>
      <c r="H1628" s="8">
        <v>24130</v>
      </c>
      <c r="I1628">
        <v>1825.27</v>
      </c>
      <c r="J1628">
        <v>9527.81</v>
      </c>
      <c r="K1628" s="5">
        <f>IF(SalesData[[#This Row],[Total Revenue]]=0,0,SalesData[[#This Row],[Profit]]/SalesData[[#This Row],[Total Revenue]])</f>
        <v>0.39485329465395769</v>
      </c>
      <c r="L1628" s="5" t="str">
        <f>TEXT(SalesData[[#This Row],[Date]],"mmm")</f>
        <v>Jul</v>
      </c>
      <c r="M1628">
        <f>YEAR(SalesData[[#This Row],[Date]])</f>
        <v>2023</v>
      </c>
      <c r="N1628">
        <f>WEEKNUM(SalesData[[#This Row],[Date]])</f>
        <v>27</v>
      </c>
      <c r="O1628" t="s">
        <v>2082</v>
      </c>
      <c r="P1628" t="s">
        <v>2523</v>
      </c>
      <c r="Q1628" t="s">
        <v>2526</v>
      </c>
    </row>
    <row r="1629" spans="1:17" x14ac:dyDescent="0.35">
      <c r="A1629" t="s">
        <v>542</v>
      </c>
      <c r="B1629" s="3">
        <v>45051</v>
      </c>
      <c r="C1629" t="s">
        <v>2017</v>
      </c>
      <c r="D1629" t="s">
        <v>2026</v>
      </c>
      <c r="E1629" s="8">
        <v>2542</v>
      </c>
      <c r="F1629">
        <v>10</v>
      </c>
      <c r="G1629">
        <v>5</v>
      </c>
      <c r="H1629" s="8">
        <v>24149</v>
      </c>
      <c r="I1629">
        <v>1284.53</v>
      </c>
      <c r="J1629">
        <v>11303.66</v>
      </c>
      <c r="K1629" s="5">
        <f>IF(SalesData[[#This Row],[Total Revenue]]=0,0,SalesData[[#This Row],[Profit]]/SalesData[[#This Row],[Total Revenue]])</f>
        <v>0.46807983767443784</v>
      </c>
      <c r="L1629" s="5" t="str">
        <f>TEXT(SalesData[[#This Row],[Date]],"mmm")</f>
        <v>May</v>
      </c>
      <c r="M1629">
        <f>YEAR(SalesData[[#This Row],[Date]])</f>
        <v>2023</v>
      </c>
      <c r="N1629">
        <f>WEEKNUM(SalesData[[#This Row],[Date]])</f>
        <v>18</v>
      </c>
      <c r="O1629" t="s">
        <v>2352</v>
      </c>
      <c r="P1629" t="s">
        <v>2522</v>
      </c>
      <c r="Q1629" t="s">
        <v>2524</v>
      </c>
    </row>
    <row r="1630" spans="1:17" x14ac:dyDescent="0.35">
      <c r="A1630" t="s">
        <v>291</v>
      </c>
      <c r="B1630" s="3">
        <v>44984</v>
      </c>
      <c r="C1630" t="s">
        <v>2018</v>
      </c>
      <c r="D1630" t="s">
        <v>2026</v>
      </c>
      <c r="E1630" s="8">
        <v>3451</v>
      </c>
      <c r="F1630">
        <v>7</v>
      </c>
      <c r="G1630">
        <v>0</v>
      </c>
      <c r="H1630" s="8">
        <v>24157</v>
      </c>
      <c r="I1630">
        <v>2684.52</v>
      </c>
      <c r="J1630">
        <v>5365.36</v>
      </c>
      <c r="K1630" s="5">
        <f>IF(SalesData[[#This Row],[Total Revenue]]=0,0,SalesData[[#This Row],[Profit]]/SalesData[[#This Row],[Total Revenue]])</f>
        <v>0.22210373804694289</v>
      </c>
      <c r="L1630" s="5" t="str">
        <f>TEXT(SalesData[[#This Row],[Date]],"mmm")</f>
        <v>Feb</v>
      </c>
      <c r="M1630">
        <f>YEAR(SalesData[[#This Row],[Date]])</f>
        <v>2023</v>
      </c>
      <c r="N1630">
        <f>WEEKNUM(SalesData[[#This Row],[Date]])</f>
        <v>9</v>
      </c>
      <c r="O1630" t="s">
        <v>2241</v>
      </c>
      <c r="P1630" t="s">
        <v>2522</v>
      </c>
      <c r="Q1630" t="s">
        <v>2527</v>
      </c>
    </row>
    <row r="1631" spans="1:17" x14ac:dyDescent="0.35">
      <c r="A1631" t="s">
        <v>1682</v>
      </c>
      <c r="B1631" s="3">
        <v>45094</v>
      </c>
      <c r="C1631" t="s">
        <v>2020</v>
      </c>
      <c r="D1631" t="s">
        <v>2028</v>
      </c>
      <c r="E1631" s="8">
        <v>4738</v>
      </c>
      <c r="F1631">
        <v>6</v>
      </c>
      <c r="G1631">
        <v>15</v>
      </c>
      <c r="H1631" s="8">
        <v>24163.8</v>
      </c>
      <c r="I1631">
        <v>2445.08</v>
      </c>
      <c r="J1631">
        <v>9493.2999999999993</v>
      </c>
      <c r="K1631" s="5">
        <f>IF(SalesData[[#This Row],[Total Revenue]]=0,0,SalesData[[#This Row],[Profit]]/SalesData[[#This Row],[Total Revenue]])</f>
        <v>0.39287280974018984</v>
      </c>
      <c r="L1631" s="5" t="str">
        <f>TEXT(SalesData[[#This Row],[Date]],"mmm")</f>
        <v>Jun</v>
      </c>
      <c r="M1631">
        <f>YEAR(SalesData[[#This Row],[Date]])</f>
        <v>2023</v>
      </c>
      <c r="N1631">
        <f>WEEKNUM(SalesData[[#This Row],[Date]])</f>
        <v>24</v>
      </c>
      <c r="O1631" t="s">
        <v>2040</v>
      </c>
      <c r="P1631" t="s">
        <v>2522</v>
      </c>
      <c r="Q1631" t="s">
        <v>2524</v>
      </c>
    </row>
    <row r="1632" spans="1:17" x14ac:dyDescent="0.35">
      <c r="A1632" t="s">
        <v>1236</v>
      </c>
      <c r="B1632" s="3">
        <v>45063</v>
      </c>
      <c r="C1632" t="s">
        <v>2013</v>
      </c>
      <c r="D1632" t="s">
        <v>2023</v>
      </c>
      <c r="E1632" s="8">
        <v>3181</v>
      </c>
      <c r="F1632">
        <v>8</v>
      </c>
      <c r="G1632">
        <v>5</v>
      </c>
      <c r="H1632" s="8">
        <v>24175.599999999999</v>
      </c>
      <c r="I1632">
        <v>1891.32</v>
      </c>
      <c r="J1632">
        <v>9045.06</v>
      </c>
      <c r="K1632" s="5">
        <f>IF(SalesData[[#This Row],[Total Revenue]]=0,0,SalesData[[#This Row],[Profit]]/SalesData[[#This Row],[Total Revenue]])</f>
        <v>0.37414004202584422</v>
      </c>
      <c r="L1632" s="5" t="str">
        <f>TEXT(SalesData[[#This Row],[Date]],"mmm")</f>
        <v>May</v>
      </c>
      <c r="M1632">
        <f>YEAR(SalesData[[#This Row],[Date]])</f>
        <v>2023</v>
      </c>
      <c r="N1632">
        <f>WEEKNUM(SalesData[[#This Row],[Date]])</f>
        <v>20</v>
      </c>
      <c r="O1632" t="s">
        <v>2349</v>
      </c>
      <c r="P1632" t="s">
        <v>2523</v>
      </c>
      <c r="Q1632" t="s">
        <v>2525</v>
      </c>
    </row>
    <row r="1633" spans="1:17" x14ac:dyDescent="0.35">
      <c r="A1633" t="s">
        <v>1197</v>
      </c>
      <c r="B1633" s="3">
        <v>44983</v>
      </c>
      <c r="C1633" t="s">
        <v>2021</v>
      </c>
      <c r="D1633" t="s">
        <v>2028</v>
      </c>
      <c r="E1633" s="8">
        <v>2838</v>
      </c>
      <c r="F1633">
        <v>9</v>
      </c>
      <c r="G1633">
        <v>5</v>
      </c>
      <c r="H1633" s="8">
        <v>24264.9</v>
      </c>
      <c r="I1633">
        <v>1903.42</v>
      </c>
      <c r="J1633">
        <v>7134.1</v>
      </c>
      <c r="K1633" s="5">
        <f>IF(SalesData[[#This Row],[Total Revenue]]=0,0,SalesData[[#This Row],[Profit]]/SalesData[[#This Row],[Total Revenue]])</f>
        <v>0.29400904186705901</v>
      </c>
      <c r="L1633" s="5" t="str">
        <f>TEXT(SalesData[[#This Row],[Date]],"mmm")</f>
        <v>Feb</v>
      </c>
      <c r="M1633">
        <f>YEAR(SalesData[[#This Row],[Date]])</f>
        <v>2023</v>
      </c>
      <c r="N1633">
        <f>WEEKNUM(SalesData[[#This Row],[Date]])</f>
        <v>9</v>
      </c>
      <c r="O1633" t="s">
        <v>2484</v>
      </c>
      <c r="P1633" t="s">
        <v>2522</v>
      </c>
      <c r="Q1633" t="s">
        <v>2526</v>
      </c>
    </row>
    <row r="1634" spans="1:17" x14ac:dyDescent="0.35">
      <c r="A1634" t="s">
        <v>353</v>
      </c>
      <c r="B1634" s="3">
        <v>44996</v>
      </c>
      <c r="C1634" t="s">
        <v>2015</v>
      </c>
      <c r="D1634" t="s">
        <v>2025</v>
      </c>
      <c r="E1634" s="8">
        <v>3468</v>
      </c>
      <c r="F1634">
        <v>7</v>
      </c>
      <c r="G1634">
        <v>0</v>
      </c>
      <c r="H1634" s="8">
        <v>24276</v>
      </c>
      <c r="I1634">
        <v>2154.58</v>
      </c>
      <c r="J1634">
        <v>9193.9500000000007</v>
      </c>
      <c r="K1634" s="5">
        <f>IF(SalesData[[#This Row],[Total Revenue]]=0,0,SalesData[[#This Row],[Profit]]/SalesData[[#This Row],[Total Revenue]])</f>
        <v>0.37872590212555612</v>
      </c>
      <c r="L1634" s="5" t="str">
        <f>TEXT(SalesData[[#This Row],[Date]],"mmm")</f>
        <v>Mar</v>
      </c>
      <c r="M1634">
        <f>YEAR(SalesData[[#This Row],[Date]])</f>
        <v>2023</v>
      </c>
      <c r="N1634">
        <f>WEEKNUM(SalesData[[#This Row],[Date]])</f>
        <v>10</v>
      </c>
      <c r="O1634" t="s">
        <v>2029</v>
      </c>
      <c r="P1634" t="s">
        <v>2522</v>
      </c>
      <c r="Q1634" t="s">
        <v>2527</v>
      </c>
    </row>
    <row r="1635" spans="1:17" x14ac:dyDescent="0.35">
      <c r="A1635" t="s">
        <v>1487</v>
      </c>
      <c r="B1635" s="3">
        <v>44964</v>
      </c>
      <c r="C1635" t="s">
        <v>2020</v>
      </c>
      <c r="D1635" t="s">
        <v>2028</v>
      </c>
      <c r="E1635" s="8">
        <v>4498</v>
      </c>
      <c r="F1635">
        <v>6</v>
      </c>
      <c r="G1635">
        <v>10</v>
      </c>
      <c r="H1635" s="8">
        <v>24289.200000000001</v>
      </c>
      <c r="I1635">
        <v>2639.61</v>
      </c>
      <c r="J1635">
        <v>8451.52</v>
      </c>
      <c r="K1635" s="5">
        <f>IF(SalesData[[#This Row],[Total Revenue]]=0,0,SalesData[[#This Row],[Profit]]/SalesData[[#This Row],[Total Revenue]])</f>
        <v>0.34795382309833178</v>
      </c>
      <c r="L1635" s="5" t="str">
        <f>TEXT(SalesData[[#This Row],[Date]],"mmm")</f>
        <v>Feb</v>
      </c>
      <c r="M1635">
        <f>YEAR(SalesData[[#This Row],[Date]])</f>
        <v>2023</v>
      </c>
      <c r="N1635">
        <f>WEEKNUM(SalesData[[#This Row],[Date]])</f>
        <v>6</v>
      </c>
      <c r="O1635" t="s">
        <v>2165</v>
      </c>
      <c r="P1635" t="s">
        <v>2523</v>
      </c>
      <c r="Q1635" t="s">
        <v>2526</v>
      </c>
    </row>
    <row r="1636" spans="1:17" x14ac:dyDescent="0.35">
      <c r="A1636" t="s">
        <v>556</v>
      </c>
      <c r="B1636" s="3">
        <v>45273</v>
      </c>
      <c r="C1636" t="s">
        <v>2016</v>
      </c>
      <c r="D1636" t="s">
        <v>2025</v>
      </c>
      <c r="E1636" s="8">
        <v>3002</v>
      </c>
      <c r="F1636">
        <v>9</v>
      </c>
      <c r="G1636">
        <v>10</v>
      </c>
      <c r="H1636" s="8">
        <v>24316.2</v>
      </c>
      <c r="I1636">
        <v>1939.12</v>
      </c>
      <c r="J1636">
        <v>6864.16</v>
      </c>
      <c r="K1636" s="5">
        <f>IF(SalesData[[#This Row],[Total Revenue]]=0,0,SalesData[[#This Row],[Profit]]/SalesData[[#This Row],[Total Revenue]])</f>
        <v>0.28228752847895638</v>
      </c>
      <c r="L1636" s="5" t="str">
        <f>TEXT(SalesData[[#This Row],[Date]],"mmm")</f>
        <v>Dec</v>
      </c>
      <c r="M1636">
        <f>YEAR(SalesData[[#This Row],[Date]])</f>
        <v>2023</v>
      </c>
      <c r="N1636">
        <f>WEEKNUM(SalesData[[#This Row],[Date]])</f>
        <v>50</v>
      </c>
      <c r="O1636" t="s">
        <v>2356</v>
      </c>
      <c r="P1636" t="s">
        <v>2522</v>
      </c>
      <c r="Q1636" t="s">
        <v>2524</v>
      </c>
    </row>
    <row r="1637" spans="1:17" x14ac:dyDescent="0.35">
      <c r="A1637" t="s">
        <v>1678</v>
      </c>
      <c r="B1637" s="3">
        <v>45148</v>
      </c>
      <c r="C1637" t="s">
        <v>2013</v>
      </c>
      <c r="D1637" t="s">
        <v>2023</v>
      </c>
      <c r="E1637" s="8">
        <v>2706</v>
      </c>
      <c r="F1637">
        <v>9</v>
      </c>
      <c r="G1637">
        <v>0</v>
      </c>
      <c r="H1637" s="8">
        <v>24354</v>
      </c>
      <c r="I1637">
        <v>2125.4899999999998</v>
      </c>
      <c r="J1637">
        <v>5224.63</v>
      </c>
      <c r="K1637" s="5">
        <f>IF(SalesData[[#This Row],[Total Revenue]]=0,0,SalesData[[#This Row],[Profit]]/SalesData[[#This Row],[Total Revenue]])</f>
        <v>0.21452861952861954</v>
      </c>
      <c r="L1637" s="5" t="str">
        <f>TEXT(SalesData[[#This Row],[Date]],"mmm")</f>
        <v>Aug</v>
      </c>
      <c r="M1637">
        <f>YEAR(SalesData[[#This Row],[Date]])</f>
        <v>2023</v>
      </c>
      <c r="N1637">
        <f>WEEKNUM(SalesData[[#This Row],[Date]])</f>
        <v>32</v>
      </c>
      <c r="O1637" t="s">
        <v>2328</v>
      </c>
      <c r="P1637" t="s">
        <v>2523</v>
      </c>
      <c r="Q1637" t="s">
        <v>2525</v>
      </c>
    </row>
    <row r="1638" spans="1:17" x14ac:dyDescent="0.35">
      <c r="A1638" t="s">
        <v>1768</v>
      </c>
      <c r="B1638" s="3">
        <v>44932</v>
      </c>
      <c r="C1638" t="s">
        <v>2018</v>
      </c>
      <c r="D1638" t="s">
        <v>2026</v>
      </c>
      <c r="E1638" s="8">
        <v>4513</v>
      </c>
      <c r="F1638">
        <v>6</v>
      </c>
      <c r="G1638">
        <v>10</v>
      </c>
      <c r="H1638" s="8">
        <v>24370.2</v>
      </c>
      <c r="I1638">
        <v>2654.57</v>
      </c>
      <c r="J1638">
        <v>8442.77</v>
      </c>
      <c r="K1638" s="5">
        <f>IF(SalesData[[#This Row],[Total Revenue]]=0,0,SalesData[[#This Row],[Profit]]/SalesData[[#This Row],[Total Revenue]])</f>
        <v>0.346438272972729</v>
      </c>
      <c r="L1638" s="5" t="str">
        <f>TEXT(SalesData[[#This Row],[Date]],"mmm")</f>
        <v>Jan</v>
      </c>
      <c r="M1638">
        <f>YEAR(SalesData[[#This Row],[Date]])</f>
        <v>2023</v>
      </c>
      <c r="N1638">
        <f>WEEKNUM(SalesData[[#This Row],[Date]])</f>
        <v>1</v>
      </c>
      <c r="O1638" t="s">
        <v>2366</v>
      </c>
      <c r="P1638" t="s">
        <v>2522</v>
      </c>
      <c r="Q1638" t="s">
        <v>2524</v>
      </c>
    </row>
    <row r="1639" spans="1:17" x14ac:dyDescent="0.35">
      <c r="A1639" t="s">
        <v>1578</v>
      </c>
      <c r="B1639" s="3">
        <v>45024</v>
      </c>
      <c r="C1639" t="s">
        <v>2019</v>
      </c>
      <c r="D1639" t="s">
        <v>2027</v>
      </c>
      <c r="E1639" s="8">
        <v>3584</v>
      </c>
      <c r="F1639">
        <v>8</v>
      </c>
      <c r="G1639">
        <v>15</v>
      </c>
      <c r="H1639" s="8">
        <v>24371.200000000001</v>
      </c>
      <c r="I1639">
        <v>2863.72</v>
      </c>
      <c r="J1639">
        <v>1461.41</v>
      </c>
      <c r="K1639" s="5">
        <f>IF(SalesData[[#This Row],[Total Revenue]]=0,0,SalesData[[#This Row],[Profit]]/SalesData[[#This Row],[Total Revenue]])</f>
        <v>5.9964630383403363E-2</v>
      </c>
      <c r="L1639" s="5" t="str">
        <f>TEXT(SalesData[[#This Row],[Date]],"mmm")</f>
        <v>Apr</v>
      </c>
      <c r="M1639">
        <f>YEAR(SalesData[[#This Row],[Date]])</f>
        <v>2023</v>
      </c>
      <c r="N1639">
        <f>WEEKNUM(SalesData[[#This Row],[Date]])</f>
        <v>14</v>
      </c>
      <c r="O1639" t="s">
        <v>2289</v>
      </c>
      <c r="P1639" t="s">
        <v>2523</v>
      </c>
      <c r="Q1639" t="s">
        <v>2527</v>
      </c>
    </row>
    <row r="1640" spans="1:17" x14ac:dyDescent="0.35">
      <c r="A1640" t="s">
        <v>858</v>
      </c>
      <c r="B1640" s="3">
        <v>45209</v>
      </c>
      <c r="C1640" t="s">
        <v>2022</v>
      </c>
      <c r="D1640" t="s">
        <v>2024</v>
      </c>
      <c r="E1640" s="8">
        <v>4115</v>
      </c>
      <c r="F1640">
        <v>7</v>
      </c>
      <c r="G1640">
        <v>15</v>
      </c>
      <c r="H1640" s="8">
        <v>24484.25</v>
      </c>
      <c r="I1640">
        <v>2784.14</v>
      </c>
      <c r="J1640">
        <v>4995.29</v>
      </c>
      <c r="K1640" s="5">
        <f>IF(SalesData[[#This Row],[Total Revenue]]=0,0,SalesData[[#This Row],[Profit]]/SalesData[[#This Row],[Total Revenue]])</f>
        <v>0.20402054381898568</v>
      </c>
      <c r="L1640" s="5" t="str">
        <f>TEXT(SalesData[[#This Row],[Date]],"mmm")</f>
        <v>Oct</v>
      </c>
      <c r="M1640">
        <f>YEAR(SalesData[[#This Row],[Date]])</f>
        <v>2023</v>
      </c>
      <c r="N1640">
        <f>WEEKNUM(SalesData[[#This Row],[Date]])</f>
        <v>41</v>
      </c>
      <c r="O1640" t="s">
        <v>2202</v>
      </c>
      <c r="P1640" t="s">
        <v>2522</v>
      </c>
      <c r="Q1640" t="s">
        <v>2524</v>
      </c>
    </row>
    <row r="1641" spans="1:17" x14ac:dyDescent="0.35">
      <c r="A1641" t="s">
        <v>1003</v>
      </c>
      <c r="B1641" s="3">
        <v>45027</v>
      </c>
      <c r="C1641" t="s">
        <v>2015</v>
      </c>
      <c r="D1641" t="s">
        <v>2025</v>
      </c>
      <c r="E1641" s="8">
        <v>4123</v>
      </c>
      <c r="F1641">
        <v>7</v>
      </c>
      <c r="G1641">
        <v>15</v>
      </c>
      <c r="H1641" s="8">
        <v>24531.85</v>
      </c>
      <c r="I1641">
        <v>2304.9899999999998</v>
      </c>
      <c r="J1641">
        <v>8396.91</v>
      </c>
      <c r="K1641" s="5">
        <f>IF(SalesData[[#This Row],[Total Revenue]]=0,0,SalesData[[#This Row],[Profit]]/SalesData[[#This Row],[Total Revenue]])</f>
        <v>0.34228604854505473</v>
      </c>
      <c r="L1641" s="5" t="str">
        <f>TEXT(SalesData[[#This Row],[Date]],"mmm")</f>
        <v>Apr</v>
      </c>
      <c r="M1641">
        <f>YEAR(SalesData[[#This Row],[Date]])</f>
        <v>2023</v>
      </c>
      <c r="N1641">
        <f>WEEKNUM(SalesData[[#This Row],[Date]])</f>
        <v>15</v>
      </c>
      <c r="O1641" t="s">
        <v>2456</v>
      </c>
      <c r="P1641" t="s">
        <v>2523</v>
      </c>
      <c r="Q1641" t="s">
        <v>2525</v>
      </c>
    </row>
    <row r="1642" spans="1:17" x14ac:dyDescent="0.35">
      <c r="A1642" t="s">
        <v>255</v>
      </c>
      <c r="B1642" s="3">
        <v>44945</v>
      </c>
      <c r="C1642" t="s">
        <v>2019</v>
      </c>
      <c r="D1642" t="s">
        <v>2027</v>
      </c>
      <c r="E1642" s="8">
        <v>2455</v>
      </c>
      <c r="F1642">
        <v>10</v>
      </c>
      <c r="G1642">
        <v>0</v>
      </c>
      <c r="H1642" s="8">
        <v>24550</v>
      </c>
      <c r="I1642">
        <v>1918.25</v>
      </c>
      <c r="J1642">
        <v>5367.5</v>
      </c>
      <c r="K1642" s="5">
        <f>IF(SalesData[[#This Row],[Total Revenue]]=0,0,SalesData[[#This Row],[Profit]]/SalesData[[#This Row],[Total Revenue]])</f>
        <v>0.21863543788187373</v>
      </c>
      <c r="L1642" s="5" t="str">
        <f>TEXT(SalesData[[#This Row],[Date]],"mmm")</f>
        <v>Jan</v>
      </c>
      <c r="M1642">
        <f>YEAR(SalesData[[#This Row],[Date]])</f>
        <v>2023</v>
      </c>
      <c r="N1642">
        <f>WEEKNUM(SalesData[[#This Row],[Date]])</f>
        <v>3</v>
      </c>
      <c r="O1642" t="s">
        <v>2221</v>
      </c>
      <c r="P1642" t="s">
        <v>2522</v>
      </c>
      <c r="Q1642" t="s">
        <v>2524</v>
      </c>
    </row>
    <row r="1643" spans="1:17" x14ac:dyDescent="0.35">
      <c r="A1643" t="s">
        <v>1155</v>
      </c>
      <c r="B1643" s="3">
        <v>45192</v>
      </c>
      <c r="C1643" t="s">
        <v>2022</v>
      </c>
      <c r="D1643" t="s">
        <v>2024</v>
      </c>
      <c r="E1643" s="8">
        <v>4127</v>
      </c>
      <c r="F1643">
        <v>7</v>
      </c>
      <c r="G1643">
        <v>15</v>
      </c>
      <c r="H1643" s="8">
        <v>24555.65</v>
      </c>
      <c r="I1643">
        <v>2752.29</v>
      </c>
      <c r="J1643">
        <v>5289.62</v>
      </c>
      <c r="K1643" s="5">
        <f>IF(SalesData[[#This Row],[Total Revenue]]=0,0,SalesData[[#This Row],[Profit]]/SalesData[[#This Row],[Total Revenue]])</f>
        <v>0.21541356062657677</v>
      </c>
      <c r="L1643" s="5" t="str">
        <f>TEXT(SalesData[[#This Row],[Date]],"mmm")</f>
        <v>Sep</v>
      </c>
      <c r="M1643">
        <f>YEAR(SalesData[[#This Row],[Date]])</f>
        <v>2023</v>
      </c>
      <c r="N1643">
        <f>WEEKNUM(SalesData[[#This Row],[Date]])</f>
        <v>38</v>
      </c>
      <c r="O1643" t="s">
        <v>2351</v>
      </c>
      <c r="P1643" t="s">
        <v>2522</v>
      </c>
      <c r="Q1643" t="s">
        <v>2524</v>
      </c>
    </row>
    <row r="1644" spans="1:17" x14ac:dyDescent="0.35">
      <c r="A1644" t="s">
        <v>1708</v>
      </c>
      <c r="B1644" s="3">
        <v>45245</v>
      </c>
      <c r="C1644" t="s">
        <v>2019</v>
      </c>
      <c r="D1644" t="s">
        <v>2027</v>
      </c>
      <c r="E1644" s="8">
        <v>3697</v>
      </c>
      <c r="F1644">
        <v>7</v>
      </c>
      <c r="G1644">
        <v>5</v>
      </c>
      <c r="H1644" s="8">
        <v>24585.05</v>
      </c>
      <c r="I1644">
        <v>2049.92</v>
      </c>
      <c r="J1644">
        <v>10235.61</v>
      </c>
      <c r="K1644" s="5">
        <f>IF(SalesData[[#This Row],[Total Revenue]]=0,0,SalesData[[#This Row],[Profit]]/SalesData[[#This Row],[Total Revenue]])</f>
        <v>0.41633472374471481</v>
      </c>
      <c r="L1644" s="5" t="str">
        <f>TEXT(SalesData[[#This Row],[Date]],"mmm")</f>
        <v>Nov</v>
      </c>
      <c r="M1644">
        <f>YEAR(SalesData[[#This Row],[Date]])</f>
        <v>2023</v>
      </c>
      <c r="N1644">
        <f>WEEKNUM(SalesData[[#This Row],[Date]])</f>
        <v>46</v>
      </c>
      <c r="O1644" t="s">
        <v>2281</v>
      </c>
      <c r="P1644" t="s">
        <v>2523</v>
      </c>
      <c r="Q1644" t="s">
        <v>2525</v>
      </c>
    </row>
    <row r="1645" spans="1:17" x14ac:dyDescent="0.35">
      <c r="A1645" t="s">
        <v>1085</v>
      </c>
      <c r="B1645" s="3">
        <v>44975</v>
      </c>
      <c r="C1645" t="s">
        <v>2014</v>
      </c>
      <c r="D1645" t="s">
        <v>2024</v>
      </c>
      <c r="E1645" s="8">
        <v>3074</v>
      </c>
      <c r="F1645">
        <v>8</v>
      </c>
      <c r="G1645">
        <v>0</v>
      </c>
      <c r="H1645" s="8">
        <v>24592</v>
      </c>
      <c r="I1645">
        <v>1941.83</v>
      </c>
      <c r="J1645">
        <v>9057.39</v>
      </c>
      <c r="K1645" s="5">
        <f>IF(SalesData[[#This Row],[Total Revenue]]=0,0,SalesData[[#This Row],[Profit]]/SalesData[[#This Row],[Total Revenue]])</f>
        <v>0.36830635979180221</v>
      </c>
      <c r="L1645" s="5" t="str">
        <f>TEXT(SalesData[[#This Row],[Date]],"mmm")</f>
        <v>Feb</v>
      </c>
      <c r="M1645">
        <f>YEAR(SalesData[[#This Row],[Date]])</f>
        <v>2023</v>
      </c>
      <c r="N1645">
        <f>WEEKNUM(SalesData[[#This Row],[Date]])</f>
        <v>7</v>
      </c>
      <c r="O1645" t="s">
        <v>2241</v>
      </c>
      <c r="P1645" t="s">
        <v>2522</v>
      </c>
      <c r="Q1645" t="s">
        <v>2526</v>
      </c>
    </row>
    <row r="1646" spans="1:17" x14ac:dyDescent="0.35">
      <c r="A1646" t="s">
        <v>829</v>
      </c>
      <c r="B1646" s="3">
        <v>45222</v>
      </c>
      <c r="C1646" t="s">
        <v>2016</v>
      </c>
      <c r="D1646" t="s">
        <v>2025</v>
      </c>
      <c r="E1646" s="8">
        <v>4824</v>
      </c>
      <c r="F1646">
        <v>6</v>
      </c>
      <c r="G1646">
        <v>15</v>
      </c>
      <c r="H1646" s="8">
        <v>24602.400000000001</v>
      </c>
      <c r="I1646">
        <v>3415.36</v>
      </c>
      <c r="J1646">
        <v>4110.25</v>
      </c>
      <c r="K1646" s="5">
        <f>IF(SalesData[[#This Row],[Total Revenue]]=0,0,SalesData[[#This Row],[Profit]]/SalesData[[#This Row],[Total Revenue]])</f>
        <v>0.16706703411049328</v>
      </c>
      <c r="L1646" s="5" t="str">
        <f>TEXT(SalesData[[#This Row],[Date]],"mmm")</f>
        <v>Oct</v>
      </c>
      <c r="M1646">
        <f>YEAR(SalesData[[#This Row],[Date]])</f>
        <v>2023</v>
      </c>
      <c r="N1646">
        <f>WEEKNUM(SalesData[[#This Row],[Date]])</f>
        <v>43</v>
      </c>
      <c r="O1646" t="s">
        <v>2429</v>
      </c>
      <c r="P1646" t="s">
        <v>2523</v>
      </c>
      <c r="Q1646" t="s">
        <v>2525</v>
      </c>
    </row>
    <row r="1647" spans="1:17" x14ac:dyDescent="0.35">
      <c r="A1647" t="s">
        <v>315</v>
      </c>
      <c r="B1647" s="3">
        <v>44998</v>
      </c>
      <c r="C1647" t="s">
        <v>2017</v>
      </c>
      <c r="D1647" t="s">
        <v>2026</v>
      </c>
      <c r="E1647" s="8">
        <v>2739</v>
      </c>
      <c r="F1647">
        <v>10</v>
      </c>
      <c r="G1647">
        <v>10</v>
      </c>
      <c r="H1647" s="8">
        <v>24651</v>
      </c>
      <c r="I1647">
        <v>1585.63</v>
      </c>
      <c r="J1647">
        <v>8794.7199999999993</v>
      </c>
      <c r="K1647" s="5">
        <f>IF(SalesData[[#This Row],[Total Revenue]]=0,0,SalesData[[#This Row],[Profit]]/SalesData[[#This Row],[Total Revenue]])</f>
        <v>0.35676929941990182</v>
      </c>
      <c r="L1647" s="5" t="str">
        <f>TEXT(SalesData[[#This Row],[Date]],"mmm")</f>
        <v>Mar</v>
      </c>
      <c r="M1647">
        <f>YEAR(SalesData[[#This Row],[Date]])</f>
        <v>2023</v>
      </c>
      <c r="N1647">
        <f>WEEKNUM(SalesData[[#This Row],[Date]])</f>
        <v>11</v>
      </c>
      <c r="O1647" t="s">
        <v>2075</v>
      </c>
      <c r="P1647" t="s">
        <v>2522</v>
      </c>
      <c r="Q1647" t="s">
        <v>2527</v>
      </c>
    </row>
    <row r="1648" spans="1:17" x14ac:dyDescent="0.35">
      <c r="A1648" t="s">
        <v>1174</v>
      </c>
      <c r="B1648" s="3">
        <v>44927</v>
      </c>
      <c r="C1648" t="s">
        <v>2016</v>
      </c>
      <c r="D1648" t="s">
        <v>2025</v>
      </c>
      <c r="E1648" s="8">
        <v>2739</v>
      </c>
      <c r="F1648">
        <v>10</v>
      </c>
      <c r="G1648">
        <v>10</v>
      </c>
      <c r="H1648" s="8">
        <v>24651</v>
      </c>
      <c r="I1648">
        <v>2072.84</v>
      </c>
      <c r="J1648">
        <v>3922.6</v>
      </c>
      <c r="K1648" s="5">
        <f>IF(SalesData[[#This Row],[Total Revenue]]=0,0,SalesData[[#This Row],[Profit]]/SalesData[[#This Row],[Total Revenue]])</f>
        <v>0.15912539045069166</v>
      </c>
      <c r="L1648" s="5" t="str">
        <f>TEXT(SalesData[[#This Row],[Date]],"mmm")</f>
        <v>Jan</v>
      </c>
      <c r="M1648">
        <f>YEAR(SalesData[[#This Row],[Date]])</f>
        <v>2023</v>
      </c>
      <c r="N1648">
        <f>WEEKNUM(SalesData[[#This Row],[Date]])</f>
        <v>1</v>
      </c>
      <c r="O1648" t="s">
        <v>2288</v>
      </c>
      <c r="P1648" t="s">
        <v>2522</v>
      </c>
      <c r="Q1648" t="s">
        <v>2527</v>
      </c>
    </row>
    <row r="1649" spans="1:17" x14ac:dyDescent="0.35">
      <c r="A1649" t="s">
        <v>15</v>
      </c>
      <c r="B1649" s="3">
        <v>45143</v>
      </c>
      <c r="C1649" t="s">
        <v>2015</v>
      </c>
      <c r="D1649" t="s">
        <v>2025</v>
      </c>
      <c r="E1649" s="8">
        <v>4358</v>
      </c>
      <c r="F1649">
        <v>6</v>
      </c>
      <c r="G1649">
        <v>5</v>
      </c>
      <c r="H1649" s="8">
        <v>24840.6</v>
      </c>
      <c r="I1649">
        <v>3040.7</v>
      </c>
      <c r="J1649">
        <v>6596.39</v>
      </c>
      <c r="K1649" s="5">
        <f>IF(SalesData[[#This Row],[Total Revenue]]=0,0,SalesData[[#This Row],[Profit]]/SalesData[[#This Row],[Total Revenue]])</f>
        <v>0.26554873875832308</v>
      </c>
      <c r="L1649" s="5" t="str">
        <f>TEXT(SalesData[[#This Row],[Date]],"mmm")</f>
        <v>Aug</v>
      </c>
      <c r="M1649">
        <f>YEAR(SalesData[[#This Row],[Date]])</f>
        <v>2023</v>
      </c>
      <c r="N1649">
        <f>WEEKNUM(SalesData[[#This Row],[Date]])</f>
        <v>31</v>
      </c>
      <c r="O1649" t="s">
        <v>2031</v>
      </c>
      <c r="P1649" t="s">
        <v>2522</v>
      </c>
      <c r="Q1649" t="s">
        <v>2524</v>
      </c>
    </row>
    <row r="1650" spans="1:17" x14ac:dyDescent="0.35">
      <c r="A1650" t="s">
        <v>692</v>
      </c>
      <c r="B1650" s="3">
        <v>44963</v>
      </c>
      <c r="C1650" t="s">
        <v>2018</v>
      </c>
      <c r="D1650" t="s">
        <v>2026</v>
      </c>
      <c r="E1650" s="8">
        <v>2762</v>
      </c>
      <c r="F1650">
        <v>10</v>
      </c>
      <c r="G1650">
        <v>10</v>
      </c>
      <c r="H1650" s="8">
        <v>24858</v>
      </c>
      <c r="I1650">
        <v>2192.63</v>
      </c>
      <c r="J1650">
        <v>2931.68</v>
      </c>
      <c r="K1650" s="5">
        <f>IF(SalesData[[#This Row],[Total Revenue]]=0,0,SalesData[[#This Row],[Profit]]/SalesData[[#This Row],[Total Revenue]])</f>
        <v>0.11793708262933461</v>
      </c>
      <c r="L1650" s="5" t="str">
        <f>TEXT(SalesData[[#This Row],[Date]],"mmm")</f>
        <v>Feb</v>
      </c>
      <c r="M1650">
        <f>YEAR(SalesData[[#This Row],[Date]])</f>
        <v>2023</v>
      </c>
      <c r="N1650">
        <f>WEEKNUM(SalesData[[#This Row],[Date]])</f>
        <v>6</v>
      </c>
      <c r="O1650" t="s">
        <v>2144</v>
      </c>
      <c r="P1650" t="s">
        <v>2522</v>
      </c>
      <c r="Q1650" t="s">
        <v>2524</v>
      </c>
    </row>
    <row r="1651" spans="1:17" x14ac:dyDescent="0.35">
      <c r="A1651" t="s">
        <v>1350</v>
      </c>
      <c r="B1651" s="3">
        <v>45288</v>
      </c>
      <c r="C1651" t="s">
        <v>2019</v>
      </c>
      <c r="D1651" t="s">
        <v>2027</v>
      </c>
      <c r="E1651" s="8">
        <v>3111</v>
      </c>
      <c r="F1651">
        <v>8</v>
      </c>
      <c r="G1651">
        <v>0</v>
      </c>
      <c r="H1651" s="8">
        <v>24888</v>
      </c>
      <c r="I1651">
        <v>2125.36</v>
      </c>
      <c r="J1651">
        <v>7885.11</v>
      </c>
      <c r="K1651" s="5">
        <f>IF(SalesData[[#This Row],[Total Revenue]]=0,0,SalesData[[#This Row],[Profit]]/SalesData[[#This Row],[Total Revenue]])</f>
        <v>0.31682377049180327</v>
      </c>
      <c r="L1651" s="5" t="str">
        <f>TEXT(SalesData[[#This Row],[Date]],"mmm")</f>
        <v>Dec</v>
      </c>
      <c r="M1651">
        <f>YEAR(SalesData[[#This Row],[Date]])</f>
        <v>2023</v>
      </c>
      <c r="N1651">
        <f>WEEKNUM(SalesData[[#This Row],[Date]])</f>
        <v>52</v>
      </c>
      <c r="O1651" t="s">
        <v>2132</v>
      </c>
      <c r="P1651" t="s">
        <v>2523</v>
      </c>
      <c r="Q1651" t="s">
        <v>2527</v>
      </c>
    </row>
    <row r="1652" spans="1:17" x14ac:dyDescent="0.35">
      <c r="A1652" t="s">
        <v>373</v>
      </c>
      <c r="B1652" s="3">
        <v>45125</v>
      </c>
      <c r="C1652" t="s">
        <v>2016</v>
      </c>
      <c r="D1652" t="s">
        <v>2025</v>
      </c>
      <c r="E1652" s="8">
        <v>2929</v>
      </c>
      <c r="F1652">
        <v>10</v>
      </c>
      <c r="G1652">
        <v>15</v>
      </c>
      <c r="H1652" s="8">
        <v>24896.5</v>
      </c>
      <c r="I1652">
        <v>1601.98</v>
      </c>
      <c r="J1652">
        <v>8876.7000000000007</v>
      </c>
      <c r="K1652" s="5">
        <f>IF(SalesData[[#This Row],[Total Revenue]]=0,0,SalesData[[#This Row],[Profit]]/SalesData[[#This Row],[Total Revenue]])</f>
        <v>0.35654409254312858</v>
      </c>
      <c r="L1652" s="5" t="str">
        <f>TEXT(SalesData[[#This Row],[Date]],"mmm")</f>
        <v>Jul</v>
      </c>
      <c r="M1652">
        <f>YEAR(SalesData[[#This Row],[Date]])</f>
        <v>2023</v>
      </c>
      <c r="N1652">
        <f>WEEKNUM(SalesData[[#This Row],[Date]])</f>
        <v>29</v>
      </c>
      <c r="O1652" t="s">
        <v>2283</v>
      </c>
      <c r="P1652" t="s">
        <v>2523</v>
      </c>
      <c r="Q1652" t="s">
        <v>2526</v>
      </c>
    </row>
    <row r="1653" spans="1:17" x14ac:dyDescent="0.35">
      <c r="A1653" t="s">
        <v>2011</v>
      </c>
      <c r="B1653" s="3">
        <v>45049</v>
      </c>
      <c r="C1653" t="s">
        <v>2020</v>
      </c>
      <c r="D1653" t="s">
        <v>2028</v>
      </c>
      <c r="E1653" s="8">
        <v>4614</v>
      </c>
      <c r="F1653">
        <v>6</v>
      </c>
      <c r="G1653">
        <v>10</v>
      </c>
      <c r="H1653" s="8">
        <v>24915.599999999999</v>
      </c>
      <c r="I1653">
        <v>2567.4899999999998</v>
      </c>
      <c r="J1653">
        <v>9510.65</v>
      </c>
      <c r="K1653" s="5">
        <f>IF(SalesData[[#This Row],[Total Revenue]]=0,0,SalesData[[#This Row],[Profit]]/SalesData[[#This Row],[Total Revenue]])</f>
        <v>0.38171466872160414</v>
      </c>
      <c r="L1653" s="5" t="str">
        <f>TEXT(SalesData[[#This Row],[Date]],"mmm")</f>
        <v>May</v>
      </c>
      <c r="M1653">
        <f>YEAR(SalesData[[#This Row],[Date]])</f>
        <v>2023</v>
      </c>
      <c r="N1653">
        <f>WEEKNUM(SalesData[[#This Row],[Date]])</f>
        <v>18</v>
      </c>
      <c r="O1653" t="s">
        <v>2237</v>
      </c>
      <c r="P1653" t="s">
        <v>2522</v>
      </c>
      <c r="Q1653" t="s">
        <v>2527</v>
      </c>
    </row>
    <row r="1654" spans="1:17" x14ac:dyDescent="0.35">
      <c r="A1654" t="s">
        <v>1721</v>
      </c>
      <c r="B1654" s="3">
        <v>44954</v>
      </c>
      <c r="C1654" t="s">
        <v>2021</v>
      </c>
      <c r="D1654" t="s">
        <v>2028</v>
      </c>
      <c r="E1654" s="8">
        <v>3569</v>
      </c>
      <c r="F1654">
        <v>7</v>
      </c>
      <c r="G1654">
        <v>0</v>
      </c>
      <c r="H1654" s="8">
        <v>24983</v>
      </c>
      <c r="I1654">
        <v>2748.45</v>
      </c>
      <c r="J1654">
        <v>5743.86</v>
      </c>
      <c r="K1654" s="5">
        <f>IF(SalesData[[#This Row],[Total Revenue]]=0,0,SalesData[[#This Row],[Profit]]/SalesData[[#This Row],[Total Revenue]])</f>
        <v>0.22991073930272585</v>
      </c>
      <c r="L1654" s="5" t="str">
        <f>TEXT(SalesData[[#This Row],[Date]],"mmm")</f>
        <v>Jan</v>
      </c>
      <c r="M1654">
        <f>YEAR(SalesData[[#This Row],[Date]])</f>
        <v>2023</v>
      </c>
      <c r="N1654">
        <f>WEEKNUM(SalesData[[#This Row],[Date]])</f>
        <v>4</v>
      </c>
      <c r="O1654" t="s">
        <v>2429</v>
      </c>
      <c r="P1654" t="s">
        <v>2523</v>
      </c>
      <c r="Q1654" t="s">
        <v>2524</v>
      </c>
    </row>
    <row r="1655" spans="1:17" x14ac:dyDescent="0.35">
      <c r="A1655" t="s">
        <v>1101</v>
      </c>
      <c r="B1655" s="3">
        <v>45151</v>
      </c>
      <c r="C1655" t="s">
        <v>2022</v>
      </c>
      <c r="D1655" t="s">
        <v>2024</v>
      </c>
      <c r="E1655" s="8">
        <v>4636</v>
      </c>
      <c r="F1655">
        <v>6</v>
      </c>
      <c r="G1655">
        <v>10</v>
      </c>
      <c r="H1655" s="8">
        <v>25034.400000000001</v>
      </c>
      <c r="I1655">
        <v>3057.73</v>
      </c>
      <c r="J1655">
        <v>6688.03</v>
      </c>
      <c r="K1655" s="5">
        <f>IF(SalesData[[#This Row],[Total Revenue]]=0,0,SalesData[[#This Row],[Profit]]/SalesData[[#This Row],[Total Revenue]])</f>
        <v>0.26715359665100818</v>
      </c>
      <c r="L1655" s="5" t="str">
        <f>TEXT(SalesData[[#This Row],[Date]],"mmm")</f>
        <v>Aug</v>
      </c>
      <c r="M1655">
        <f>YEAR(SalesData[[#This Row],[Date]])</f>
        <v>2023</v>
      </c>
      <c r="N1655">
        <f>WEEKNUM(SalesData[[#This Row],[Date]])</f>
        <v>33</v>
      </c>
      <c r="O1655" t="s">
        <v>2471</v>
      </c>
      <c r="P1655" t="s">
        <v>2523</v>
      </c>
      <c r="Q1655" t="s">
        <v>2525</v>
      </c>
    </row>
    <row r="1656" spans="1:17" x14ac:dyDescent="0.35">
      <c r="A1656" t="s">
        <v>1736</v>
      </c>
      <c r="B1656" s="3">
        <v>45204</v>
      </c>
      <c r="C1656" t="s">
        <v>2017</v>
      </c>
      <c r="D1656" t="s">
        <v>2026</v>
      </c>
      <c r="E1656" s="8">
        <v>2638</v>
      </c>
      <c r="F1656">
        <v>10</v>
      </c>
      <c r="G1656">
        <v>5</v>
      </c>
      <c r="H1656" s="8">
        <v>25061</v>
      </c>
      <c r="I1656">
        <v>1880.88</v>
      </c>
      <c r="J1656">
        <v>6252.2</v>
      </c>
      <c r="K1656" s="5">
        <f>IF(SalesData[[#This Row],[Total Revenue]]=0,0,SalesData[[#This Row],[Profit]]/SalesData[[#This Row],[Total Revenue]])</f>
        <v>0.24947927057978531</v>
      </c>
      <c r="L1656" s="5" t="str">
        <f>TEXT(SalesData[[#This Row],[Date]],"mmm")</f>
        <v>Oct</v>
      </c>
      <c r="M1656">
        <f>YEAR(SalesData[[#This Row],[Date]])</f>
        <v>2023</v>
      </c>
      <c r="N1656">
        <f>WEEKNUM(SalesData[[#This Row],[Date]])</f>
        <v>40</v>
      </c>
      <c r="O1656" t="s">
        <v>2462</v>
      </c>
      <c r="P1656" t="s">
        <v>2522</v>
      </c>
      <c r="Q1656" t="s">
        <v>2525</v>
      </c>
    </row>
    <row r="1657" spans="1:17" x14ac:dyDescent="0.35">
      <c r="A1657" t="s">
        <v>1326</v>
      </c>
      <c r="B1657" s="3">
        <v>45168</v>
      </c>
      <c r="C1657" t="s">
        <v>2013</v>
      </c>
      <c r="D1657" t="s">
        <v>2023</v>
      </c>
      <c r="E1657" s="8">
        <v>3302</v>
      </c>
      <c r="F1657">
        <v>8</v>
      </c>
      <c r="G1657">
        <v>5</v>
      </c>
      <c r="H1657" s="8">
        <v>25095.200000000001</v>
      </c>
      <c r="I1657">
        <v>2330.7600000000002</v>
      </c>
      <c r="J1657">
        <v>6449.12</v>
      </c>
      <c r="K1657" s="5">
        <f>IF(SalesData[[#This Row],[Total Revenue]]=0,0,SalesData[[#This Row],[Profit]]/SalesData[[#This Row],[Total Revenue]])</f>
        <v>0.25698619656348626</v>
      </c>
      <c r="L1657" s="5" t="str">
        <f>TEXT(SalesData[[#This Row],[Date]],"mmm")</f>
        <v>Aug</v>
      </c>
      <c r="M1657">
        <f>YEAR(SalesData[[#This Row],[Date]])</f>
        <v>2023</v>
      </c>
      <c r="N1657">
        <f>WEEKNUM(SalesData[[#This Row],[Date]])</f>
        <v>35</v>
      </c>
      <c r="O1657" t="s">
        <v>2497</v>
      </c>
      <c r="P1657" t="s">
        <v>2522</v>
      </c>
      <c r="Q1657" t="s">
        <v>2526</v>
      </c>
    </row>
    <row r="1658" spans="1:17" x14ac:dyDescent="0.35">
      <c r="A1658" t="s">
        <v>391</v>
      </c>
      <c r="B1658" s="3">
        <v>44961</v>
      </c>
      <c r="C1658" t="s">
        <v>2016</v>
      </c>
      <c r="D1658" t="s">
        <v>2025</v>
      </c>
      <c r="E1658" s="8">
        <v>4226</v>
      </c>
      <c r="F1658">
        <v>7</v>
      </c>
      <c r="G1658">
        <v>15</v>
      </c>
      <c r="H1658" s="8">
        <v>25144.7</v>
      </c>
      <c r="I1658">
        <v>2770.38</v>
      </c>
      <c r="J1658">
        <v>5752.01</v>
      </c>
      <c r="K1658" s="5">
        <f>IF(SalesData[[#This Row],[Total Revenue]]=0,0,SalesData[[#This Row],[Profit]]/SalesData[[#This Row],[Total Revenue]])</f>
        <v>0.22875635819874565</v>
      </c>
      <c r="L1658" s="5" t="str">
        <f>TEXT(SalesData[[#This Row],[Date]],"mmm")</f>
        <v>Feb</v>
      </c>
      <c r="M1658">
        <f>YEAR(SalesData[[#This Row],[Date]])</f>
        <v>2023</v>
      </c>
      <c r="N1658">
        <f>WEEKNUM(SalesData[[#This Row],[Date]])</f>
        <v>5</v>
      </c>
      <c r="O1658" t="s">
        <v>2294</v>
      </c>
      <c r="P1658" t="s">
        <v>2523</v>
      </c>
      <c r="Q1658" t="s">
        <v>2525</v>
      </c>
    </row>
    <row r="1659" spans="1:17" x14ac:dyDescent="0.35">
      <c r="A1659" t="s">
        <v>778</v>
      </c>
      <c r="B1659" s="3">
        <v>45179</v>
      </c>
      <c r="C1659" t="s">
        <v>2021</v>
      </c>
      <c r="D1659" t="s">
        <v>2028</v>
      </c>
      <c r="E1659" s="8">
        <v>4193</v>
      </c>
      <c r="F1659">
        <v>6</v>
      </c>
      <c r="G1659">
        <v>0</v>
      </c>
      <c r="H1659" s="8">
        <v>25158</v>
      </c>
      <c r="I1659">
        <v>3123.62</v>
      </c>
      <c r="J1659">
        <v>6416.26</v>
      </c>
      <c r="K1659" s="5">
        <f>IF(SalesData[[#This Row],[Total Revenue]]=0,0,SalesData[[#This Row],[Profit]]/SalesData[[#This Row],[Total Revenue]])</f>
        <v>0.25503855632403211</v>
      </c>
      <c r="L1659" s="5" t="str">
        <f>TEXT(SalesData[[#This Row],[Date]],"mmm")</f>
        <v>Sep</v>
      </c>
      <c r="M1659">
        <f>YEAR(SalesData[[#This Row],[Date]])</f>
        <v>2023</v>
      </c>
      <c r="N1659">
        <f>WEEKNUM(SalesData[[#This Row],[Date]])</f>
        <v>37</v>
      </c>
      <c r="O1659" t="s">
        <v>2098</v>
      </c>
      <c r="P1659" t="s">
        <v>2523</v>
      </c>
      <c r="Q1659" t="s">
        <v>2524</v>
      </c>
    </row>
    <row r="1660" spans="1:17" x14ac:dyDescent="0.35">
      <c r="A1660" t="s">
        <v>316</v>
      </c>
      <c r="B1660" s="3">
        <v>45250</v>
      </c>
      <c r="C1660" t="s">
        <v>2017</v>
      </c>
      <c r="D1660" t="s">
        <v>2026</v>
      </c>
      <c r="E1660" s="8">
        <v>3598</v>
      </c>
      <c r="F1660">
        <v>7</v>
      </c>
      <c r="G1660">
        <v>0</v>
      </c>
      <c r="H1660" s="8">
        <v>25186</v>
      </c>
      <c r="I1660">
        <v>2342.86</v>
      </c>
      <c r="J1660">
        <v>8786.01</v>
      </c>
      <c r="K1660" s="5">
        <f>IF(SalesData[[#This Row],[Total Revenue]]=0,0,SalesData[[#This Row],[Profit]]/SalesData[[#This Row],[Total Revenue]])</f>
        <v>0.34884499325021839</v>
      </c>
      <c r="L1660" s="5" t="str">
        <f>TEXT(SalesData[[#This Row],[Date]],"mmm")</f>
        <v>Nov</v>
      </c>
      <c r="M1660">
        <f>YEAR(SalesData[[#This Row],[Date]])</f>
        <v>2023</v>
      </c>
      <c r="N1660">
        <f>WEEKNUM(SalesData[[#This Row],[Date]])</f>
        <v>47</v>
      </c>
      <c r="O1660" t="s">
        <v>2098</v>
      </c>
      <c r="P1660" t="s">
        <v>2522</v>
      </c>
      <c r="Q1660" t="s">
        <v>2527</v>
      </c>
    </row>
    <row r="1661" spans="1:17" x14ac:dyDescent="0.35">
      <c r="A1661" t="s">
        <v>1827</v>
      </c>
      <c r="B1661" s="3">
        <v>45063</v>
      </c>
      <c r="C1661" t="s">
        <v>2013</v>
      </c>
      <c r="D1661" t="s">
        <v>2023</v>
      </c>
      <c r="E1661" s="8">
        <v>2805</v>
      </c>
      <c r="F1661">
        <v>9</v>
      </c>
      <c r="G1661">
        <v>0</v>
      </c>
      <c r="H1661" s="8">
        <v>25245</v>
      </c>
      <c r="I1661">
        <v>2139.29</v>
      </c>
      <c r="J1661">
        <v>5991.39</v>
      </c>
      <c r="K1661" s="5">
        <f>IF(SalesData[[#This Row],[Total Revenue]]=0,0,SalesData[[#This Row],[Profit]]/SalesData[[#This Row],[Total Revenue]])</f>
        <v>0.23732976827094476</v>
      </c>
      <c r="L1661" s="5" t="str">
        <f>TEXT(SalesData[[#This Row],[Date]],"mmm")</f>
        <v>May</v>
      </c>
      <c r="M1661">
        <f>YEAR(SalesData[[#This Row],[Date]])</f>
        <v>2023</v>
      </c>
      <c r="N1661">
        <f>WEEKNUM(SalesData[[#This Row],[Date]])</f>
        <v>20</v>
      </c>
      <c r="O1661" t="s">
        <v>2291</v>
      </c>
      <c r="P1661" t="s">
        <v>2522</v>
      </c>
      <c r="Q1661" t="s">
        <v>2524</v>
      </c>
    </row>
    <row r="1662" spans="1:17" x14ac:dyDescent="0.35">
      <c r="A1662" t="s">
        <v>413</v>
      </c>
      <c r="B1662" s="3">
        <v>45046</v>
      </c>
      <c r="C1662" t="s">
        <v>2015</v>
      </c>
      <c r="D1662" t="s">
        <v>2025</v>
      </c>
      <c r="E1662" s="8">
        <v>3508</v>
      </c>
      <c r="F1662">
        <v>8</v>
      </c>
      <c r="G1662">
        <v>10</v>
      </c>
      <c r="H1662" s="8">
        <v>25257.599999999999</v>
      </c>
      <c r="I1662">
        <v>2304.66</v>
      </c>
      <c r="J1662">
        <v>6820.35</v>
      </c>
      <c r="K1662" s="5">
        <f>IF(SalesData[[#This Row],[Total Revenue]]=0,0,SalesData[[#This Row],[Profit]]/SalesData[[#This Row],[Total Revenue]])</f>
        <v>0.27003159445077918</v>
      </c>
      <c r="L1662" s="5" t="str">
        <f>TEXT(SalesData[[#This Row],[Date]],"mmm")</f>
        <v>Apr</v>
      </c>
      <c r="M1662">
        <f>YEAR(SalesData[[#This Row],[Date]])</f>
        <v>2023</v>
      </c>
      <c r="N1662">
        <f>WEEKNUM(SalesData[[#This Row],[Date]])</f>
        <v>18</v>
      </c>
      <c r="O1662" t="s">
        <v>2097</v>
      </c>
      <c r="P1662" t="s">
        <v>2522</v>
      </c>
      <c r="Q1662" t="s">
        <v>2525</v>
      </c>
    </row>
    <row r="1663" spans="1:17" x14ac:dyDescent="0.35">
      <c r="A1663" t="s">
        <v>37</v>
      </c>
      <c r="B1663" s="3">
        <v>45248</v>
      </c>
      <c r="C1663" t="s">
        <v>2019</v>
      </c>
      <c r="D1663" t="s">
        <v>2027</v>
      </c>
      <c r="E1663" s="8">
        <v>2811</v>
      </c>
      <c r="F1663">
        <v>9</v>
      </c>
      <c r="G1663">
        <v>0</v>
      </c>
      <c r="H1663" s="8">
        <v>25299</v>
      </c>
      <c r="I1663">
        <v>1749.64</v>
      </c>
      <c r="J1663">
        <v>9552.27</v>
      </c>
      <c r="K1663" s="5">
        <f>IF(SalesData[[#This Row],[Total Revenue]]=0,0,SalesData[[#This Row],[Profit]]/SalesData[[#This Row],[Total Revenue]])</f>
        <v>0.37757500296454405</v>
      </c>
      <c r="L1663" s="5" t="str">
        <f>TEXT(SalesData[[#This Row],[Date]],"mmm")</f>
        <v>Nov</v>
      </c>
      <c r="M1663">
        <f>YEAR(SalesData[[#This Row],[Date]])</f>
        <v>2023</v>
      </c>
      <c r="N1663">
        <f>WEEKNUM(SalesData[[#This Row],[Date]])</f>
        <v>46</v>
      </c>
      <c r="O1663" t="s">
        <v>2052</v>
      </c>
      <c r="P1663" t="s">
        <v>2522</v>
      </c>
      <c r="Q1663" t="s">
        <v>2526</v>
      </c>
    </row>
    <row r="1664" spans="1:17" x14ac:dyDescent="0.35">
      <c r="A1664" t="s">
        <v>1907</v>
      </c>
      <c r="B1664" s="3">
        <v>45272</v>
      </c>
      <c r="C1664" t="s">
        <v>2015</v>
      </c>
      <c r="D1664" t="s">
        <v>2025</v>
      </c>
      <c r="E1664" s="8">
        <v>2666</v>
      </c>
      <c r="F1664">
        <v>10</v>
      </c>
      <c r="G1664">
        <v>5</v>
      </c>
      <c r="H1664" s="8">
        <v>25327</v>
      </c>
      <c r="I1664">
        <v>1623.8</v>
      </c>
      <c r="J1664">
        <v>9089</v>
      </c>
      <c r="K1664" s="5">
        <f>IF(SalesData[[#This Row],[Total Revenue]]=0,0,SalesData[[#This Row],[Profit]]/SalesData[[#This Row],[Total Revenue]])</f>
        <v>0.3588660322975481</v>
      </c>
      <c r="L1664" s="5" t="str">
        <f>TEXT(SalesData[[#This Row],[Date]],"mmm")</f>
        <v>Dec</v>
      </c>
      <c r="M1664">
        <f>YEAR(SalesData[[#This Row],[Date]])</f>
        <v>2023</v>
      </c>
      <c r="N1664">
        <f>WEEKNUM(SalesData[[#This Row],[Date]])</f>
        <v>50</v>
      </c>
      <c r="O1664" t="s">
        <v>2194</v>
      </c>
      <c r="P1664" t="s">
        <v>2523</v>
      </c>
      <c r="Q1664" t="s">
        <v>2525</v>
      </c>
    </row>
    <row r="1665" spans="1:17" x14ac:dyDescent="0.35">
      <c r="A1665" t="s">
        <v>868</v>
      </c>
      <c r="B1665" s="3">
        <v>44940</v>
      </c>
      <c r="C1665" t="s">
        <v>2015</v>
      </c>
      <c r="D1665" t="s">
        <v>2025</v>
      </c>
      <c r="E1665" s="8">
        <v>4023</v>
      </c>
      <c r="F1665">
        <v>7</v>
      </c>
      <c r="G1665">
        <v>10</v>
      </c>
      <c r="H1665" s="8">
        <v>25344.9</v>
      </c>
      <c r="I1665">
        <v>2382.96</v>
      </c>
      <c r="J1665">
        <v>8664.18</v>
      </c>
      <c r="K1665" s="5">
        <f>IF(SalesData[[#This Row],[Total Revenue]]=0,0,SalesData[[#This Row],[Profit]]/SalesData[[#This Row],[Total Revenue]])</f>
        <v>0.3418510232827906</v>
      </c>
      <c r="L1665" s="5" t="str">
        <f>TEXT(SalesData[[#This Row],[Date]],"mmm")</f>
        <v>Jan</v>
      </c>
      <c r="M1665">
        <f>YEAR(SalesData[[#This Row],[Date]])</f>
        <v>2023</v>
      </c>
      <c r="N1665">
        <f>WEEKNUM(SalesData[[#This Row],[Date]])</f>
        <v>2</v>
      </c>
      <c r="O1665" t="s">
        <v>2270</v>
      </c>
      <c r="P1665" t="s">
        <v>2523</v>
      </c>
      <c r="Q1665" t="s">
        <v>2527</v>
      </c>
    </row>
    <row r="1666" spans="1:17" x14ac:dyDescent="0.35">
      <c r="A1666" t="s">
        <v>543</v>
      </c>
      <c r="B1666" s="3">
        <v>45167</v>
      </c>
      <c r="C1666" t="s">
        <v>2016</v>
      </c>
      <c r="D1666" t="s">
        <v>2025</v>
      </c>
      <c r="E1666" s="8">
        <v>4457</v>
      </c>
      <c r="F1666">
        <v>6</v>
      </c>
      <c r="G1666">
        <v>5</v>
      </c>
      <c r="H1666" s="8">
        <v>25404.9</v>
      </c>
      <c r="I1666">
        <v>2524.54</v>
      </c>
      <c r="J1666">
        <v>10257.66</v>
      </c>
      <c r="K1666" s="5">
        <f>IF(SalesData[[#This Row],[Total Revenue]]=0,0,SalesData[[#This Row],[Profit]]/SalesData[[#This Row],[Total Revenue]])</f>
        <v>0.40376698983267006</v>
      </c>
      <c r="L1666" s="5" t="str">
        <f>TEXT(SalesData[[#This Row],[Date]],"mmm")</f>
        <v>Aug</v>
      </c>
      <c r="M1666">
        <f>YEAR(SalesData[[#This Row],[Date]])</f>
        <v>2023</v>
      </c>
      <c r="N1666">
        <f>WEEKNUM(SalesData[[#This Row],[Date]])</f>
        <v>35</v>
      </c>
      <c r="O1666" t="s">
        <v>2188</v>
      </c>
      <c r="P1666" t="s">
        <v>2523</v>
      </c>
      <c r="Q1666" t="s">
        <v>2525</v>
      </c>
    </row>
    <row r="1667" spans="1:17" x14ac:dyDescent="0.35">
      <c r="A1667" t="s">
        <v>1825</v>
      </c>
      <c r="B1667" s="3">
        <v>45226</v>
      </c>
      <c r="C1667" t="s">
        <v>2017</v>
      </c>
      <c r="D1667" t="s">
        <v>2026</v>
      </c>
      <c r="E1667" s="8">
        <v>4465</v>
      </c>
      <c r="F1667">
        <v>6</v>
      </c>
      <c r="G1667">
        <v>5</v>
      </c>
      <c r="H1667" s="8">
        <v>25450.5</v>
      </c>
      <c r="I1667">
        <v>2580.52</v>
      </c>
      <c r="J1667">
        <v>9967.3700000000008</v>
      </c>
      <c r="K1667" s="5">
        <f>IF(SalesData[[#This Row],[Total Revenue]]=0,0,SalesData[[#This Row],[Profit]]/SalesData[[#This Row],[Total Revenue]])</f>
        <v>0.39163749238718298</v>
      </c>
      <c r="L1667" s="5" t="str">
        <f>TEXT(SalesData[[#This Row],[Date]],"mmm")</f>
        <v>Oct</v>
      </c>
      <c r="M1667">
        <f>YEAR(SalesData[[#This Row],[Date]])</f>
        <v>2023</v>
      </c>
      <c r="N1667">
        <f>WEEKNUM(SalesData[[#This Row],[Date]])</f>
        <v>43</v>
      </c>
      <c r="O1667" t="s">
        <v>2059</v>
      </c>
      <c r="P1667" t="s">
        <v>2522</v>
      </c>
      <c r="Q1667" t="s">
        <v>2524</v>
      </c>
    </row>
    <row r="1668" spans="1:17" x14ac:dyDescent="0.35">
      <c r="A1668" t="s">
        <v>1746</v>
      </c>
      <c r="B1668" s="3">
        <v>45251</v>
      </c>
      <c r="C1668" t="s">
        <v>2013</v>
      </c>
      <c r="D1668" t="s">
        <v>2023</v>
      </c>
      <c r="E1668" s="8">
        <v>2828</v>
      </c>
      <c r="F1668">
        <v>9</v>
      </c>
      <c r="G1668">
        <v>0</v>
      </c>
      <c r="H1668" s="8">
        <v>25452</v>
      </c>
      <c r="I1668">
        <v>1641.21</v>
      </c>
      <c r="J1668">
        <v>10681.11</v>
      </c>
      <c r="K1668" s="5">
        <f>IF(SalesData[[#This Row],[Total Revenue]]=0,0,SalesData[[#This Row],[Profit]]/SalesData[[#This Row],[Total Revenue]])</f>
        <v>0.41965700141442719</v>
      </c>
      <c r="L1668" s="5" t="str">
        <f>TEXT(SalesData[[#This Row],[Date]],"mmm")</f>
        <v>Nov</v>
      </c>
      <c r="M1668">
        <f>YEAR(SalesData[[#This Row],[Date]])</f>
        <v>2023</v>
      </c>
      <c r="N1668">
        <f>WEEKNUM(SalesData[[#This Row],[Date]])</f>
        <v>47</v>
      </c>
      <c r="O1668" t="s">
        <v>2401</v>
      </c>
      <c r="P1668" t="s">
        <v>2523</v>
      </c>
      <c r="Q1668" t="s">
        <v>2524</v>
      </c>
    </row>
    <row r="1669" spans="1:17" x14ac:dyDescent="0.35">
      <c r="A1669" t="s">
        <v>577</v>
      </c>
      <c r="B1669" s="3">
        <v>45033</v>
      </c>
      <c r="C1669" t="s">
        <v>2015</v>
      </c>
      <c r="D1669" t="s">
        <v>2025</v>
      </c>
      <c r="E1669" s="8">
        <v>2996</v>
      </c>
      <c r="F1669">
        <v>10</v>
      </c>
      <c r="G1669">
        <v>15</v>
      </c>
      <c r="H1669" s="8">
        <v>25466</v>
      </c>
      <c r="I1669">
        <v>2041.34</v>
      </c>
      <c r="J1669">
        <v>5052.62</v>
      </c>
      <c r="K1669" s="5">
        <f>IF(SalesData[[#This Row],[Total Revenue]]=0,0,SalesData[[#This Row],[Profit]]/SalesData[[#This Row],[Total Revenue]])</f>
        <v>0.1984065027880311</v>
      </c>
      <c r="L1669" s="5" t="str">
        <f>TEXT(SalesData[[#This Row],[Date]],"mmm")</f>
        <v>Apr</v>
      </c>
      <c r="M1669">
        <f>YEAR(SalesData[[#This Row],[Date]])</f>
        <v>2023</v>
      </c>
      <c r="N1669">
        <f>WEEKNUM(SalesData[[#This Row],[Date]])</f>
        <v>16</v>
      </c>
      <c r="O1669" t="s">
        <v>2138</v>
      </c>
      <c r="P1669" t="s">
        <v>2523</v>
      </c>
      <c r="Q1669" t="s">
        <v>2525</v>
      </c>
    </row>
    <row r="1670" spans="1:17" x14ac:dyDescent="0.35">
      <c r="A1670" t="s">
        <v>1457</v>
      </c>
      <c r="B1670" s="3">
        <v>45279</v>
      </c>
      <c r="C1670" t="s">
        <v>2022</v>
      </c>
      <c r="D1670" t="s">
        <v>2024</v>
      </c>
      <c r="E1670" s="8">
        <v>4043</v>
      </c>
      <c r="F1670">
        <v>7</v>
      </c>
      <c r="G1670">
        <v>10</v>
      </c>
      <c r="H1670" s="8">
        <v>25470.9</v>
      </c>
      <c r="I1670">
        <v>2546.58</v>
      </c>
      <c r="J1670">
        <v>7644.87</v>
      </c>
      <c r="K1670" s="5">
        <f>IF(SalesData[[#This Row],[Total Revenue]]=0,0,SalesData[[#This Row],[Profit]]/SalesData[[#This Row],[Total Revenue]])</f>
        <v>0.30014133776191654</v>
      </c>
      <c r="L1670" s="5" t="str">
        <f>TEXT(SalesData[[#This Row],[Date]],"mmm")</f>
        <v>Dec</v>
      </c>
      <c r="M1670">
        <f>YEAR(SalesData[[#This Row],[Date]])</f>
        <v>2023</v>
      </c>
      <c r="N1670">
        <f>WEEKNUM(SalesData[[#This Row],[Date]])</f>
        <v>51</v>
      </c>
      <c r="O1670" t="s">
        <v>2144</v>
      </c>
      <c r="P1670" t="s">
        <v>2522</v>
      </c>
      <c r="Q1670" t="s">
        <v>2524</v>
      </c>
    </row>
    <row r="1671" spans="1:17" x14ac:dyDescent="0.35">
      <c r="A1671" t="s">
        <v>1329</v>
      </c>
      <c r="B1671" s="3">
        <v>45280</v>
      </c>
      <c r="C1671" t="s">
        <v>2016</v>
      </c>
      <c r="D1671" t="s">
        <v>2025</v>
      </c>
      <c r="E1671" s="8">
        <v>4310</v>
      </c>
      <c r="F1671">
        <v>7</v>
      </c>
      <c r="G1671">
        <v>15</v>
      </c>
      <c r="H1671" s="8">
        <v>25644.5</v>
      </c>
      <c r="I1671">
        <v>2409.54</v>
      </c>
      <c r="J1671">
        <v>8777.7000000000007</v>
      </c>
      <c r="K1671" s="5">
        <f>IF(SalesData[[#This Row],[Total Revenue]]=0,0,SalesData[[#This Row],[Profit]]/SalesData[[#This Row],[Total Revenue]])</f>
        <v>0.34228392052876838</v>
      </c>
      <c r="L1671" s="5" t="str">
        <f>TEXT(SalesData[[#This Row],[Date]],"mmm")</f>
        <v>Dec</v>
      </c>
      <c r="M1671">
        <f>YEAR(SalesData[[#This Row],[Date]])</f>
        <v>2023</v>
      </c>
      <c r="N1671">
        <f>WEEKNUM(SalesData[[#This Row],[Date]])</f>
        <v>51</v>
      </c>
      <c r="O1671" t="s">
        <v>2498</v>
      </c>
      <c r="P1671" t="s">
        <v>2523</v>
      </c>
      <c r="Q1671" t="s">
        <v>2524</v>
      </c>
    </row>
    <row r="1672" spans="1:17" x14ac:dyDescent="0.35">
      <c r="A1672" t="s">
        <v>1973</v>
      </c>
      <c r="B1672" s="3">
        <v>45078</v>
      </c>
      <c r="C1672" t="s">
        <v>2021</v>
      </c>
      <c r="D1672" t="s">
        <v>2028</v>
      </c>
      <c r="E1672" s="8">
        <v>3860</v>
      </c>
      <c r="F1672">
        <v>7</v>
      </c>
      <c r="G1672">
        <v>5</v>
      </c>
      <c r="H1672" s="8">
        <v>25669</v>
      </c>
      <c r="I1672">
        <v>3054.78</v>
      </c>
      <c r="J1672">
        <v>4285.54</v>
      </c>
      <c r="K1672" s="5">
        <f>IF(SalesData[[#This Row],[Total Revenue]]=0,0,SalesData[[#This Row],[Profit]]/SalesData[[#This Row],[Total Revenue]])</f>
        <v>0.16695391328061085</v>
      </c>
      <c r="L1672" s="5" t="str">
        <f>TEXT(SalesData[[#This Row],[Date]],"mmm")</f>
        <v>Jun</v>
      </c>
      <c r="M1672">
        <f>YEAR(SalesData[[#This Row],[Date]])</f>
        <v>2023</v>
      </c>
      <c r="N1672">
        <f>WEEKNUM(SalesData[[#This Row],[Date]])</f>
        <v>22</v>
      </c>
      <c r="O1672" t="s">
        <v>2247</v>
      </c>
      <c r="P1672" t="s">
        <v>2522</v>
      </c>
      <c r="Q1672" t="s">
        <v>2525</v>
      </c>
    </row>
    <row r="1673" spans="1:17" x14ac:dyDescent="0.35">
      <c r="A1673" t="s">
        <v>84</v>
      </c>
      <c r="B1673" s="3">
        <v>45046</v>
      </c>
      <c r="C1673" t="s">
        <v>2017</v>
      </c>
      <c r="D1673" t="s">
        <v>2026</v>
      </c>
      <c r="E1673" s="8">
        <v>4280</v>
      </c>
      <c r="F1673">
        <v>6</v>
      </c>
      <c r="G1673">
        <v>0</v>
      </c>
      <c r="H1673" s="8">
        <v>25680</v>
      </c>
      <c r="I1673">
        <v>3370.36</v>
      </c>
      <c r="J1673">
        <v>5457.83</v>
      </c>
      <c r="K1673" s="5">
        <f>IF(SalesData[[#This Row],[Total Revenue]]=0,0,SalesData[[#This Row],[Profit]]/SalesData[[#This Row],[Total Revenue]])</f>
        <v>0.21253232087227414</v>
      </c>
      <c r="L1673" s="5" t="str">
        <f>TEXT(SalesData[[#This Row],[Date]],"mmm")</f>
        <v>Apr</v>
      </c>
      <c r="M1673">
        <f>YEAR(SalesData[[#This Row],[Date]])</f>
        <v>2023</v>
      </c>
      <c r="N1673">
        <f>WEEKNUM(SalesData[[#This Row],[Date]])</f>
        <v>18</v>
      </c>
      <c r="O1673" t="s">
        <v>2092</v>
      </c>
      <c r="P1673" t="s">
        <v>2523</v>
      </c>
      <c r="Q1673" t="s">
        <v>2524</v>
      </c>
    </row>
    <row r="1674" spans="1:17" x14ac:dyDescent="0.35">
      <c r="A1674" t="s">
        <v>1264</v>
      </c>
      <c r="B1674" s="3">
        <v>45134</v>
      </c>
      <c r="C1674" t="s">
        <v>2022</v>
      </c>
      <c r="D1674" t="s">
        <v>2024</v>
      </c>
      <c r="E1674" s="8">
        <v>4290</v>
      </c>
      <c r="F1674">
        <v>6</v>
      </c>
      <c r="G1674">
        <v>0</v>
      </c>
      <c r="H1674" s="8">
        <v>25740</v>
      </c>
      <c r="I1674">
        <v>2662.54</v>
      </c>
      <c r="J1674">
        <v>9764.7900000000009</v>
      </c>
      <c r="K1674" s="5">
        <f>IF(SalesData[[#This Row],[Total Revenue]]=0,0,SalesData[[#This Row],[Profit]]/SalesData[[#This Row],[Total Revenue]])</f>
        <v>0.37936247086247088</v>
      </c>
      <c r="L1674" s="5" t="str">
        <f>TEXT(SalesData[[#This Row],[Date]],"mmm")</f>
        <v>Jul</v>
      </c>
      <c r="M1674">
        <f>YEAR(SalesData[[#This Row],[Date]])</f>
        <v>2023</v>
      </c>
      <c r="N1674">
        <f>WEEKNUM(SalesData[[#This Row],[Date]])</f>
        <v>30</v>
      </c>
      <c r="O1674" t="s">
        <v>2319</v>
      </c>
      <c r="P1674" t="s">
        <v>2522</v>
      </c>
      <c r="Q1674" t="s">
        <v>2527</v>
      </c>
    </row>
    <row r="1675" spans="1:17" x14ac:dyDescent="0.35">
      <c r="A1675" t="s">
        <v>1126</v>
      </c>
      <c r="B1675" s="3">
        <v>45161</v>
      </c>
      <c r="C1675" t="s">
        <v>2016</v>
      </c>
      <c r="D1675" t="s">
        <v>2025</v>
      </c>
      <c r="E1675" s="8">
        <v>4770</v>
      </c>
      <c r="F1675">
        <v>6</v>
      </c>
      <c r="G1675">
        <v>10</v>
      </c>
      <c r="H1675" s="8">
        <v>25758</v>
      </c>
      <c r="I1675">
        <v>3511.27</v>
      </c>
      <c r="J1675">
        <v>4690.3999999999996</v>
      </c>
      <c r="K1675" s="5">
        <f>IF(SalesData[[#This Row],[Total Revenue]]=0,0,SalesData[[#This Row],[Profit]]/SalesData[[#This Row],[Total Revenue]])</f>
        <v>0.18209488314310115</v>
      </c>
      <c r="L1675" s="5" t="str">
        <f>TEXT(SalesData[[#This Row],[Date]],"mmm")</f>
        <v>Aug</v>
      </c>
      <c r="M1675">
        <f>YEAR(SalesData[[#This Row],[Date]])</f>
        <v>2023</v>
      </c>
      <c r="N1675">
        <f>WEEKNUM(SalesData[[#This Row],[Date]])</f>
        <v>34</v>
      </c>
      <c r="O1675" t="s">
        <v>2085</v>
      </c>
      <c r="P1675" t="s">
        <v>2522</v>
      </c>
      <c r="Q1675" t="s">
        <v>2527</v>
      </c>
    </row>
    <row r="1676" spans="1:17" x14ac:dyDescent="0.35">
      <c r="A1676" t="s">
        <v>1120</v>
      </c>
      <c r="B1676" s="3">
        <v>45228</v>
      </c>
      <c r="C1676" t="s">
        <v>2020</v>
      </c>
      <c r="D1676" t="s">
        <v>2028</v>
      </c>
      <c r="E1676" s="8">
        <v>3220</v>
      </c>
      <c r="F1676">
        <v>8</v>
      </c>
      <c r="G1676">
        <v>0</v>
      </c>
      <c r="H1676" s="8">
        <v>25760</v>
      </c>
      <c r="I1676">
        <v>1998.11</v>
      </c>
      <c r="J1676">
        <v>9775.15</v>
      </c>
      <c r="K1676" s="5">
        <f>IF(SalesData[[#This Row],[Total Revenue]]=0,0,SalesData[[#This Row],[Profit]]/SalesData[[#This Row],[Total Revenue]])</f>
        <v>0.37947010869565218</v>
      </c>
      <c r="L1676" s="5" t="str">
        <f>TEXT(SalesData[[#This Row],[Date]],"mmm")</f>
        <v>Oct</v>
      </c>
      <c r="M1676">
        <f>YEAR(SalesData[[#This Row],[Date]])</f>
        <v>2023</v>
      </c>
      <c r="N1676">
        <f>WEEKNUM(SalesData[[#This Row],[Date]])</f>
        <v>44</v>
      </c>
      <c r="O1676" t="s">
        <v>2186</v>
      </c>
      <c r="P1676" t="s">
        <v>2523</v>
      </c>
      <c r="Q1676" t="s">
        <v>2524</v>
      </c>
    </row>
    <row r="1677" spans="1:17" x14ac:dyDescent="0.35">
      <c r="A1677" t="s">
        <v>972</v>
      </c>
      <c r="B1677" s="3">
        <v>45263</v>
      </c>
      <c r="C1677" t="s">
        <v>2019</v>
      </c>
      <c r="D1677" t="s">
        <v>2027</v>
      </c>
      <c r="E1677" s="8">
        <v>3369</v>
      </c>
      <c r="F1677">
        <v>9</v>
      </c>
      <c r="G1677">
        <v>15</v>
      </c>
      <c r="H1677" s="8">
        <v>25772.85</v>
      </c>
      <c r="I1677">
        <v>1749.39</v>
      </c>
      <c r="J1677">
        <v>10028.33</v>
      </c>
      <c r="K1677" s="5">
        <f>IF(SalesData[[#This Row],[Total Revenue]]=0,0,SalesData[[#This Row],[Profit]]/SalesData[[#This Row],[Total Revenue]])</f>
        <v>0.38910442578139398</v>
      </c>
      <c r="L1677" s="5" t="str">
        <f>TEXT(SalesData[[#This Row],[Date]],"mmm")</f>
        <v>Dec</v>
      </c>
      <c r="M1677">
        <f>YEAR(SalesData[[#This Row],[Date]])</f>
        <v>2023</v>
      </c>
      <c r="N1677">
        <f>WEEKNUM(SalesData[[#This Row],[Date]])</f>
        <v>49</v>
      </c>
      <c r="O1677" t="s">
        <v>2253</v>
      </c>
      <c r="P1677" t="s">
        <v>2523</v>
      </c>
      <c r="Q1677" t="s">
        <v>2525</v>
      </c>
    </row>
    <row r="1678" spans="1:17" x14ac:dyDescent="0.35">
      <c r="A1678" t="s">
        <v>238</v>
      </c>
      <c r="B1678" s="3">
        <v>45230</v>
      </c>
      <c r="C1678" t="s">
        <v>2020</v>
      </c>
      <c r="D1678" t="s">
        <v>2028</v>
      </c>
      <c r="E1678" s="8">
        <v>3685</v>
      </c>
      <c r="F1678">
        <v>7</v>
      </c>
      <c r="G1678">
        <v>0</v>
      </c>
      <c r="H1678" s="8">
        <v>25795</v>
      </c>
      <c r="I1678">
        <v>1896.16</v>
      </c>
      <c r="J1678">
        <v>12521.91</v>
      </c>
      <c r="K1678" s="5">
        <f>IF(SalesData[[#This Row],[Total Revenue]]=0,0,SalesData[[#This Row],[Profit]]/SalesData[[#This Row],[Total Revenue]])</f>
        <v>0.48543942624539638</v>
      </c>
      <c r="L1678" s="5" t="str">
        <f>TEXT(SalesData[[#This Row],[Date]],"mmm")</f>
        <v>Oct</v>
      </c>
      <c r="M1678">
        <f>YEAR(SalesData[[#This Row],[Date]])</f>
        <v>2023</v>
      </c>
      <c r="N1678">
        <f>WEEKNUM(SalesData[[#This Row],[Date]])</f>
        <v>44</v>
      </c>
      <c r="O1678" t="s">
        <v>2209</v>
      </c>
      <c r="P1678" t="s">
        <v>2523</v>
      </c>
      <c r="Q1678" t="s">
        <v>2525</v>
      </c>
    </row>
    <row r="1679" spans="1:17" x14ac:dyDescent="0.35">
      <c r="A1679" t="s">
        <v>1399</v>
      </c>
      <c r="B1679" s="3">
        <v>44998</v>
      </c>
      <c r="C1679" t="s">
        <v>2018</v>
      </c>
      <c r="D1679" t="s">
        <v>2026</v>
      </c>
      <c r="E1679" s="8">
        <v>3882</v>
      </c>
      <c r="F1679">
        <v>7</v>
      </c>
      <c r="G1679">
        <v>5</v>
      </c>
      <c r="H1679" s="8">
        <v>25815.3</v>
      </c>
      <c r="I1679">
        <v>2417.23</v>
      </c>
      <c r="J1679">
        <v>8894.69</v>
      </c>
      <c r="K1679" s="5">
        <f>IF(SalesData[[#This Row],[Total Revenue]]=0,0,SalesData[[#This Row],[Profit]]/SalesData[[#This Row],[Total Revenue]])</f>
        <v>0.34455109954174468</v>
      </c>
      <c r="L1679" s="5" t="str">
        <f>TEXT(SalesData[[#This Row],[Date]],"mmm")</f>
        <v>Mar</v>
      </c>
      <c r="M1679">
        <f>YEAR(SalesData[[#This Row],[Date]])</f>
        <v>2023</v>
      </c>
      <c r="N1679">
        <f>WEEKNUM(SalesData[[#This Row],[Date]])</f>
        <v>11</v>
      </c>
      <c r="O1679" t="s">
        <v>2475</v>
      </c>
      <c r="P1679" t="s">
        <v>2523</v>
      </c>
      <c r="Q1679" t="s">
        <v>2526</v>
      </c>
    </row>
    <row r="1680" spans="1:17" x14ac:dyDescent="0.35">
      <c r="A1680" t="s">
        <v>1395</v>
      </c>
      <c r="B1680" s="3">
        <v>45086</v>
      </c>
      <c r="C1680" t="s">
        <v>2022</v>
      </c>
      <c r="D1680" t="s">
        <v>2024</v>
      </c>
      <c r="E1680" s="8">
        <v>3810</v>
      </c>
      <c r="F1680">
        <v>8</v>
      </c>
      <c r="G1680">
        <v>15</v>
      </c>
      <c r="H1680" s="8">
        <v>25908</v>
      </c>
      <c r="I1680">
        <v>2176.7800000000002</v>
      </c>
      <c r="J1680">
        <v>8493.73</v>
      </c>
      <c r="K1680" s="5">
        <f>IF(SalesData[[#This Row],[Total Revenue]]=0,0,SalesData[[#This Row],[Profit]]/SalesData[[#This Row],[Total Revenue]])</f>
        <v>0.32784197931140957</v>
      </c>
      <c r="L1680" s="5" t="str">
        <f>TEXT(SalesData[[#This Row],[Date]],"mmm")</f>
        <v>Jun</v>
      </c>
      <c r="M1680">
        <f>YEAR(SalesData[[#This Row],[Date]])</f>
        <v>2023</v>
      </c>
      <c r="N1680">
        <f>WEEKNUM(SalesData[[#This Row],[Date]])</f>
        <v>23</v>
      </c>
      <c r="O1680" t="s">
        <v>2340</v>
      </c>
      <c r="P1680" t="s">
        <v>2523</v>
      </c>
      <c r="Q1680" t="s">
        <v>2526</v>
      </c>
    </row>
    <row r="1681" spans="1:17" x14ac:dyDescent="0.35">
      <c r="A1681" t="s">
        <v>1571</v>
      </c>
      <c r="B1681" s="3">
        <v>45191</v>
      </c>
      <c r="C1681" t="s">
        <v>2017</v>
      </c>
      <c r="D1681" t="s">
        <v>2026</v>
      </c>
      <c r="E1681" s="8">
        <v>3409</v>
      </c>
      <c r="F1681">
        <v>8</v>
      </c>
      <c r="G1681">
        <v>5</v>
      </c>
      <c r="H1681" s="8">
        <v>25908.400000000001</v>
      </c>
      <c r="I1681">
        <v>2460.87</v>
      </c>
      <c r="J1681">
        <v>6221.47</v>
      </c>
      <c r="K1681" s="5">
        <f>IF(SalesData[[#This Row],[Total Revenue]]=0,0,SalesData[[#This Row],[Profit]]/SalesData[[#This Row],[Total Revenue]])</f>
        <v>0.2401333158357907</v>
      </c>
      <c r="L1681" s="5" t="str">
        <f>TEXT(SalesData[[#This Row],[Date]],"mmm")</f>
        <v>Sep</v>
      </c>
      <c r="M1681">
        <f>YEAR(SalesData[[#This Row],[Date]])</f>
        <v>2023</v>
      </c>
      <c r="N1681">
        <f>WEEKNUM(SalesData[[#This Row],[Date]])</f>
        <v>38</v>
      </c>
      <c r="O1681" t="s">
        <v>2031</v>
      </c>
      <c r="P1681" t="s">
        <v>2522</v>
      </c>
      <c r="Q1681" t="s">
        <v>2524</v>
      </c>
    </row>
    <row r="1682" spans="1:17" x14ac:dyDescent="0.35">
      <c r="A1682" t="s">
        <v>142</v>
      </c>
      <c r="B1682" s="3">
        <v>45257</v>
      </c>
      <c r="C1682" t="s">
        <v>2022</v>
      </c>
      <c r="D1682" t="s">
        <v>2024</v>
      </c>
      <c r="E1682" s="8">
        <v>4334</v>
      </c>
      <c r="F1682">
        <v>6</v>
      </c>
      <c r="G1682">
        <v>0</v>
      </c>
      <c r="H1682" s="8">
        <v>26004</v>
      </c>
      <c r="I1682">
        <v>2828.68</v>
      </c>
      <c r="J1682">
        <v>9031.89</v>
      </c>
      <c r="K1682" s="5">
        <f>IF(SalesData[[#This Row],[Total Revenue]]=0,0,SalesData[[#This Row],[Profit]]/SalesData[[#This Row],[Total Revenue]])</f>
        <v>0.34732694970004613</v>
      </c>
      <c r="L1682" s="5" t="str">
        <f>TEXT(SalesData[[#This Row],[Date]],"mmm")</f>
        <v>Nov</v>
      </c>
      <c r="M1682">
        <f>YEAR(SalesData[[#This Row],[Date]])</f>
        <v>2023</v>
      </c>
      <c r="N1682">
        <f>WEEKNUM(SalesData[[#This Row],[Date]])</f>
        <v>48</v>
      </c>
      <c r="O1682" t="s">
        <v>2144</v>
      </c>
      <c r="P1682" t="s">
        <v>2523</v>
      </c>
      <c r="Q1682" t="s">
        <v>2526</v>
      </c>
    </row>
    <row r="1683" spans="1:17" x14ac:dyDescent="0.35">
      <c r="A1683" t="s">
        <v>955</v>
      </c>
      <c r="B1683" s="3">
        <v>45010</v>
      </c>
      <c r="C1683" t="s">
        <v>2020</v>
      </c>
      <c r="D1683" t="s">
        <v>2028</v>
      </c>
      <c r="E1683" s="8">
        <v>2742</v>
      </c>
      <c r="F1683">
        <v>10</v>
      </c>
      <c r="G1683">
        <v>5</v>
      </c>
      <c r="H1683" s="8">
        <v>26049</v>
      </c>
      <c r="I1683">
        <v>1916.81</v>
      </c>
      <c r="J1683">
        <v>6880.89</v>
      </c>
      <c r="K1683" s="5">
        <f>IF(SalesData[[#This Row],[Total Revenue]]=0,0,SalesData[[#This Row],[Profit]]/SalesData[[#This Row],[Total Revenue]])</f>
        <v>0.26415179085569507</v>
      </c>
      <c r="L1683" s="5" t="str">
        <f>TEXT(SalesData[[#This Row],[Date]],"mmm")</f>
        <v>Mar</v>
      </c>
      <c r="M1683">
        <f>YEAR(SalesData[[#This Row],[Date]])</f>
        <v>2023</v>
      </c>
      <c r="N1683">
        <f>WEEKNUM(SalesData[[#This Row],[Date]])</f>
        <v>12</v>
      </c>
      <c r="O1683" t="s">
        <v>2054</v>
      </c>
      <c r="P1683" t="s">
        <v>2522</v>
      </c>
      <c r="Q1683" t="s">
        <v>2527</v>
      </c>
    </row>
    <row r="1684" spans="1:17" x14ac:dyDescent="0.35">
      <c r="A1684" t="s">
        <v>1016</v>
      </c>
      <c r="B1684" s="3">
        <v>45033</v>
      </c>
      <c r="C1684" t="s">
        <v>2016</v>
      </c>
      <c r="D1684" t="s">
        <v>2025</v>
      </c>
      <c r="E1684" s="8">
        <v>3732</v>
      </c>
      <c r="F1684">
        <v>7</v>
      </c>
      <c r="G1684">
        <v>0</v>
      </c>
      <c r="H1684" s="8">
        <v>26124</v>
      </c>
      <c r="I1684">
        <v>2238.13</v>
      </c>
      <c r="J1684">
        <v>10457.08</v>
      </c>
      <c r="K1684" s="5">
        <f>IF(SalesData[[#This Row],[Total Revenue]]=0,0,SalesData[[#This Row],[Profit]]/SalesData[[#This Row],[Total Revenue]])</f>
        <v>0.40028632674934927</v>
      </c>
      <c r="L1684" s="5" t="str">
        <f>TEXT(SalesData[[#This Row],[Date]],"mmm")</f>
        <v>Apr</v>
      </c>
      <c r="M1684">
        <f>YEAR(SalesData[[#This Row],[Date]])</f>
        <v>2023</v>
      </c>
      <c r="N1684">
        <f>WEEKNUM(SalesData[[#This Row],[Date]])</f>
        <v>16</v>
      </c>
      <c r="O1684" t="s">
        <v>2171</v>
      </c>
      <c r="P1684" t="s">
        <v>2523</v>
      </c>
      <c r="Q1684" t="s">
        <v>2525</v>
      </c>
    </row>
    <row r="1685" spans="1:17" x14ac:dyDescent="0.35">
      <c r="A1685" t="s">
        <v>1203</v>
      </c>
      <c r="B1685" s="3">
        <v>45050</v>
      </c>
      <c r="C1685" t="s">
        <v>2020</v>
      </c>
      <c r="D1685" t="s">
        <v>2028</v>
      </c>
      <c r="E1685" s="8">
        <v>3629</v>
      </c>
      <c r="F1685">
        <v>8</v>
      </c>
      <c r="G1685">
        <v>10</v>
      </c>
      <c r="H1685" s="8">
        <v>26128.799999999999</v>
      </c>
      <c r="I1685">
        <v>2251.77</v>
      </c>
      <c r="J1685">
        <v>8114.68</v>
      </c>
      <c r="K1685" s="5">
        <f>IF(SalesData[[#This Row],[Total Revenue]]=0,0,SalesData[[#This Row],[Profit]]/SalesData[[#This Row],[Total Revenue]])</f>
        <v>0.31056458773460704</v>
      </c>
      <c r="L1685" s="5" t="str">
        <f>TEXT(SalesData[[#This Row],[Date]],"mmm")</f>
        <v>May</v>
      </c>
      <c r="M1685">
        <f>YEAR(SalesData[[#This Row],[Date]])</f>
        <v>2023</v>
      </c>
      <c r="N1685">
        <f>WEEKNUM(SalesData[[#This Row],[Date]])</f>
        <v>18</v>
      </c>
      <c r="O1685" t="s">
        <v>2460</v>
      </c>
      <c r="P1685" t="s">
        <v>2523</v>
      </c>
      <c r="Q1685" t="s">
        <v>2525</v>
      </c>
    </row>
    <row r="1686" spans="1:17" x14ac:dyDescent="0.35">
      <c r="A1686" t="s">
        <v>115</v>
      </c>
      <c r="B1686" s="3">
        <v>45248</v>
      </c>
      <c r="C1686" t="s">
        <v>2016</v>
      </c>
      <c r="D1686" t="s">
        <v>2025</v>
      </c>
      <c r="E1686" s="8">
        <v>3426</v>
      </c>
      <c r="F1686">
        <v>9</v>
      </c>
      <c r="G1686">
        <v>15</v>
      </c>
      <c r="H1686" s="8">
        <v>26208.9</v>
      </c>
      <c r="I1686">
        <v>2510.06</v>
      </c>
      <c r="J1686">
        <v>3618.36</v>
      </c>
      <c r="K1686" s="5">
        <f>IF(SalesData[[#This Row],[Total Revenue]]=0,0,SalesData[[#This Row],[Profit]]/SalesData[[#This Row],[Total Revenue]])</f>
        <v>0.13805844579513066</v>
      </c>
      <c r="L1686" s="5" t="str">
        <f>TEXT(SalesData[[#This Row],[Date]],"mmm")</f>
        <v>Nov</v>
      </c>
      <c r="M1686">
        <f>YEAR(SalesData[[#This Row],[Date]])</f>
        <v>2023</v>
      </c>
      <c r="N1686">
        <f>WEEKNUM(SalesData[[#This Row],[Date]])</f>
        <v>46</v>
      </c>
      <c r="O1686" t="s">
        <v>2120</v>
      </c>
      <c r="P1686" t="s">
        <v>2523</v>
      </c>
      <c r="Q1686" t="s">
        <v>2525</v>
      </c>
    </row>
    <row r="1687" spans="1:17" x14ac:dyDescent="0.35">
      <c r="A1687" t="s">
        <v>81</v>
      </c>
      <c r="B1687" s="3">
        <v>44969</v>
      </c>
      <c r="C1687" t="s">
        <v>2017</v>
      </c>
      <c r="D1687" t="s">
        <v>2026</v>
      </c>
      <c r="E1687" s="8">
        <v>4412</v>
      </c>
      <c r="F1687">
        <v>7</v>
      </c>
      <c r="G1687">
        <v>15</v>
      </c>
      <c r="H1687" s="8">
        <v>26251.4</v>
      </c>
      <c r="I1687">
        <v>3433.08</v>
      </c>
      <c r="J1687">
        <v>2219.85</v>
      </c>
      <c r="K1687" s="5">
        <f>IF(SalesData[[#This Row],[Total Revenue]]=0,0,SalesData[[#This Row],[Profit]]/SalesData[[#This Row],[Total Revenue]])</f>
        <v>8.4561204354815359E-2</v>
      </c>
      <c r="L1687" s="5" t="str">
        <f>TEXT(SalesData[[#This Row],[Date]],"mmm")</f>
        <v>Feb</v>
      </c>
      <c r="M1687">
        <f>YEAR(SalesData[[#This Row],[Date]])</f>
        <v>2023</v>
      </c>
      <c r="N1687">
        <f>WEEKNUM(SalesData[[#This Row],[Date]])</f>
        <v>7</v>
      </c>
      <c r="O1687" t="s">
        <v>2089</v>
      </c>
      <c r="P1687" t="s">
        <v>2523</v>
      </c>
      <c r="Q1687" t="s">
        <v>2526</v>
      </c>
    </row>
    <row r="1688" spans="1:17" x14ac:dyDescent="0.35">
      <c r="A1688" t="s">
        <v>1856</v>
      </c>
      <c r="B1688" s="3">
        <v>45017</v>
      </c>
      <c r="C1688" t="s">
        <v>2015</v>
      </c>
      <c r="D1688" t="s">
        <v>2025</v>
      </c>
      <c r="E1688" s="8">
        <v>2919</v>
      </c>
      <c r="F1688">
        <v>9</v>
      </c>
      <c r="G1688">
        <v>0</v>
      </c>
      <c r="H1688" s="8">
        <v>26271</v>
      </c>
      <c r="I1688">
        <v>1784.6</v>
      </c>
      <c r="J1688">
        <v>10209.620000000001</v>
      </c>
      <c r="K1688" s="5">
        <f>IF(SalesData[[#This Row],[Total Revenue]]=0,0,SalesData[[#This Row],[Profit]]/SalesData[[#This Row],[Total Revenue]])</f>
        <v>0.38862700315937732</v>
      </c>
      <c r="L1688" s="5" t="str">
        <f>TEXT(SalesData[[#This Row],[Date]],"mmm")</f>
        <v>Apr</v>
      </c>
      <c r="M1688">
        <f>YEAR(SalesData[[#This Row],[Date]])</f>
        <v>2023</v>
      </c>
      <c r="N1688">
        <f>WEEKNUM(SalesData[[#This Row],[Date]])</f>
        <v>13</v>
      </c>
      <c r="O1688" t="s">
        <v>2321</v>
      </c>
      <c r="P1688" t="s">
        <v>2523</v>
      </c>
      <c r="Q1688" t="s">
        <v>2525</v>
      </c>
    </row>
    <row r="1689" spans="1:17" x14ac:dyDescent="0.35">
      <c r="A1689" t="s">
        <v>617</v>
      </c>
      <c r="B1689" s="3">
        <v>45054</v>
      </c>
      <c r="C1689" t="s">
        <v>2018</v>
      </c>
      <c r="D1689" t="s">
        <v>2026</v>
      </c>
      <c r="E1689" s="8">
        <v>2629</v>
      </c>
      <c r="F1689">
        <v>10</v>
      </c>
      <c r="G1689">
        <v>0</v>
      </c>
      <c r="H1689" s="8">
        <v>26290</v>
      </c>
      <c r="I1689">
        <v>1612.31</v>
      </c>
      <c r="J1689">
        <v>10166.870000000001</v>
      </c>
      <c r="K1689" s="5">
        <f>IF(SalesData[[#This Row],[Total Revenue]]=0,0,SalesData[[#This Row],[Profit]]/SalesData[[#This Row],[Total Revenue]])</f>
        <v>0.38672004564473189</v>
      </c>
      <c r="L1689" s="5" t="str">
        <f>TEXT(SalesData[[#This Row],[Date]],"mmm")</f>
        <v>May</v>
      </c>
      <c r="M1689">
        <f>YEAR(SalesData[[#This Row],[Date]])</f>
        <v>2023</v>
      </c>
      <c r="N1689">
        <f>WEEKNUM(SalesData[[#This Row],[Date]])</f>
        <v>19</v>
      </c>
      <c r="O1689" t="s">
        <v>2377</v>
      </c>
      <c r="P1689" t="s">
        <v>2523</v>
      </c>
      <c r="Q1689" t="s">
        <v>2525</v>
      </c>
    </row>
    <row r="1690" spans="1:17" x14ac:dyDescent="0.35">
      <c r="A1690" t="s">
        <v>944</v>
      </c>
      <c r="B1690" s="3">
        <v>45240</v>
      </c>
      <c r="C1690" t="s">
        <v>2014</v>
      </c>
      <c r="D1690" t="s">
        <v>2024</v>
      </c>
      <c r="E1690" s="8">
        <v>4423</v>
      </c>
      <c r="F1690">
        <v>7</v>
      </c>
      <c r="G1690">
        <v>15</v>
      </c>
      <c r="H1690" s="8">
        <v>26316.85</v>
      </c>
      <c r="I1690">
        <v>2998.01</v>
      </c>
      <c r="J1690">
        <v>5330.77</v>
      </c>
      <c r="K1690" s="5">
        <f>IF(SalesData[[#This Row],[Total Revenue]]=0,0,SalesData[[#This Row],[Profit]]/SalesData[[#This Row],[Total Revenue]])</f>
        <v>0.20256109678779949</v>
      </c>
      <c r="L1690" s="5" t="str">
        <f>TEXT(SalesData[[#This Row],[Date]],"mmm")</f>
        <v>Nov</v>
      </c>
      <c r="M1690">
        <f>YEAR(SalesData[[#This Row],[Date]])</f>
        <v>2023</v>
      </c>
      <c r="N1690">
        <f>WEEKNUM(SalesData[[#This Row],[Date]])</f>
        <v>45</v>
      </c>
      <c r="O1690" t="s">
        <v>2335</v>
      </c>
      <c r="P1690" t="s">
        <v>2523</v>
      </c>
      <c r="Q1690" t="s">
        <v>2527</v>
      </c>
    </row>
    <row r="1691" spans="1:17" x14ac:dyDescent="0.35">
      <c r="A1691" t="s">
        <v>1190</v>
      </c>
      <c r="B1691" s="3">
        <v>44931</v>
      </c>
      <c r="C1691" t="s">
        <v>2020</v>
      </c>
      <c r="D1691" t="s">
        <v>2028</v>
      </c>
      <c r="E1691" s="8">
        <v>4621</v>
      </c>
      <c r="F1691">
        <v>6</v>
      </c>
      <c r="G1691">
        <v>5</v>
      </c>
      <c r="H1691" s="8">
        <v>26339.7</v>
      </c>
      <c r="I1691">
        <v>3395.94</v>
      </c>
      <c r="J1691">
        <v>5964.03</v>
      </c>
      <c r="K1691" s="5">
        <f>IF(SalesData[[#This Row],[Total Revenue]]=0,0,SalesData[[#This Row],[Profit]]/SalesData[[#This Row],[Total Revenue]])</f>
        <v>0.22642740805703937</v>
      </c>
      <c r="L1691" s="5" t="str">
        <f>TEXT(SalesData[[#This Row],[Date]],"mmm")</f>
        <v>Jan</v>
      </c>
      <c r="M1691">
        <f>YEAR(SalesData[[#This Row],[Date]])</f>
        <v>2023</v>
      </c>
      <c r="N1691">
        <f>WEEKNUM(SalesData[[#This Row],[Date]])</f>
        <v>1</v>
      </c>
      <c r="O1691" t="s">
        <v>2218</v>
      </c>
      <c r="P1691" t="s">
        <v>2523</v>
      </c>
      <c r="Q1691" t="s">
        <v>2526</v>
      </c>
    </row>
    <row r="1692" spans="1:17" x14ac:dyDescent="0.35">
      <c r="A1692" t="s">
        <v>639</v>
      </c>
      <c r="B1692" s="3">
        <v>45108</v>
      </c>
      <c r="C1692" t="s">
        <v>2015</v>
      </c>
      <c r="D1692" t="s">
        <v>2025</v>
      </c>
      <c r="E1692" s="8">
        <v>4624</v>
      </c>
      <c r="F1692">
        <v>6</v>
      </c>
      <c r="G1692">
        <v>5</v>
      </c>
      <c r="H1692" s="8">
        <v>26356.799999999999</v>
      </c>
      <c r="I1692">
        <v>2768.07</v>
      </c>
      <c r="J1692">
        <v>9748.4</v>
      </c>
      <c r="K1692" s="5">
        <f>IF(SalesData[[#This Row],[Total Revenue]]=0,0,SalesData[[#This Row],[Profit]]/SalesData[[#This Row],[Total Revenue]])</f>
        <v>0.36986280580343595</v>
      </c>
      <c r="L1692" s="5" t="str">
        <f>TEXT(SalesData[[#This Row],[Date]],"mmm")</f>
        <v>Jul</v>
      </c>
      <c r="M1692">
        <f>YEAR(SalesData[[#This Row],[Date]])</f>
        <v>2023</v>
      </c>
      <c r="N1692">
        <f>WEEKNUM(SalesData[[#This Row],[Date]])</f>
        <v>26</v>
      </c>
      <c r="O1692" t="s">
        <v>2387</v>
      </c>
      <c r="P1692" t="s">
        <v>2523</v>
      </c>
      <c r="Q1692" t="s">
        <v>2526</v>
      </c>
    </row>
    <row r="1693" spans="1:17" x14ac:dyDescent="0.35">
      <c r="A1693" t="s">
        <v>1505</v>
      </c>
      <c r="B1693" s="3">
        <v>45163</v>
      </c>
      <c r="C1693" t="s">
        <v>2014</v>
      </c>
      <c r="D1693" t="s">
        <v>2024</v>
      </c>
      <c r="E1693" s="8">
        <v>3083</v>
      </c>
      <c r="F1693">
        <v>9</v>
      </c>
      <c r="G1693">
        <v>5</v>
      </c>
      <c r="H1693" s="8">
        <v>26359.65</v>
      </c>
      <c r="I1693">
        <v>1957.76</v>
      </c>
      <c r="J1693">
        <v>8739.7800000000007</v>
      </c>
      <c r="K1693" s="5">
        <f>IF(SalesData[[#This Row],[Total Revenue]]=0,0,SalesData[[#This Row],[Profit]]/SalesData[[#This Row],[Total Revenue]])</f>
        <v>0.3315590305637594</v>
      </c>
      <c r="L1693" s="5" t="str">
        <f>TEXT(SalesData[[#This Row],[Date]],"mmm")</f>
        <v>Aug</v>
      </c>
      <c r="M1693">
        <f>YEAR(SalesData[[#This Row],[Date]])</f>
        <v>2023</v>
      </c>
      <c r="N1693">
        <f>WEEKNUM(SalesData[[#This Row],[Date]])</f>
        <v>34</v>
      </c>
      <c r="O1693" t="s">
        <v>2219</v>
      </c>
      <c r="P1693" t="s">
        <v>2523</v>
      </c>
      <c r="Q1693" t="s">
        <v>2525</v>
      </c>
    </row>
    <row r="1694" spans="1:17" x14ac:dyDescent="0.35">
      <c r="A1694" t="s">
        <v>623</v>
      </c>
      <c r="B1694" s="3">
        <v>45033</v>
      </c>
      <c r="C1694" t="s">
        <v>2017</v>
      </c>
      <c r="D1694" t="s">
        <v>2026</v>
      </c>
      <c r="E1694" s="8">
        <v>4897</v>
      </c>
      <c r="F1694">
        <v>6</v>
      </c>
      <c r="G1694">
        <v>10</v>
      </c>
      <c r="H1694" s="8">
        <v>26443.8</v>
      </c>
      <c r="I1694">
        <v>3389.07</v>
      </c>
      <c r="J1694">
        <v>6109.41</v>
      </c>
      <c r="K1694" s="5">
        <f>IF(SalesData[[#This Row],[Total Revenue]]=0,0,SalesData[[#This Row],[Profit]]/SalesData[[#This Row],[Total Revenue]])</f>
        <v>0.23103373947768474</v>
      </c>
      <c r="L1694" s="5" t="str">
        <f>TEXT(SalesData[[#This Row],[Date]],"mmm")</f>
        <v>Apr</v>
      </c>
      <c r="M1694">
        <f>YEAR(SalesData[[#This Row],[Date]])</f>
        <v>2023</v>
      </c>
      <c r="N1694">
        <f>WEEKNUM(SalesData[[#This Row],[Date]])</f>
        <v>16</v>
      </c>
      <c r="O1694" t="s">
        <v>2380</v>
      </c>
      <c r="P1694" t="s">
        <v>2522</v>
      </c>
      <c r="Q1694" t="s">
        <v>2525</v>
      </c>
    </row>
    <row r="1695" spans="1:17" x14ac:dyDescent="0.35">
      <c r="A1695" t="s">
        <v>369</v>
      </c>
      <c r="B1695" s="3">
        <v>45258</v>
      </c>
      <c r="C1695" t="s">
        <v>2020</v>
      </c>
      <c r="D1695" t="s">
        <v>2028</v>
      </c>
      <c r="E1695" s="8">
        <v>3481</v>
      </c>
      <c r="F1695">
        <v>8</v>
      </c>
      <c r="G1695">
        <v>5</v>
      </c>
      <c r="H1695" s="8">
        <v>26455.599999999999</v>
      </c>
      <c r="I1695">
        <v>2520.36</v>
      </c>
      <c r="J1695">
        <v>6292.72</v>
      </c>
      <c r="K1695" s="5">
        <f>IF(SalesData[[#This Row],[Total Revenue]]=0,0,SalesData[[#This Row],[Profit]]/SalesData[[#This Row],[Total Revenue]])</f>
        <v>0.2378596592025885</v>
      </c>
      <c r="L1695" s="5" t="str">
        <f>TEXT(SalesData[[#This Row],[Date]],"mmm")</f>
        <v>Nov</v>
      </c>
      <c r="M1695">
        <f>YEAR(SalesData[[#This Row],[Date]])</f>
        <v>2023</v>
      </c>
      <c r="N1695">
        <f>WEEKNUM(SalesData[[#This Row],[Date]])</f>
        <v>48</v>
      </c>
      <c r="O1695" t="s">
        <v>2119</v>
      </c>
      <c r="P1695" t="s">
        <v>2522</v>
      </c>
      <c r="Q1695" t="s">
        <v>2526</v>
      </c>
    </row>
    <row r="1696" spans="1:17" x14ac:dyDescent="0.35">
      <c r="A1696" t="s">
        <v>1963</v>
      </c>
      <c r="B1696" s="3">
        <v>44969</v>
      </c>
      <c r="C1696" t="s">
        <v>2020</v>
      </c>
      <c r="D1696" t="s">
        <v>2028</v>
      </c>
      <c r="E1696" s="8">
        <v>3116</v>
      </c>
      <c r="F1696">
        <v>10</v>
      </c>
      <c r="G1696">
        <v>15</v>
      </c>
      <c r="H1696" s="8">
        <v>26486</v>
      </c>
      <c r="I1696">
        <v>1615.62</v>
      </c>
      <c r="J1696">
        <v>10329.790000000001</v>
      </c>
      <c r="K1696" s="5">
        <f>IF(SalesData[[#This Row],[Total Revenue]]=0,0,SalesData[[#This Row],[Profit]]/SalesData[[#This Row],[Total Revenue]])</f>
        <v>0.39000943894887868</v>
      </c>
      <c r="L1696" s="5" t="str">
        <f>TEXT(SalesData[[#This Row],[Date]],"mmm")</f>
        <v>Feb</v>
      </c>
      <c r="M1696">
        <f>YEAR(SalesData[[#This Row],[Date]])</f>
        <v>2023</v>
      </c>
      <c r="N1696">
        <f>WEEKNUM(SalesData[[#This Row],[Date]])</f>
        <v>7</v>
      </c>
      <c r="O1696" t="s">
        <v>2151</v>
      </c>
      <c r="P1696" t="s">
        <v>2522</v>
      </c>
      <c r="Q1696" t="s">
        <v>2526</v>
      </c>
    </row>
    <row r="1697" spans="1:17" x14ac:dyDescent="0.35">
      <c r="A1697" t="s">
        <v>717</v>
      </c>
      <c r="B1697" s="3">
        <v>45116</v>
      </c>
      <c r="C1697" t="s">
        <v>2017</v>
      </c>
      <c r="D1697" t="s">
        <v>2026</v>
      </c>
      <c r="E1697" s="8">
        <v>2944</v>
      </c>
      <c r="F1697">
        <v>10</v>
      </c>
      <c r="G1697">
        <v>10</v>
      </c>
      <c r="H1697" s="8">
        <v>26496</v>
      </c>
      <c r="I1697">
        <v>1585.8</v>
      </c>
      <c r="J1697">
        <v>10638</v>
      </c>
      <c r="K1697" s="5">
        <f>IF(SalesData[[#This Row],[Total Revenue]]=0,0,SalesData[[#This Row],[Profit]]/SalesData[[#This Row],[Total Revenue]])</f>
        <v>0.4014945652173913</v>
      </c>
      <c r="L1697" s="5" t="str">
        <f>TEXT(SalesData[[#This Row],[Date]],"mmm")</f>
        <v>Jul</v>
      </c>
      <c r="M1697">
        <f>YEAR(SalesData[[#This Row],[Date]])</f>
        <v>2023</v>
      </c>
      <c r="N1697">
        <f>WEEKNUM(SalesData[[#This Row],[Date]])</f>
        <v>28</v>
      </c>
      <c r="O1697" t="s">
        <v>2367</v>
      </c>
      <c r="P1697" t="s">
        <v>2523</v>
      </c>
      <c r="Q1697" t="s">
        <v>2525</v>
      </c>
    </row>
    <row r="1698" spans="1:17" x14ac:dyDescent="0.35">
      <c r="A1698" t="s">
        <v>491</v>
      </c>
      <c r="B1698" s="3">
        <v>45234</v>
      </c>
      <c r="C1698" t="s">
        <v>2013</v>
      </c>
      <c r="D1698" t="s">
        <v>2023</v>
      </c>
      <c r="E1698" s="8">
        <v>3317</v>
      </c>
      <c r="F1698">
        <v>8</v>
      </c>
      <c r="G1698">
        <v>0</v>
      </c>
      <c r="H1698" s="8">
        <v>26536</v>
      </c>
      <c r="I1698">
        <v>2319.2199999999998</v>
      </c>
      <c r="J1698">
        <v>7982.24</v>
      </c>
      <c r="K1698" s="5">
        <f>IF(SalesData[[#This Row],[Total Revenue]]=0,0,SalesData[[#This Row],[Profit]]/SalesData[[#This Row],[Total Revenue]])</f>
        <v>0.30080795899909557</v>
      </c>
      <c r="L1698" s="5" t="str">
        <f>TEXT(SalesData[[#This Row],[Date]],"mmm")</f>
        <v>Nov</v>
      </c>
      <c r="M1698">
        <f>YEAR(SalesData[[#This Row],[Date]])</f>
        <v>2023</v>
      </c>
      <c r="N1698">
        <f>WEEKNUM(SalesData[[#This Row],[Date]])</f>
        <v>44</v>
      </c>
      <c r="O1698" t="s">
        <v>2333</v>
      </c>
      <c r="P1698" t="s">
        <v>2523</v>
      </c>
      <c r="Q1698" t="s">
        <v>2524</v>
      </c>
    </row>
    <row r="1699" spans="1:17" x14ac:dyDescent="0.35">
      <c r="A1699" t="s">
        <v>575</v>
      </c>
      <c r="B1699" s="3">
        <v>45246</v>
      </c>
      <c r="C1699" t="s">
        <v>2020</v>
      </c>
      <c r="D1699" t="s">
        <v>2028</v>
      </c>
      <c r="E1699" s="8">
        <v>3321</v>
      </c>
      <c r="F1699">
        <v>8</v>
      </c>
      <c r="G1699">
        <v>0</v>
      </c>
      <c r="H1699" s="8">
        <v>26568</v>
      </c>
      <c r="I1699">
        <v>1873.2</v>
      </c>
      <c r="J1699">
        <v>11582.43</v>
      </c>
      <c r="K1699" s="5">
        <f>IF(SalesData[[#This Row],[Total Revenue]]=0,0,SalesData[[#This Row],[Profit]]/SalesData[[#This Row],[Total Revenue]])</f>
        <v>0.43595415537488708</v>
      </c>
      <c r="L1699" s="5" t="str">
        <f>TEXT(SalesData[[#This Row],[Date]],"mmm")</f>
        <v>Nov</v>
      </c>
      <c r="M1699">
        <f>YEAR(SalesData[[#This Row],[Date]])</f>
        <v>2023</v>
      </c>
      <c r="N1699">
        <f>WEEKNUM(SalesData[[#This Row],[Date]])</f>
        <v>46</v>
      </c>
      <c r="O1699" t="s">
        <v>2250</v>
      </c>
      <c r="P1699" t="s">
        <v>2523</v>
      </c>
      <c r="Q1699" t="s">
        <v>2527</v>
      </c>
    </row>
    <row r="1700" spans="1:17" x14ac:dyDescent="0.35">
      <c r="A1700" t="s">
        <v>647</v>
      </c>
      <c r="B1700" s="3">
        <v>45169</v>
      </c>
      <c r="C1700" t="s">
        <v>2020</v>
      </c>
      <c r="D1700" t="s">
        <v>2028</v>
      </c>
      <c r="E1700" s="8">
        <v>3132</v>
      </c>
      <c r="F1700">
        <v>10</v>
      </c>
      <c r="G1700">
        <v>15</v>
      </c>
      <c r="H1700" s="8">
        <v>26622</v>
      </c>
      <c r="I1700">
        <v>1910.65</v>
      </c>
      <c r="J1700">
        <v>7515.51</v>
      </c>
      <c r="K1700" s="5">
        <f>IF(SalesData[[#This Row],[Total Revenue]]=0,0,SalesData[[#This Row],[Profit]]/SalesData[[#This Row],[Total Revenue]])</f>
        <v>0.28230448501239574</v>
      </c>
      <c r="L1700" s="5" t="str">
        <f>TEXT(SalesData[[#This Row],[Date]],"mmm")</f>
        <v>Aug</v>
      </c>
      <c r="M1700">
        <f>YEAR(SalesData[[#This Row],[Date]])</f>
        <v>2023</v>
      </c>
      <c r="N1700">
        <f>WEEKNUM(SalesData[[#This Row],[Date]])</f>
        <v>35</v>
      </c>
      <c r="O1700" t="s">
        <v>2292</v>
      </c>
      <c r="P1700" t="s">
        <v>2522</v>
      </c>
      <c r="Q1700" t="s">
        <v>2525</v>
      </c>
    </row>
    <row r="1701" spans="1:17" x14ac:dyDescent="0.35">
      <c r="A1701" t="s">
        <v>1539</v>
      </c>
      <c r="B1701" s="3">
        <v>45085</v>
      </c>
      <c r="C1701" t="s">
        <v>2015</v>
      </c>
      <c r="D1701" t="s">
        <v>2025</v>
      </c>
      <c r="E1701" s="8">
        <v>3132</v>
      </c>
      <c r="F1701">
        <v>10</v>
      </c>
      <c r="G1701">
        <v>15</v>
      </c>
      <c r="H1701" s="8">
        <v>26622</v>
      </c>
      <c r="I1701">
        <v>1879.77</v>
      </c>
      <c r="J1701">
        <v>7824.34</v>
      </c>
      <c r="K1701" s="5">
        <f>IF(SalesData[[#This Row],[Total Revenue]]=0,0,SalesData[[#This Row],[Profit]]/SalesData[[#This Row],[Total Revenue]])</f>
        <v>0.2939050409435805</v>
      </c>
      <c r="L1701" s="5" t="str">
        <f>TEXT(SalesData[[#This Row],[Date]],"mmm")</f>
        <v>Jun</v>
      </c>
      <c r="M1701">
        <f>YEAR(SalesData[[#This Row],[Date]])</f>
        <v>2023</v>
      </c>
      <c r="N1701">
        <f>WEEKNUM(SalesData[[#This Row],[Date]])</f>
        <v>23</v>
      </c>
      <c r="O1701" t="s">
        <v>2214</v>
      </c>
      <c r="P1701" t="s">
        <v>2523</v>
      </c>
      <c r="Q1701" t="s">
        <v>2527</v>
      </c>
    </row>
    <row r="1702" spans="1:17" x14ac:dyDescent="0.35">
      <c r="A1702" t="s">
        <v>687</v>
      </c>
      <c r="B1702" s="3">
        <v>44985</v>
      </c>
      <c r="C1702" t="s">
        <v>2021</v>
      </c>
      <c r="D1702" t="s">
        <v>2028</v>
      </c>
      <c r="E1702" s="8">
        <v>2809</v>
      </c>
      <c r="F1702">
        <v>10</v>
      </c>
      <c r="G1702">
        <v>5</v>
      </c>
      <c r="H1702" s="8">
        <v>26685.5</v>
      </c>
      <c r="I1702">
        <v>1922.93</v>
      </c>
      <c r="J1702">
        <v>7456.25</v>
      </c>
      <c r="K1702" s="5">
        <f>IF(SalesData[[#This Row],[Total Revenue]]=0,0,SalesData[[#This Row],[Profit]]/SalesData[[#This Row],[Total Revenue]])</f>
        <v>0.27941204024657584</v>
      </c>
      <c r="L1702" s="5" t="str">
        <f>TEXT(SalesData[[#This Row],[Date]],"mmm")</f>
        <v>Feb</v>
      </c>
      <c r="M1702">
        <f>YEAR(SalesData[[#This Row],[Date]])</f>
        <v>2023</v>
      </c>
      <c r="N1702">
        <f>WEEKNUM(SalesData[[#This Row],[Date]])</f>
        <v>9</v>
      </c>
      <c r="O1702" t="s">
        <v>2035</v>
      </c>
      <c r="P1702" t="s">
        <v>2523</v>
      </c>
      <c r="Q1702" t="s">
        <v>2527</v>
      </c>
    </row>
    <row r="1703" spans="1:17" x14ac:dyDescent="0.35">
      <c r="A1703" t="s">
        <v>1172</v>
      </c>
      <c r="B1703" s="3">
        <v>44982</v>
      </c>
      <c r="C1703" t="s">
        <v>2019</v>
      </c>
      <c r="D1703" t="s">
        <v>2027</v>
      </c>
      <c r="E1703" s="8">
        <v>4486</v>
      </c>
      <c r="F1703">
        <v>7</v>
      </c>
      <c r="G1703">
        <v>15</v>
      </c>
      <c r="H1703" s="8">
        <v>26691.7</v>
      </c>
      <c r="I1703">
        <v>2505.94</v>
      </c>
      <c r="J1703">
        <v>9150.1299999999992</v>
      </c>
      <c r="K1703" s="5">
        <f>IF(SalesData[[#This Row],[Total Revenue]]=0,0,SalesData[[#This Row],[Profit]]/SalesData[[#This Row],[Total Revenue]])</f>
        <v>0.3428080639299857</v>
      </c>
      <c r="L1703" s="5" t="str">
        <f>TEXT(SalesData[[#This Row],[Date]],"mmm")</f>
        <v>Feb</v>
      </c>
      <c r="M1703">
        <f>YEAR(SalesData[[#This Row],[Date]])</f>
        <v>2023</v>
      </c>
      <c r="N1703">
        <f>WEEKNUM(SalesData[[#This Row],[Date]])</f>
        <v>8</v>
      </c>
      <c r="O1703" t="s">
        <v>2216</v>
      </c>
      <c r="P1703" t="s">
        <v>2522</v>
      </c>
      <c r="Q1703" t="s">
        <v>2524</v>
      </c>
    </row>
    <row r="1704" spans="1:17" x14ac:dyDescent="0.35">
      <c r="A1704" t="s">
        <v>1554</v>
      </c>
      <c r="B1704" s="3">
        <v>45253</v>
      </c>
      <c r="C1704" t="s">
        <v>2015</v>
      </c>
      <c r="D1704" t="s">
        <v>2025</v>
      </c>
      <c r="E1704" s="8">
        <v>3298</v>
      </c>
      <c r="F1704">
        <v>9</v>
      </c>
      <c r="G1704">
        <v>10</v>
      </c>
      <c r="H1704" s="8">
        <v>26713.8</v>
      </c>
      <c r="I1704">
        <v>1776.46</v>
      </c>
      <c r="J1704">
        <v>10725.64</v>
      </c>
      <c r="K1704" s="5">
        <f>IF(SalesData[[#This Row],[Total Revenue]]=0,0,SalesData[[#This Row],[Profit]]/SalesData[[#This Row],[Total Revenue]])</f>
        <v>0.40150184548809975</v>
      </c>
      <c r="L1704" s="5" t="str">
        <f>TEXT(SalesData[[#This Row],[Date]],"mmm")</f>
        <v>Nov</v>
      </c>
      <c r="M1704">
        <f>YEAR(SalesData[[#This Row],[Date]])</f>
        <v>2023</v>
      </c>
      <c r="N1704">
        <f>WEEKNUM(SalesData[[#This Row],[Date]])</f>
        <v>47</v>
      </c>
      <c r="O1704" t="s">
        <v>2147</v>
      </c>
      <c r="P1704" t="s">
        <v>2523</v>
      </c>
      <c r="Q1704" t="s">
        <v>2525</v>
      </c>
    </row>
    <row r="1705" spans="1:17" x14ac:dyDescent="0.35">
      <c r="A1705" t="s">
        <v>1581</v>
      </c>
      <c r="B1705" s="3">
        <v>45189</v>
      </c>
      <c r="C1705" t="s">
        <v>2018</v>
      </c>
      <c r="D1705" t="s">
        <v>2026</v>
      </c>
      <c r="E1705" s="8">
        <v>4459</v>
      </c>
      <c r="F1705">
        <v>6</v>
      </c>
      <c r="G1705">
        <v>0</v>
      </c>
      <c r="H1705" s="8">
        <v>26754</v>
      </c>
      <c r="I1705">
        <v>2793.26</v>
      </c>
      <c r="J1705">
        <v>9994.44</v>
      </c>
      <c r="K1705" s="5">
        <f>IF(SalesData[[#This Row],[Total Revenue]]=0,0,SalesData[[#This Row],[Profit]]/SalesData[[#This Row],[Total Revenue]])</f>
        <v>0.37356806458847275</v>
      </c>
      <c r="L1705" s="5" t="str">
        <f>TEXT(SalesData[[#This Row],[Date]],"mmm")</f>
        <v>Sep</v>
      </c>
      <c r="M1705">
        <f>YEAR(SalesData[[#This Row],[Date]])</f>
        <v>2023</v>
      </c>
      <c r="N1705">
        <f>WEEKNUM(SalesData[[#This Row],[Date]])</f>
        <v>38</v>
      </c>
      <c r="O1705" t="s">
        <v>2193</v>
      </c>
      <c r="P1705" t="s">
        <v>2522</v>
      </c>
      <c r="Q1705" t="s">
        <v>2526</v>
      </c>
    </row>
    <row r="1706" spans="1:17" x14ac:dyDescent="0.35">
      <c r="A1706" t="s">
        <v>979</v>
      </c>
      <c r="B1706" s="3">
        <v>45059</v>
      </c>
      <c r="C1706" t="s">
        <v>2014</v>
      </c>
      <c r="D1706" t="s">
        <v>2024</v>
      </c>
      <c r="E1706" s="8">
        <v>3148</v>
      </c>
      <c r="F1706">
        <v>10</v>
      </c>
      <c r="G1706">
        <v>15</v>
      </c>
      <c r="H1706" s="8">
        <v>26758</v>
      </c>
      <c r="I1706">
        <v>1986.81</v>
      </c>
      <c r="J1706">
        <v>6889.9</v>
      </c>
      <c r="K1706" s="5">
        <f>IF(SalesData[[#This Row],[Total Revenue]]=0,0,SalesData[[#This Row],[Profit]]/SalesData[[#This Row],[Total Revenue]])</f>
        <v>0.25748934897974435</v>
      </c>
      <c r="L1706" s="5" t="str">
        <f>TEXT(SalesData[[#This Row],[Date]],"mmm")</f>
        <v>May</v>
      </c>
      <c r="M1706">
        <f>YEAR(SalesData[[#This Row],[Date]])</f>
        <v>2023</v>
      </c>
      <c r="N1706">
        <f>WEEKNUM(SalesData[[#This Row],[Date]])</f>
        <v>19</v>
      </c>
      <c r="O1706" t="s">
        <v>2273</v>
      </c>
      <c r="P1706" t="s">
        <v>2522</v>
      </c>
      <c r="Q1706" t="s">
        <v>2524</v>
      </c>
    </row>
    <row r="1707" spans="1:17" x14ac:dyDescent="0.35">
      <c r="A1707" t="s">
        <v>831</v>
      </c>
      <c r="B1707" s="3">
        <v>44985</v>
      </c>
      <c r="C1707" t="s">
        <v>2022</v>
      </c>
      <c r="D1707" t="s">
        <v>2024</v>
      </c>
      <c r="E1707" s="8">
        <v>3936</v>
      </c>
      <c r="F1707">
        <v>8</v>
      </c>
      <c r="G1707">
        <v>15</v>
      </c>
      <c r="H1707" s="8">
        <v>26764.799999999999</v>
      </c>
      <c r="I1707">
        <v>2068.85</v>
      </c>
      <c r="J1707">
        <v>10214</v>
      </c>
      <c r="K1707" s="5">
        <f>IF(SalesData[[#This Row],[Total Revenue]]=0,0,SalesData[[#This Row],[Profit]]/SalesData[[#This Row],[Total Revenue]])</f>
        <v>0.3816206360593018</v>
      </c>
      <c r="L1707" s="5" t="str">
        <f>TEXT(SalesData[[#This Row],[Date]],"mmm")</f>
        <v>Feb</v>
      </c>
      <c r="M1707">
        <f>YEAR(SalesData[[#This Row],[Date]])</f>
        <v>2023</v>
      </c>
      <c r="N1707">
        <f>WEEKNUM(SalesData[[#This Row],[Date]])</f>
        <v>9</v>
      </c>
      <c r="O1707" t="s">
        <v>2337</v>
      </c>
      <c r="P1707" t="s">
        <v>2522</v>
      </c>
      <c r="Q1707" t="s">
        <v>2526</v>
      </c>
    </row>
    <row r="1708" spans="1:17" x14ac:dyDescent="0.35">
      <c r="A1708" t="s">
        <v>1940</v>
      </c>
      <c r="B1708" s="3">
        <v>45161</v>
      </c>
      <c r="C1708" t="s">
        <v>2015</v>
      </c>
      <c r="D1708" t="s">
        <v>2025</v>
      </c>
      <c r="E1708" s="8">
        <v>3307</v>
      </c>
      <c r="F1708">
        <v>9</v>
      </c>
      <c r="G1708">
        <v>10</v>
      </c>
      <c r="H1708" s="8">
        <v>26786.7</v>
      </c>
      <c r="I1708">
        <v>2183.6799999999998</v>
      </c>
      <c r="J1708">
        <v>7133.58</v>
      </c>
      <c r="K1708" s="5">
        <f>IF(SalesData[[#This Row],[Total Revenue]]=0,0,SalesData[[#This Row],[Profit]]/SalesData[[#This Row],[Total Revenue]])</f>
        <v>0.26631051977287235</v>
      </c>
      <c r="L1708" s="5" t="str">
        <f>TEXT(SalesData[[#This Row],[Date]],"mmm")</f>
        <v>Aug</v>
      </c>
      <c r="M1708">
        <f>YEAR(SalesData[[#This Row],[Date]])</f>
        <v>2023</v>
      </c>
      <c r="N1708">
        <f>WEEKNUM(SalesData[[#This Row],[Date]])</f>
        <v>34</v>
      </c>
      <c r="O1708" t="s">
        <v>2217</v>
      </c>
      <c r="P1708" t="s">
        <v>2522</v>
      </c>
      <c r="Q1708" t="s">
        <v>2526</v>
      </c>
    </row>
    <row r="1709" spans="1:17" x14ac:dyDescent="0.35">
      <c r="A1709" t="s">
        <v>715</v>
      </c>
      <c r="B1709" s="3">
        <v>44952</v>
      </c>
      <c r="C1709" t="s">
        <v>2014</v>
      </c>
      <c r="D1709" t="s">
        <v>2024</v>
      </c>
      <c r="E1709" s="8">
        <v>3353</v>
      </c>
      <c r="F1709">
        <v>8</v>
      </c>
      <c r="G1709">
        <v>0</v>
      </c>
      <c r="H1709" s="8">
        <v>26824</v>
      </c>
      <c r="I1709">
        <v>2020.71</v>
      </c>
      <c r="J1709">
        <v>10658.29</v>
      </c>
      <c r="K1709" s="5">
        <f>IF(SalesData[[#This Row],[Total Revenue]]=0,0,SalesData[[#This Row],[Profit]]/SalesData[[#This Row],[Total Revenue]])</f>
        <v>0.3973415597971966</v>
      </c>
      <c r="L1709" s="5" t="str">
        <f>TEXT(SalesData[[#This Row],[Date]],"mmm")</f>
        <v>Jan</v>
      </c>
      <c r="M1709">
        <f>YEAR(SalesData[[#This Row],[Date]])</f>
        <v>2023</v>
      </c>
      <c r="N1709">
        <f>WEEKNUM(SalesData[[#This Row],[Date]])</f>
        <v>4</v>
      </c>
      <c r="O1709" t="s">
        <v>2328</v>
      </c>
      <c r="P1709" t="s">
        <v>2523</v>
      </c>
      <c r="Q1709" t="s">
        <v>2525</v>
      </c>
    </row>
    <row r="1710" spans="1:17" x14ac:dyDescent="0.35">
      <c r="A1710" t="s">
        <v>1691</v>
      </c>
      <c r="B1710" s="3">
        <v>45234</v>
      </c>
      <c r="C1710" t="s">
        <v>2020</v>
      </c>
      <c r="D1710" t="s">
        <v>2028</v>
      </c>
      <c r="E1710" s="8">
        <v>3729</v>
      </c>
      <c r="F1710">
        <v>8</v>
      </c>
      <c r="G1710">
        <v>10</v>
      </c>
      <c r="H1710" s="8">
        <v>26848.799999999999</v>
      </c>
      <c r="I1710">
        <v>2082.65</v>
      </c>
      <c r="J1710">
        <v>10187.58</v>
      </c>
      <c r="K1710" s="5">
        <f>IF(SalesData[[#This Row],[Total Revenue]]=0,0,SalesData[[#This Row],[Profit]]/SalesData[[#This Row],[Total Revenue]])</f>
        <v>0.37944265665504606</v>
      </c>
      <c r="L1710" s="5" t="str">
        <f>TEXT(SalesData[[#This Row],[Date]],"mmm")</f>
        <v>Nov</v>
      </c>
      <c r="M1710">
        <f>YEAR(SalesData[[#This Row],[Date]])</f>
        <v>2023</v>
      </c>
      <c r="N1710">
        <f>WEEKNUM(SalesData[[#This Row],[Date]])</f>
        <v>44</v>
      </c>
      <c r="O1710" t="s">
        <v>2226</v>
      </c>
      <c r="P1710" t="s">
        <v>2522</v>
      </c>
      <c r="Q1710" t="s">
        <v>2526</v>
      </c>
    </row>
    <row r="1711" spans="1:17" x14ac:dyDescent="0.35">
      <c r="A1711" t="s">
        <v>1401</v>
      </c>
      <c r="B1711" s="3">
        <v>45112</v>
      </c>
      <c r="C1711" t="s">
        <v>2016</v>
      </c>
      <c r="D1711" t="s">
        <v>2025</v>
      </c>
      <c r="E1711" s="8">
        <v>4718</v>
      </c>
      <c r="F1711">
        <v>6</v>
      </c>
      <c r="G1711">
        <v>5</v>
      </c>
      <c r="H1711" s="8">
        <v>26892.6</v>
      </c>
      <c r="I1711">
        <v>2695.3</v>
      </c>
      <c r="J1711">
        <v>10720.77</v>
      </c>
      <c r="K1711" s="5">
        <f>IF(SalesData[[#This Row],[Total Revenue]]=0,0,SalesData[[#This Row],[Profit]]/SalesData[[#This Row],[Total Revenue]])</f>
        <v>0.39865130184511727</v>
      </c>
      <c r="L1711" s="5" t="str">
        <f>TEXT(SalesData[[#This Row],[Date]],"mmm")</f>
        <v>Jul</v>
      </c>
      <c r="M1711">
        <f>YEAR(SalesData[[#This Row],[Date]])</f>
        <v>2023</v>
      </c>
      <c r="N1711">
        <f>WEEKNUM(SalesData[[#This Row],[Date]])</f>
        <v>27</v>
      </c>
      <c r="O1711" t="s">
        <v>2140</v>
      </c>
      <c r="P1711" t="s">
        <v>2523</v>
      </c>
      <c r="Q1711" t="s">
        <v>2527</v>
      </c>
    </row>
    <row r="1712" spans="1:17" x14ac:dyDescent="0.35">
      <c r="A1712" t="s">
        <v>270</v>
      </c>
      <c r="B1712" s="3">
        <v>44971</v>
      </c>
      <c r="C1712" t="s">
        <v>2018</v>
      </c>
      <c r="D1712" t="s">
        <v>2026</v>
      </c>
      <c r="E1712" s="8">
        <v>3955</v>
      </c>
      <c r="F1712">
        <v>8</v>
      </c>
      <c r="G1712">
        <v>15</v>
      </c>
      <c r="H1712" s="8">
        <v>26894</v>
      </c>
      <c r="I1712">
        <v>2940.48</v>
      </c>
      <c r="J1712">
        <v>3370.14</v>
      </c>
      <c r="K1712" s="5">
        <f>IF(SalesData[[#This Row],[Total Revenue]]=0,0,SalesData[[#This Row],[Profit]]/SalesData[[#This Row],[Total Revenue]])</f>
        <v>0.12531196549416226</v>
      </c>
      <c r="L1712" s="5" t="str">
        <f>TEXT(SalesData[[#This Row],[Date]],"mmm")</f>
        <v>Feb</v>
      </c>
      <c r="M1712">
        <f>YEAR(SalesData[[#This Row],[Date]])</f>
        <v>2023</v>
      </c>
      <c r="N1712">
        <f>WEEKNUM(SalesData[[#This Row],[Date]])</f>
        <v>7</v>
      </c>
      <c r="O1712" t="s">
        <v>2230</v>
      </c>
      <c r="P1712" t="s">
        <v>2522</v>
      </c>
      <c r="Q1712" t="s">
        <v>2527</v>
      </c>
    </row>
    <row r="1713" spans="1:17" x14ac:dyDescent="0.35">
      <c r="A1713" t="s">
        <v>240</v>
      </c>
      <c r="B1713" s="3">
        <v>44935</v>
      </c>
      <c r="C1713" t="s">
        <v>2015</v>
      </c>
      <c r="D1713" t="s">
        <v>2025</v>
      </c>
      <c r="E1713" s="8">
        <v>3539</v>
      </c>
      <c r="F1713">
        <v>8</v>
      </c>
      <c r="G1713">
        <v>5</v>
      </c>
      <c r="H1713" s="8">
        <v>26896.400000000001</v>
      </c>
      <c r="I1713">
        <v>2591.64</v>
      </c>
      <c r="J1713">
        <v>6163.25</v>
      </c>
      <c r="K1713" s="5">
        <f>IF(SalesData[[#This Row],[Total Revenue]]=0,0,SalesData[[#This Row],[Profit]]/SalesData[[#This Row],[Total Revenue]])</f>
        <v>0.2291477669874035</v>
      </c>
      <c r="L1713" s="5" t="str">
        <f>TEXT(SalesData[[#This Row],[Date]],"mmm")</f>
        <v>Jan</v>
      </c>
      <c r="M1713">
        <f>YEAR(SalesData[[#This Row],[Date]])</f>
        <v>2023</v>
      </c>
      <c r="N1713">
        <f>WEEKNUM(SalesData[[#This Row],[Date]])</f>
        <v>2</v>
      </c>
      <c r="O1713" t="s">
        <v>2210</v>
      </c>
      <c r="P1713" t="s">
        <v>2523</v>
      </c>
      <c r="Q1713" t="s">
        <v>2524</v>
      </c>
    </row>
    <row r="1714" spans="1:17" x14ac:dyDescent="0.35">
      <c r="A1714" t="s">
        <v>1467</v>
      </c>
      <c r="B1714" s="3">
        <v>44939</v>
      </c>
      <c r="C1714" t="s">
        <v>2022</v>
      </c>
      <c r="D1714" t="s">
        <v>2024</v>
      </c>
      <c r="E1714" s="8">
        <v>3736</v>
      </c>
      <c r="F1714">
        <v>8</v>
      </c>
      <c r="G1714">
        <v>10</v>
      </c>
      <c r="H1714" s="8">
        <v>26899.200000000001</v>
      </c>
      <c r="I1714">
        <v>2429.54</v>
      </c>
      <c r="J1714">
        <v>7462.91</v>
      </c>
      <c r="K1714" s="5">
        <f>IF(SalesData[[#This Row],[Total Revenue]]=0,0,SalesData[[#This Row],[Profit]]/SalesData[[#This Row],[Total Revenue]])</f>
        <v>0.27743984951225314</v>
      </c>
      <c r="L1714" s="5" t="str">
        <f>TEXT(SalesData[[#This Row],[Date]],"mmm")</f>
        <v>Jan</v>
      </c>
      <c r="M1714">
        <f>YEAR(SalesData[[#This Row],[Date]])</f>
        <v>2023</v>
      </c>
      <c r="N1714">
        <f>WEEKNUM(SalesData[[#This Row],[Date]])</f>
        <v>2</v>
      </c>
      <c r="O1714" t="s">
        <v>2202</v>
      </c>
      <c r="P1714" t="s">
        <v>2522</v>
      </c>
      <c r="Q1714" t="s">
        <v>2526</v>
      </c>
    </row>
    <row r="1715" spans="1:17" x14ac:dyDescent="0.35">
      <c r="A1715" t="s">
        <v>907</v>
      </c>
      <c r="B1715" s="3">
        <v>45256</v>
      </c>
      <c r="C1715" t="s">
        <v>2022</v>
      </c>
      <c r="D1715" t="s">
        <v>2024</v>
      </c>
      <c r="E1715" s="8">
        <v>3745</v>
      </c>
      <c r="F1715">
        <v>8</v>
      </c>
      <c r="G1715">
        <v>10</v>
      </c>
      <c r="H1715" s="8">
        <v>26964</v>
      </c>
      <c r="I1715">
        <v>2434.87</v>
      </c>
      <c r="J1715">
        <v>7485.06</v>
      </c>
      <c r="K1715" s="5">
        <f>IF(SalesData[[#This Row],[Total Revenue]]=0,0,SalesData[[#This Row],[Profit]]/SalesData[[#This Row],[Total Revenue]])</f>
        <v>0.27759457053849579</v>
      </c>
      <c r="L1715" s="5" t="str">
        <f>TEXT(SalesData[[#This Row],[Date]],"mmm")</f>
        <v>Nov</v>
      </c>
      <c r="M1715">
        <f>YEAR(SalesData[[#This Row],[Date]])</f>
        <v>2023</v>
      </c>
      <c r="N1715">
        <f>WEEKNUM(SalesData[[#This Row],[Date]])</f>
        <v>48</v>
      </c>
      <c r="O1715" t="s">
        <v>2443</v>
      </c>
      <c r="P1715" t="s">
        <v>2523</v>
      </c>
      <c r="Q1715" t="s">
        <v>2524</v>
      </c>
    </row>
    <row r="1716" spans="1:17" x14ac:dyDescent="0.35">
      <c r="A1716" t="s">
        <v>934</v>
      </c>
      <c r="B1716" s="3">
        <v>45067</v>
      </c>
      <c r="C1716" t="s">
        <v>2019</v>
      </c>
      <c r="D1716" t="s">
        <v>2027</v>
      </c>
      <c r="E1716" s="8">
        <v>3549</v>
      </c>
      <c r="F1716">
        <v>8</v>
      </c>
      <c r="G1716">
        <v>5</v>
      </c>
      <c r="H1716" s="8">
        <v>26972.400000000001</v>
      </c>
      <c r="I1716">
        <v>2678.71</v>
      </c>
      <c r="J1716">
        <v>5542.74</v>
      </c>
      <c r="K1716" s="5">
        <f>IF(SalesData[[#This Row],[Total Revenue]]=0,0,SalesData[[#This Row],[Profit]]/SalesData[[#This Row],[Total Revenue]])</f>
        <v>0.2054967299906571</v>
      </c>
      <c r="L1716" s="5" t="str">
        <f>TEXT(SalesData[[#This Row],[Date]],"mmm")</f>
        <v>May</v>
      </c>
      <c r="M1716">
        <f>YEAR(SalesData[[#This Row],[Date]])</f>
        <v>2023</v>
      </c>
      <c r="N1716">
        <f>WEEKNUM(SalesData[[#This Row],[Date]])</f>
        <v>21</v>
      </c>
      <c r="O1716" t="s">
        <v>2337</v>
      </c>
      <c r="P1716" t="s">
        <v>2522</v>
      </c>
      <c r="Q1716" t="s">
        <v>2524</v>
      </c>
    </row>
    <row r="1717" spans="1:17" x14ac:dyDescent="0.35">
      <c r="A1717" t="s">
        <v>1426</v>
      </c>
      <c r="B1717" s="3">
        <v>45210</v>
      </c>
      <c r="C1717" t="s">
        <v>2019</v>
      </c>
      <c r="D1717" t="s">
        <v>2027</v>
      </c>
      <c r="E1717" s="8">
        <v>4057</v>
      </c>
      <c r="F1717">
        <v>7</v>
      </c>
      <c r="G1717">
        <v>5</v>
      </c>
      <c r="H1717" s="8">
        <v>26979.05</v>
      </c>
      <c r="I1717">
        <v>2804.17</v>
      </c>
      <c r="J1717">
        <v>7349.87</v>
      </c>
      <c r="K1717" s="5">
        <f>IF(SalesData[[#This Row],[Total Revenue]]=0,0,SalesData[[#This Row],[Profit]]/SalesData[[#This Row],[Total Revenue]])</f>
        <v>0.27242879197006564</v>
      </c>
      <c r="L1717" s="5" t="str">
        <f>TEXT(SalesData[[#This Row],[Date]],"mmm")</f>
        <v>Oct</v>
      </c>
      <c r="M1717">
        <f>YEAR(SalesData[[#This Row],[Date]])</f>
        <v>2023</v>
      </c>
      <c r="N1717">
        <f>WEEKNUM(SalesData[[#This Row],[Date]])</f>
        <v>41</v>
      </c>
      <c r="O1717" t="s">
        <v>2349</v>
      </c>
      <c r="P1717" t="s">
        <v>2522</v>
      </c>
      <c r="Q1717" t="s">
        <v>2524</v>
      </c>
    </row>
    <row r="1718" spans="1:17" x14ac:dyDescent="0.35">
      <c r="A1718" t="s">
        <v>1425</v>
      </c>
      <c r="B1718" s="3">
        <v>45052</v>
      </c>
      <c r="C1718" t="s">
        <v>2017</v>
      </c>
      <c r="D1718" t="s">
        <v>2026</v>
      </c>
      <c r="E1718" s="8">
        <v>4498</v>
      </c>
      <c r="F1718">
        <v>6</v>
      </c>
      <c r="G1718">
        <v>0</v>
      </c>
      <c r="H1718" s="8">
        <v>26988</v>
      </c>
      <c r="I1718">
        <v>2473.16</v>
      </c>
      <c r="J1718">
        <v>12149.04</v>
      </c>
      <c r="K1718" s="5">
        <f>IF(SalesData[[#This Row],[Total Revenue]]=0,0,SalesData[[#This Row],[Profit]]/SalesData[[#This Row],[Total Revenue]])</f>
        <v>0.45016451756336151</v>
      </c>
      <c r="L1718" s="5" t="str">
        <f>TEXT(SalesData[[#This Row],[Date]],"mmm")</f>
        <v>May</v>
      </c>
      <c r="M1718">
        <f>YEAR(SalesData[[#This Row],[Date]])</f>
        <v>2023</v>
      </c>
      <c r="N1718">
        <f>WEEKNUM(SalesData[[#This Row],[Date]])</f>
        <v>18</v>
      </c>
      <c r="O1718" t="s">
        <v>2077</v>
      </c>
      <c r="P1718" t="s">
        <v>2523</v>
      </c>
      <c r="Q1718" t="s">
        <v>2524</v>
      </c>
    </row>
    <row r="1719" spans="1:17" x14ac:dyDescent="0.35">
      <c r="A1719" t="s">
        <v>506</v>
      </c>
      <c r="B1719" s="3">
        <v>45085</v>
      </c>
      <c r="C1719" t="s">
        <v>2020</v>
      </c>
      <c r="D1719" t="s">
        <v>2028</v>
      </c>
      <c r="E1719" s="8">
        <v>3172</v>
      </c>
      <c r="F1719">
        <v>9</v>
      </c>
      <c r="G1719">
        <v>5</v>
      </c>
      <c r="H1719" s="8">
        <v>27120.6</v>
      </c>
      <c r="I1719">
        <v>1806.72</v>
      </c>
      <c r="J1719">
        <v>10860.11</v>
      </c>
      <c r="K1719" s="5">
        <f>IF(SalesData[[#This Row],[Total Revenue]]=0,0,SalesData[[#This Row],[Profit]]/SalesData[[#This Row],[Total Revenue]])</f>
        <v>0.40043767468271357</v>
      </c>
      <c r="L1719" s="5" t="str">
        <f>TEXT(SalesData[[#This Row],[Date]],"mmm")</f>
        <v>Jun</v>
      </c>
      <c r="M1719">
        <f>YEAR(SalesData[[#This Row],[Date]])</f>
        <v>2023</v>
      </c>
      <c r="N1719">
        <f>WEEKNUM(SalesData[[#This Row],[Date]])</f>
        <v>23</v>
      </c>
      <c r="O1719" t="s">
        <v>2176</v>
      </c>
      <c r="P1719" t="s">
        <v>2522</v>
      </c>
      <c r="Q1719" t="s">
        <v>2526</v>
      </c>
    </row>
    <row r="1720" spans="1:17" x14ac:dyDescent="0.35">
      <c r="A1720" t="s">
        <v>1509</v>
      </c>
      <c r="B1720" s="3">
        <v>45199</v>
      </c>
      <c r="C1720" t="s">
        <v>2015</v>
      </c>
      <c r="D1720" t="s">
        <v>2025</v>
      </c>
      <c r="E1720" s="8">
        <v>3775</v>
      </c>
      <c r="F1720">
        <v>8</v>
      </c>
      <c r="G1720">
        <v>10</v>
      </c>
      <c r="H1720" s="8">
        <v>27180</v>
      </c>
      <c r="I1720">
        <v>2897.31</v>
      </c>
      <c r="J1720">
        <v>4001.55</v>
      </c>
      <c r="K1720" s="5">
        <f>IF(SalesData[[#This Row],[Total Revenue]]=0,0,SalesData[[#This Row],[Profit]]/SalesData[[#This Row],[Total Revenue]])</f>
        <v>0.14722406181015454</v>
      </c>
      <c r="L1720" s="5" t="str">
        <f>TEXT(SalesData[[#This Row],[Date]],"mmm")</f>
        <v>Sep</v>
      </c>
      <c r="M1720">
        <f>YEAR(SalesData[[#This Row],[Date]])</f>
        <v>2023</v>
      </c>
      <c r="N1720">
        <f>WEEKNUM(SalesData[[#This Row],[Date]])</f>
        <v>39</v>
      </c>
      <c r="O1720" t="s">
        <v>2341</v>
      </c>
      <c r="P1720" t="s">
        <v>2522</v>
      </c>
      <c r="Q1720" t="s">
        <v>2525</v>
      </c>
    </row>
    <row r="1721" spans="1:17" x14ac:dyDescent="0.35">
      <c r="A1721" t="s">
        <v>709</v>
      </c>
      <c r="B1721" s="3">
        <v>45096</v>
      </c>
      <c r="C1721" t="s">
        <v>2022</v>
      </c>
      <c r="D1721" t="s">
        <v>2024</v>
      </c>
      <c r="E1721" s="8">
        <v>3022</v>
      </c>
      <c r="F1721">
        <v>10</v>
      </c>
      <c r="G1721">
        <v>10</v>
      </c>
      <c r="H1721" s="8">
        <v>27198</v>
      </c>
      <c r="I1721">
        <v>1912.77</v>
      </c>
      <c r="J1721">
        <v>8070.29</v>
      </c>
      <c r="K1721" s="5">
        <f>IF(SalesData[[#This Row],[Total Revenue]]=0,0,SalesData[[#This Row],[Profit]]/SalesData[[#This Row],[Total Revenue]])</f>
        <v>0.29672365615118756</v>
      </c>
      <c r="L1721" s="5" t="str">
        <f>TEXT(SalesData[[#This Row],[Date]],"mmm")</f>
        <v>Jun</v>
      </c>
      <c r="M1721">
        <f>YEAR(SalesData[[#This Row],[Date]])</f>
        <v>2023</v>
      </c>
      <c r="N1721">
        <f>WEEKNUM(SalesData[[#This Row],[Date]])</f>
        <v>25</v>
      </c>
      <c r="O1721" t="s">
        <v>2345</v>
      </c>
      <c r="P1721" t="s">
        <v>2522</v>
      </c>
      <c r="Q1721" t="s">
        <v>2527</v>
      </c>
    </row>
    <row r="1722" spans="1:17" x14ac:dyDescent="0.35">
      <c r="A1722" t="s">
        <v>1628</v>
      </c>
      <c r="B1722" s="3">
        <v>45209</v>
      </c>
      <c r="C1722" t="s">
        <v>2016</v>
      </c>
      <c r="D1722" t="s">
        <v>2025</v>
      </c>
      <c r="E1722" s="8">
        <v>2866</v>
      </c>
      <c r="F1722">
        <v>10</v>
      </c>
      <c r="G1722">
        <v>5</v>
      </c>
      <c r="H1722" s="8">
        <v>27227</v>
      </c>
      <c r="I1722">
        <v>1435.34</v>
      </c>
      <c r="J1722">
        <v>12873.62</v>
      </c>
      <c r="K1722" s="5">
        <f>IF(SalesData[[#This Row],[Total Revenue]]=0,0,SalesData[[#This Row],[Profit]]/SalesData[[#This Row],[Total Revenue]])</f>
        <v>0.47282550409519963</v>
      </c>
      <c r="L1722" s="5" t="str">
        <f>TEXT(SalesData[[#This Row],[Date]],"mmm")</f>
        <v>Oct</v>
      </c>
      <c r="M1722">
        <f>YEAR(SalesData[[#This Row],[Date]])</f>
        <v>2023</v>
      </c>
      <c r="N1722">
        <f>WEEKNUM(SalesData[[#This Row],[Date]])</f>
        <v>41</v>
      </c>
      <c r="O1722" t="s">
        <v>2476</v>
      </c>
      <c r="P1722" t="s">
        <v>2522</v>
      </c>
      <c r="Q1722" t="s">
        <v>2525</v>
      </c>
    </row>
    <row r="1723" spans="1:17" x14ac:dyDescent="0.35">
      <c r="A1723" t="s">
        <v>1863</v>
      </c>
      <c r="B1723" s="3">
        <v>45149</v>
      </c>
      <c r="C1723" t="s">
        <v>2016</v>
      </c>
      <c r="D1723" t="s">
        <v>2025</v>
      </c>
      <c r="E1723" s="8">
        <v>2723</v>
      </c>
      <c r="F1723">
        <v>10</v>
      </c>
      <c r="G1723">
        <v>0</v>
      </c>
      <c r="H1723" s="8">
        <v>27230</v>
      </c>
      <c r="I1723">
        <v>1957.09</v>
      </c>
      <c r="J1723">
        <v>7659.06</v>
      </c>
      <c r="K1723" s="5">
        <f>IF(SalesData[[#This Row],[Total Revenue]]=0,0,SalesData[[#This Row],[Profit]]/SalesData[[#This Row],[Total Revenue]])</f>
        <v>0.2812728608152773</v>
      </c>
      <c r="L1723" s="5" t="str">
        <f>TEXT(SalesData[[#This Row],[Date]],"mmm")</f>
        <v>Aug</v>
      </c>
      <c r="M1723">
        <f>YEAR(SalesData[[#This Row],[Date]])</f>
        <v>2023</v>
      </c>
      <c r="N1723">
        <f>WEEKNUM(SalesData[[#This Row],[Date]])</f>
        <v>32</v>
      </c>
      <c r="O1723" t="s">
        <v>2123</v>
      </c>
      <c r="P1723" t="s">
        <v>2522</v>
      </c>
      <c r="Q1723" t="s">
        <v>2527</v>
      </c>
    </row>
    <row r="1724" spans="1:17" x14ac:dyDescent="0.35">
      <c r="A1724" t="s">
        <v>360</v>
      </c>
      <c r="B1724" s="3">
        <v>45028</v>
      </c>
      <c r="C1724" t="s">
        <v>2022</v>
      </c>
      <c r="D1724" t="s">
        <v>2024</v>
      </c>
      <c r="E1724" s="8">
        <v>3586</v>
      </c>
      <c r="F1724">
        <v>8</v>
      </c>
      <c r="G1724">
        <v>5</v>
      </c>
      <c r="H1724" s="8">
        <v>27253.599999999999</v>
      </c>
      <c r="I1724">
        <v>2013.72</v>
      </c>
      <c r="J1724">
        <v>11143.81</v>
      </c>
      <c r="K1724" s="5">
        <f>IF(SalesData[[#This Row],[Total Revenue]]=0,0,SalesData[[#This Row],[Profit]]/SalesData[[#This Row],[Total Revenue]])</f>
        <v>0.40889313705345348</v>
      </c>
      <c r="L1724" s="5" t="str">
        <f>TEXT(SalesData[[#This Row],[Date]],"mmm")</f>
        <v>Apr</v>
      </c>
      <c r="M1724">
        <f>YEAR(SalesData[[#This Row],[Date]])</f>
        <v>2023</v>
      </c>
      <c r="N1724">
        <f>WEEKNUM(SalesData[[#This Row],[Date]])</f>
        <v>15</v>
      </c>
      <c r="O1724" t="s">
        <v>2089</v>
      </c>
      <c r="P1724" t="s">
        <v>2523</v>
      </c>
      <c r="Q1724" t="s">
        <v>2524</v>
      </c>
    </row>
    <row r="1725" spans="1:17" x14ac:dyDescent="0.35">
      <c r="A1725" t="s">
        <v>1417</v>
      </c>
      <c r="B1725" s="3">
        <v>45267</v>
      </c>
      <c r="C1725" t="s">
        <v>2014</v>
      </c>
      <c r="D1725" t="s">
        <v>2024</v>
      </c>
      <c r="E1725" s="8">
        <v>3211</v>
      </c>
      <c r="F1725">
        <v>10</v>
      </c>
      <c r="G1725">
        <v>15</v>
      </c>
      <c r="H1725" s="8">
        <v>27293.5</v>
      </c>
      <c r="I1725">
        <v>1992.4</v>
      </c>
      <c r="J1725">
        <v>7369.52</v>
      </c>
      <c r="K1725" s="5">
        <f>IF(SalesData[[#This Row],[Total Revenue]]=0,0,SalesData[[#This Row],[Profit]]/SalesData[[#This Row],[Total Revenue]])</f>
        <v>0.27001007565903973</v>
      </c>
      <c r="L1725" s="5" t="str">
        <f>TEXT(SalesData[[#This Row],[Date]],"mmm")</f>
        <v>Dec</v>
      </c>
      <c r="M1725">
        <f>YEAR(SalesData[[#This Row],[Date]])</f>
        <v>2023</v>
      </c>
      <c r="N1725">
        <f>WEEKNUM(SalesData[[#This Row],[Date]])</f>
        <v>49</v>
      </c>
      <c r="O1725" t="s">
        <v>2071</v>
      </c>
      <c r="P1725" t="s">
        <v>2523</v>
      </c>
      <c r="Q1725" t="s">
        <v>2524</v>
      </c>
    </row>
    <row r="1726" spans="1:17" x14ac:dyDescent="0.35">
      <c r="A1726" t="s">
        <v>1118</v>
      </c>
      <c r="B1726" s="3">
        <v>44989</v>
      </c>
      <c r="C1726" t="s">
        <v>2016</v>
      </c>
      <c r="D1726" t="s">
        <v>2025</v>
      </c>
      <c r="E1726" s="8">
        <v>2880</v>
      </c>
      <c r="F1726">
        <v>10</v>
      </c>
      <c r="G1726">
        <v>5</v>
      </c>
      <c r="H1726" s="8">
        <v>27360</v>
      </c>
      <c r="I1726">
        <v>1849.33</v>
      </c>
      <c r="J1726">
        <v>8866.67</v>
      </c>
      <c r="K1726" s="5">
        <f>IF(SalesData[[#This Row],[Total Revenue]]=0,0,SalesData[[#This Row],[Profit]]/SalesData[[#This Row],[Total Revenue]])</f>
        <v>0.32407419590643277</v>
      </c>
      <c r="L1726" s="5" t="str">
        <f>TEXT(SalesData[[#This Row],[Date]],"mmm")</f>
        <v>Mar</v>
      </c>
      <c r="M1726">
        <f>YEAR(SalesData[[#This Row],[Date]])</f>
        <v>2023</v>
      </c>
      <c r="N1726">
        <f>WEEKNUM(SalesData[[#This Row],[Date]])</f>
        <v>9</v>
      </c>
      <c r="O1726" t="s">
        <v>2169</v>
      </c>
      <c r="P1726" t="s">
        <v>2523</v>
      </c>
      <c r="Q1726" t="s">
        <v>2524</v>
      </c>
    </row>
    <row r="1727" spans="1:17" x14ac:dyDescent="0.35">
      <c r="A1727" t="s">
        <v>651</v>
      </c>
      <c r="B1727" s="3">
        <v>45096</v>
      </c>
      <c r="C1727" t="s">
        <v>2020</v>
      </c>
      <c r="D1727" t="s">
        <v>2028</v>
      </c>
      <c r="E1727" s="8">
        <v>4804</v>
      </c>
      <c r="F1727">
        <v>6</v>
      </c>
      <c r="G1727">
        <v>5</v>
      </c>
      <c r="H1727" s="8">
        <v>27382.799999999999</v>
      </c>
      <c r="I1727">
        <v>2760.79</v>
      </c>
      <c r="J1727">
        <v>10818.08</v>
      </c>
      <c r="K1727" s="5">
        <f>IF(SalesData[[#This Row],[Total Revenue]]=0,0,SalesData[[#This Row],[Profit]]/SalesData[[#This Row],[Total Revenue]])</f>
        <v>0.3950684371211125</v>
      </c>
      <c r="L1727" s="5" t="str">
        <f>TEXT(SalesData[[#This Row],[Date]],"mmm")</f>
        <v>Jun</v>
      </c>
      <c r="M1727">
        <f>YEAR(SalesData[[#This Row],[Date]])</f>
        <v>2023</v>
      </c>
      <c r="N1727">
        <f>WEEKNUM(SalesData[[#This Row],[Date]])</f>
        <v>25</v>
      </c>
      <c r="O1727" t="s">
        <v>2375</v>
      </c>
      <c r="P1727" t="s">
        <v>2523</v>
      </c>
      <c r="Q1727" t="s">
        <v>2525</v>
      </c>
    </row>
    <row r="1728" spans="1:17" x14ac:dyDescent="0.35">
      <c r="A1728" t="s">
        <v>792</v>
      </c>
      <c r="B1728" s="3">
        <v>45134</v>
      </c>
      <c r="C1728" t="s">
        <v>2017</v>
      </c>
      <c r="D1728" t="s">
        <v>2026</v>
      </c>
      <c r="E1728" s="8">
        <v>3606</v>
      </c>
      <c r="F1728">
        <v>8</v>
      </c>
      <c r="G1728">
        <v>5</v>
      </c>
      <c r="H1728" s="8">
        <v>27405.599999999999</v>
      </c>
      <c r="I1728">
        <v>2393.6799999999998</v>
      </c>
      <c r="J1728">
        <v>8256.16</v>
      </c>
      <c r="K1728" s="5">
        <f>IF(SalesData[[#This Row],[Total Revenue]]=0,0,SalesData[[#This Row],[Profit]]/SalesData[[#This Row],[Total Revenue]])</f>
        <v>0.30125813702309018</v>
      </c>
      <c r="L1728" s="5" t="str">
        <f>TEXT(SalesData[[#This Row],[Date]],"mmm")</f>
        <v>Jul</v>
      </c>
      <c r="M1728">
        <f>YEAR(SalesData[[#This Row],[Date]])</f>
        <v>2023</v>
      </c>
      <c r="N1728">
        <f>WEEKNUM(SalesData[[#This Row],[Date]])</f>
        <v>30</v>
      </c>
      <c r="O1728" t="s">
        <v>2252</v>
      </c>
      <c r="P1728" t="s">
        <v>2522</v>
      </c>
      <c r="Q1728" t="s">
        <v>2527</v>
      </c>
    </row>
    <row r="1729" spans="1:17" x14ac:dyDescent="0.35">
      <c r="A1729" t="s">
        <v>1345</v>
      </c>
      <c r="B1729" s="3">
        <v>45283</v>
      </c>
      <c r="C1729" t="s">
        <v>2016</v>
      </c>
      <c r="D1729" t="s">
        <v>2025</v>
      </c>
      <c r="E1729" s="8">
        <v>4123</v>
      </c>
      <c r="F1729">
        <v>7</v>
      </c>
      <c r="G1729">
        <v>5</v>
      </c>
      <c r="H1729" s="8">
        <v>27417.95</v>
      </c>
      <c r="I1729">
        <v>2587.0500000000002</v>
      </c>
      <c r="J1729">
        <v>9308.57</v>
      </c>
      <c r="K1729" s="5">
        <f>IF(SalesData[[#This Row],[Total Revenue]]=0,0,SalesData[[#This Row],[Profit]]/SalesData[[#This Row],[Total Revenue]])</f>
        <v>0.33950641824060512</v>
      </c>
      <c r="L1729" s="5" t="str">
        <f>TEXT(SalesData[[#This Row],[Date]],"mmm")</f>
        <v>Dec</v>
      </c>
      <c r="M1729">
        <f>YEAR(SalesData[[#This Row],[Date]])</f>
        <v>2023</v>
      </c>
      <c r="N1729">
        <f>WEEKNUM(SalesData[[#This Row],[Date]])</f>
        <v>51</v>
      </c>
      <c r="O1729" t="s">
        <v>2479</v>
      </c>
      <c r="P1729" t="s">
        <v>2522</v>
      </c>
      <c r="Q1729" t="s">
        <v>2527</v>
      </c>
    </row>
    <row r="1730" spans="1:17" x14ac:dyDescent="0.35">
      <c r="A1730" t="s">
        <v>734</v>
      </c>
      <c r="B1730" s="3">
        <v>45270</v>
      </c>
      <c r="C1730" t="s">
        <v>2015</v>
      </c>
      <c r="D1730" t="s">
        <v>2025</v>
      </c>
      <c r="E1730" s="8">
        <v>3585</v>
      </c>
      <c r="F1730">
        <v>9</v>
      </c>
      <c r="G1730">
        <v>15</v>
      </c>
      <c r="H1730" s="8">
        <v>27425.25</v>
      </c>
      <c r="I1730">
        <v>1808.05</v>
      </c>
      <c r="J1730">
        <v>11152.8</v>
      </c>
      <c r="K1730" s="5">
        <f>IF(SalesData[[#This Row],[Total Revenue]]=0,0,SalesData[[#This Row],[Profit]]/SalesData[[#This Row],[Total Revenue]])</f>
        <v>0.40666174419558615</v>
      </c>
      <c r="L1730" s="5" t="str">
        <f>TEXT(SalesData[[#This Row],[Date]],"mmm")</f>
        <v>Dec</v>
      </c>
      <c r="M1730">
        <f>YEAR(SalesData[[#This Row],[Date]])</f>
        <v>2023</v>
      </c>
      <c r="N1730">
        <f>WEEKNUM(SalesData[[#This Row],[Date]])</f>
        <v>50</v>
      </c>
      <c r="O1730" t="s">
        <v>2382</v>
      </c>
      <c r="P1730" t="s">
        <v>2522</v>
      </c>
      <c r="Q1730" t="s">
        <v>2525</v>
      </c>
    </row>
    <row r="1731" spans="1:17" x14ac:dyDescent="0.35">
      <c r="A1731" t="s">
        <v>752</v>
      </c>
      <c r="B1731" s="3">
        <v>44999</v>
      </c>
      <c r="C1731" t="s">
        <v>2019</v>
      </c>
      <c r="D1731" t="s">
        <v>2027</v>
      </c>
      <c r="E1731" s="8">
        <v>3055</v>
      </c>
      <c r="F1731">
        <v>9</v>
      </c>
      <c r="G1731">
        <v>0</v>
      </c>
      <c r="H1731" s="8">
        <v>27495</v>
      </c>
      <c r="I1731">
        <v>2371.4899999999998</v>
      </c>
      <c r="J1731">
        <v>6151.59</v>
      </c>
      <c r="K1731" s="5">
        <f>IF(SalesData[[#This Row],[Total Revenue]]=0,0,SalesData[[#This Row],[Profit]]/SalesData[[#This Row],[Total Revenue]])</f>
        <v>0.22373486088379707</v>
      </c>
      <c r="L1731" s="5" t="str">
        <f>TEXT(SalesData[[#This Row],[Date]],"mmm")</f>
        <v>Mar</v>
      </c>
      <c r="M1731">
        <f>YEAR(SalesData[[#This Row],[Date]])</f>
        <v>2023</v>
      </c>
      <c r="N1731">
        <f>WEEKNUM(SalesData[[#This Row],[Date]])</f>
        <v>11</v>
      </c>
      <c r="O1731" t="s">
        <v>2133</v>
      </c>
      <c r="P1731" t="s">
        <v>2523</v>
      </c>
      <c r="Q1731" t="s">
        <v>2525</v>
      </c>
    </row>
    <row r="1732" spans="1:17" x14ac:dyDescent="0.35">
      <c r="A1732" t="s">
        <v>416</v>
      </c>
      <c r="B1732" s="3">
        <v>45013</v>
      </c>
      <c r="C1732" t="s">
        <v>2013</v>
      </c>
      <c r="D1732" t="s">
        <v>2023</v>
      </c>
      <c r="E1732" s="8">
        <v>3936</v>
      </c>
      <c r="F1732">
        <v>7</v>
      </c>
      <c r="G1732">
        <v>0</v>
      </c>
      <c r="H1732" s="8">
        <v>27552</v>
      </c>
      <c r="I1732">
        <v>2088.87</v>
      </c>
      <c r="J1732">
        <v>12929.93</v>
      </c>
      <c r="K1732" s="5">
        <f>IF(SalesData[[#This Row],[Total Revenue]]=0,0,SalesData[[#This Row],[Profit]]/SalesData[[#This Row],[Total Revenue]])</f>
        <v>0.4692918844367015</v>
      </c>
      <c r="L1732" s="5" t="str">
        <f>TEXT(SalesData[[#This Row],[Date]],"mmm")</f>
        <v>Mar</v>
      </c>
      <c r="M1732">
        <f>YEAR(SalesData[[#This Row],[Date]])</f>
        <v>2023</v>
      </c>
      <c r="N1732">
        <f>WEEKNUM(SalesData[[#This Row],[Date]])</f>
        <v>13</v>
      </c>
      <c r="O1732" t="s">
        <v>2303</v>
      </c>
      <c r="P1732" t="s">
        <v>2523</v>
      </c>
      <c r="Q1732" t="s">
        <v>2527</v>
      </c>
    </row>
    <row r="1733" spans="1:17" x14ac:dyDescent="0.35">
      <c r="A1733" t="s">
        <v>1920</v>
      </c>
      <c r="B1733" s="3">
        <v>45094</v>
      </c>
      <c r="C1733" t="s">
        <v>2018</v>
      </c>
      <c r="D1733" t="s">
        <v>2026</v>
      </c>
      <c r="E1733" s="8">
        <v>3950</v>
      </c>
      <c r="F1733">
        <v>7</v>
      </c>
      <c r="G1733">
        <v>0</v>
      </c>
      <c r="H1733" s="8">
        <v>27650</v>
      </c>
      <c r="I1733">
        <v>2110.0300000000002</v>
      </c>
      <c r="J1733">
        <v>12879.76</v>
      </c>
      <c r="K1733" s="5">
        <f>IF(SalesData[[#This Row],[Total Revenue]]=0,0,SalesData[[#This Row],[Profit]]/SalesData[[#This Row],[Total Revenue]])</f>
        <v>0.46581410488245933</v>
      </c>
      <c r="L1733" s="5" t="str">
        <f>TEXT(SalesData[[#This Row],[Date]],"mmm")</f>
        <v>Jun</v>
      </c>
      <c r="M1733">
        <f>YEAR(SalesData[[#This Row],[Date]])</f>
        <v>2023</v>
      </c>
      <c r="N1733">
        <f>WEEKNUM(SalesData[[#This Row],[Date]])</f>
        <v>24</v>
      </c>
      <c r="O1733" t="s">
        <v>2354</v>
      </c>
      <c r="P1733" t="s">
        <v>2523</v>
      </c>
      <c r="Q1733" t="s">
        <v>2526</v>
      </c>
    </row>
    <row r="1734" spans="1:17" x14ac:dyDescent="0.35">
      <c r="A1734" t="s">
        <v>1964</v>
      </c>
      <c r="B1734" s="3">
        <v>44939</v>
      </c>
      <c r="C1734" t="s">
        <v>2017</v>
      </c>
      <c r="D1734" t="s">
        <v>2026</v>
      </c>
      <c r="E1734" s="8">
        <v>3073</v>
      </c>
      <c r="F1734">
        <v>10</v>
      </c>
      <c r="G1734">
        <v>10</v>
      </c>
      <c r="H1734" s="8">
        <v>27657</v>
      </c>
      <c r="I1734">
        <v>2277.0300000000002</v>
      </c>
      <c r="J1734">
        <v>4886.72</v>
      </c>
      <c r="K1734" s="5">
        <f>IF(SalesData[[#This Row],[Total Revenue]]=0,0,SalesData[[#This Row],[Profit]]/SalesData[[#This Row],[Total Revenue]])</f>
        <v>0.17669016885417799</v>
      </c>
      <c r="L1734" s="5" t="str">
        <f>TEXT(SalesData[[#This Row],[Date]],"mmm")</f>
        <v>Jan</v>
      </c>
      <c r="M1734">
        <f>YEAR(SalesData[[#This Row],[Date]])</f>
        <v>2023</v>
      </c>
      <c r="N1734">
        <f>WEEKNUM(SalesData[[#This Row],[Date]])</f>
        <v>2</v>
      </c>
      <c r="O1734" t="s">
        <v>2061</v>
      </c>
      <c r="P1734" t="s">
        <v>2522</v>
      </c>
      <c r="Q1734" t="s">
        <v>2525</v>
      </c>
    </row>
    <row r="1735" spans="1:17" x14ac:dyDescent="0.35">
      <c r="A1735" t="s">
        <v>397</v>
      </c>
      <c r="B1735" s="3">
        <v>44991</v>
      </c>
      <c r="C1735" t="s">
        <v>2019</v>
      </c>
      <c r="D1735" t="s">
        <v>2027</v>
      </c>
      <c r="E1735" s="8">
        <v>4073</v>
      </c>
      <c r="F1735">
        <v>8</v>
      </c>
      <c r="G1735">
        <v>15</v>
      </c>
      <c r="H1735" s="8">
        <v>27696.400000000001</v>
      </c>
      <c r="I1735">
        <v>2055.4299999999998</v>
      </c>
      <c r="J1735">
        <v>11253</v>
      </c>
      <c r="K1735" s="5">
        <f>IF(SalesData[[#This Row],[Total Revenue]]=0,0,SalesData[[#This Row],[Profit]]/SalesData[[#This Row],[Total Revenue]])</f>
        <v>0.40629829147470425</v>
      </c>
      <c r="L1735" s="5" t="str">
        <f>TEXT(SalesData[[#This Row],[Date]],"mmm")</f>
        <v>Mar</v>
      </c>
      <c r="M1735">
        <f>YEAR(SalesData[[#This Row],[Date]])</f>
        <v>2023</v>
      </c>
      <c r="N1735">
        <f>WEEKNUM(SalesData[[#This Row],[Date]])</f>
        <v>10</v>
      </c>
      <c r="O1735" t="s">
        <v>2114</v>
      </c>
      <c r="P1735" t="s">
        <v>2523</v>
      </c>
      <c r="Q1735" t="s">
        <v>2527</v>
      </c>
    </row>
    <row r="1736" spans="1:17" x14ac:dyDescent="0.35">
      <c r="A1736" t="s">
        <v>1912</v>
      </c>
      <c r="B1736" s="3">
        <v>45126</v>
      </c>
      <c r="C1736" t="s">
        <v>2016</v>
      </c>
      <c r="D1736" t="s">
        <v>2025</v>
      </c>
      <c r="E1736" s="8">
        <v>3079</v>
      </c>
      <c r="F1736">
        <v>10</v>
      </c>
      <c r="G1736">
        <v>10</v>
      </c>
      <c r="H1736" s="8">
        <v>27711</v>
      </c>
      <c r="I1736">
        <v>1957.91</v>
      </c>
      <c r="J1736">
        <v>8131.95</v>
      </c>
      <c r="K1736" s="5">
        <f>IF(SalesData[[#This Row],[Total Revenue]]=0,0,SalesData[[#This Row],[Profit]]/SalesData[[#This Row],[Total Revenue]])</f>
        <v>0.29345566742448848</v>
      </c>
      <c r="L1736" s="5" t="str">
        <f>TEXT(SalesData[[#This Row],[Date]],"mmm")</f>
        <v>Jul</v>
      </c>
      <c r="M1736">
        <f>YEAR(SalesData[[#This Row],[Date]])</f>
        <v>2023</v>
      </c>
      <c r="N1736">
        <f>WEEKNUM(SalesData[[#This Row],[Date]])</f>
        <v>29</v>
      </c>
      <c r="O1736" t="s">
        <v>2520</v>
      </c>
      <c r="P1736" t="s">
        <v>2522</v>
      </c>
      <c r="Q1736" t="s">
        <v>2525</v>
      </c>
    </row>
    <row r="1737" spans="1:17" x14ac:dyDescent="0.35">
      <c r="A1737" t="s">
        <v>175</v>
      </c>
      <c r="B1737" s="3">
        <v>45179</v>
      </c>
      <c r="C1737" t="s">
        <v>2021</v>
      </c>
      <c r="D1737" t="s">
        <v>2028</v>
      </c>
      <c r="E1737" s="8">
        <v>4399</v>
      </c>
      <c r="F1737">
        <v>7</v>
      </c>
      <c r="G1737">
        <v>10</v>
      </c>
      <c r="H1737" s="8">
        <v>27713.7</v>
      </c>
      <c r="I1737">
        <v>2643.91</v>
      </c>
      <c r="J1737">
        <v>9206.34</v>
      </c>
      <c r="K1737" s="5">
        <f>IF(SalesData[[#This Row],[Total Revenue]]=0,0,SalesData[[#This Row],[Profit]]/SalesData[[#This Row],[Total Revenue]])</f>
        <v>0.33219454637958845</v>
      </c>
      <c r="L1737" s="5" t="str">
        <f>TEXT(SalesData[[#This Row],[Date]],"mmm")</f>
        <v>Sep</v>
      </c>
      <c r="M1737">
        <f>YEAR(SalesData[[#This Row],[Date]])</f>
        <v>2023</v>
      </c>
      <c r="N1737">
        <f>WEEKNUM(SalesData[[#This Row],[Date]])</f>
        <v>37</v>
      </c>
      <c r="O1737" t="s">
        <v>2170</v>
      </c>
      <c r="P1737" t="s">
        <v>2523</v>
      </c>
      <c r="Q1737" t="s">
        <v>2524</v>
      </c>
    </row>
    <row r="1738" spans="1:17" x14ac:dyDescent="0.35">
      <c r="A1738" t="s">
        <v>909</v>
      </c>
      <c r="B1738" s="3">
        <v>45150</v>
      </c>
      <c r="C1738" t="s">
        <v>2018</v>
      </c>
      <c r="D1738" t="s">
        <v>2026</v>
      </c>
      <c r="E1738" s="8">
        <v>3080</v>
      </c>
      <c r="F1738">
        <v>9</v>
      </c>
      <c r="G1738">
        <v>0</v>
      </c>
      <c r="H1738" s="8">
        <v>27720</v>
      </c>
      <c r="I1738">
        <v>1962.04</v>
      </c>
      <c r="J1738">
        <v>10061.66</v>
      </c>
      <c r="K1738" s="5">
        <f>IF(SalesData[[#This Row],[Total Revenue]]=0,0,SalesData[[#This Row],[Profit]]/SalesData[[#This Row],[Total Revenue]])</f>
        <v>0.36297474747474745</v>
      </c>
      <c r="L1738" s="5" t="str">
        <f>TEXT(SalesData[[#This Row],[Date]],"mmm")</f>
        <v>Aug</v>
      </c>
      <c r="M1738">
        <f>YEAR(SalesData[[#This Row],[Date]])</f>
        <v>2023</v>
      </c>
      <c r="N1738">
        <f>WEEKNUM(SalesData[[#This Row],[Date]])</f>
        <v>32</v>
      </c>
      <c r="O1738" t="s">
        <v>2270</v>
      </c>
      <c r="P1738" t="s">
        <v>2522</v>
      </c>
      <c r="Q1738" t="s">
        <v>2526</v>
      </c>
    </row>
    <row r="1739" spans="1:17" x14ac:dyDescent="0.35">
      <c r="A1739" t="s">
        <v>217</v>
      </c>
      <c r="B1739" s="3">
        <v>45083</v>
      </c>
      <c r="C1739" t="s">
        <v>2018</v>
      </c>
      <c r="D1739" t="s">
        <v>2026</v>
      </c>
      <c r="E1739" s="8">
        <v>3648</v>
      </c>
      <c r="F1739">
        <v>8</v>
      </c>
      <c r="G1739">
        <v>5</v>
      </c>
      <c r="H1739" s="8">
        <v>27724.799999999999</v>
      </c>
      <c r="I1739">
        <v>2490.1799999999998</v>
      </c>
      <c r="J1739">
        <v>7803.38</v>
      </c>
      <c r="K1739" s="5">
        <f>IF(SalesData[[#This Row],[Total Revenue]]=0,0,SalesData[[#This Row],[Profit]]/SalesData[[#This Row],[Total Revenue]])</f>
        <v>0.28145847760849491</v>
      </c>
      <c r="L1739" s="5" t="str">
        <f>TEXT(SalesData[[#This Row],[Date]],"mmm")</f>
        <v>Jun</v>
      </c>
      <c r="M1739">
        <f>YEAR(SalesData[[#This Row],[Date]])</f>
        <v>2023</v>
      </c>
      <c r="N1739">
        <f>WEEKNUM(SalesData[[#This Row],[Date]])</f>
        <v>23</v>
      </c>
      <c r="O1739" t="s">
        <v>2194</v>
      </c>
      <c r="P1739" t="s">
        <v>2522</v>
      </c>
      <c r="Q1739" t="s">
        <v>2527</v>
      </c>
    </row>
    <row r="1740" spans="1:17" x14ac:dyDescent="0.35">
      <c r="A1740" t="s">
        <v>1169</v>
      </c>
      <c r="B1740" s="3">
        <v>45026</v>
      </c>
      <c r="C1740" t="s">
        <v>2018</v>
      </c>
      <c r="D1740" t="s">
        <v>2026</v>
      </c>
      <c r="E1740" s="8">
        <v>3094</v>
      </c>
      <c r="F1740">
        <v>9</v>
      </c>
      <c r="G1740">
        <v>0</v>
      </c>
      <c r="H1740" s="8">
        <v>27846</v>
      </c>
      <c r="I1740">
        <v>1792.94</v>
      </c>
      <c r="J1740">
        <v>11709.54</v>
      </c>
      <c r="K1740" s="5">
        <f>IF(SalesData[[#This Row],[Total Revenue]]=0,0,SalesData[[#This Row],[Profit]]/SalesData[[#This Row],[Total Revenue]])</f>
        <v>0.42051066580478347</v>
      </c>
      <c r="L1740" s="5" t="str">
        <f>TEXT(SalesData[[#This Row],[Date]],"mmm")</f>
        <v>Apr</v>
      </c>
      <c r="M1740">
        <f>YEAR(SalesData[[#This Row],[Date]])</f>
        <v>2023</v>
      </c>
      <c r="N1740">
        <f>WEEKNUM(SalesData[[#This Row],[Date]])</f>
        <v>15</v>
      </c>
      <c r="O1740" t="s">
        <v>2121</v>
      </c>
      <c r="P1740" t="s">
        <v>2523</v>
      </c>
      <c r="Q1740" t="s">
        <v>2526</v>
      </c>
    </row>
    <row r="1741" spans="1:17" x14ac:dyDescent="0.35">
      <c r="A1741" t="s">
        <v>1808</v>
      </c>
      <c r="B1741" s="3">
        <v>45134</v>
      </c>
      <c r="C1741" t="s">
        <v>2016</v>
      </c>
      <c r="D1741" t="s">
        <v>2025</v>
      </c>
      <c r="E1741" s="8">
        <v>3258</v>
      </c>
      <c r="F1741">
        <v>9</v>
      </c>
      <c r="G1741">
        <v>5</v>
      </c>
      <c r="H1741" s="8">
        <v>27855.9</v>
      </c>
      <c r="I1741">
        <v>2407.59</v>
      </c>
      <c r="J1741">
        <v>6187.55</v>
      </c>
      <c r="K1741" s="5">
        <f>IF(SalesData[[#This Row],[Total Revenue]]=0,0,SalesData[[#This Row],[Profit]]/SalesData[[#This Row],[Total Revenue]])</f>
        <v>0.22212708977272319</v>
      </c>
      <c r="L1741" s="5" t="str">
        <f>TEXT(SalesData[[#This Row],[Date]],"mmm")</f>
        <v>Jul</v>
      </c>
      <c r="M1741">
        <f>YEAR(SalesData[[#This Row],[Date]])</f>
        <v>2023</v>
      </c>
      <c r="N1741">
        <f>WEEKNUM(SalesData[[#This Row],[Date]])</f>
        <v>30</v>
      </c>
      <c r="O1741" t="s">
        <v>2428</v>
      </c>
      <c r="P1741" t="s">
        <v>2522</v>
      </c>
      <c r="Q1741" t="s">
        <v>2526</v>
      </c>
    </row>
    <row r="1742" spans="1:17" x14ac:dyDescent="0.35">
      <c r="A1742" t="s">
        <v>237</v>
      </c>
      <c r="B1742" s="3">
        <v>45142</v>
      </c>
      <c r="C1742" t="s">
        <v>2014</v>
      </c>
      <c r="D1742" t="s">
        <v>2024</v>
      </c>
      <c r="E1742" s="8">
        <v>4656</v>
      </c>
      <c r="F1742">
        <v>6</v>
      </c>
      <c r="G1742">
        <v>0</v>
      </c>
      <c r="H1742" s="8">
        <v>27936</v>
      </c>
      <c r="I1742">
        <v>3423.6</v>
      </c>
      <c r="J1742">
        <v>7394.39</v>
      </c>
      <c r="K1742" s="5">
        <f>IF(SalesData[[#This Row],[Total Revenue]]=0,0,SalesData[[#This Row],[Profit]]/SalesData[[#This Row],[Total Revenue]])</f>
        <v>0.26469036368843069</v>
      </c>
      <c r="L1742" s="5" t="str">
        <f>TEXT(SalesData[[#This Row],[Date]],"mmm")</f>
        <v>Aug</v>
      </c>
      <c r="M1742">
        <f>YEAR(SalesData[[#This Row],[Date]])</f>
        <v>2023</v>
      </c>
      <c r="N1742">
        <f>WEEKNUM(SalesData[[#This Row],[Date]])</f>
        <v>31</v>
      </c>
      <c r="O1742" t="s">
        <v>2208</v>
      </c>
      <c r="P1742" t="s">
        <v>2522</v>
      </c>
      <c r="Q1742" t="s">
        <v>2524</v>
      </c>
    </row>
    <row r="1743" spans="1:17" x14ac:dyDescent="0.35">
      <c r="A1743" t="s">
        <v>1562</v>
      </c>
      <c r="B1743" s="3">
        <v>45266</v>
      </c>
      <c r="C1743" t="s">
        <v>2016</v>
      </c>
      <c r="D1743" t="s">
        <v>2025</v>
      </c>
      <c r="E1743" s="8">
        <v>2796</v>
      </c>
      <c r="F1743">
        <v>10</v>
      </c>
      <c r="G1743">
        <v>0</v>
      </c>
      <c r="H1743" s="8">
        <v>27960</v>
      </c>
      <c r="I1743">
        <v>2179.5700000000002</v>
      </c>
      <c r="J1743">
        <v>6164.34</v>
      </c>
      <c r="K1743" s="5">
        <f>IF(SalesData[[#This Row],[Total Revenue]]=0,0,SalesData[[#This Row],[Profit]]/SalesData[[#This Row],[Total Revenue]])</f>
        <v>0.22046995708154507</v>
      </c>
      <c r="L1743" s="5" t="str">
        <f>TEXT(SalesData[[#This Row],[Date]],"mmm")</f>
        <v>Dec</v>
      </c>
      <c r="M1743">
        <f>YEAR(SalesData[[#This Row],[Date]])</f>
        <v>2023</v>
      </c>
      <c r="N1743">
        <f>WEEKNUM(SalesData[[#This Row],[Date]])</f>
        <v>49</v>
      </c>
      <c r="O1743" t="s">
        <v>2312</v>
      </c>
      <c r="P1743" t="s">
        <v>2522</v>
      </c>
      <c r="Q1743" t="s">
        <v>2524</v>
      </c>
    </row>
    <row r="1744" spans="1:17" x14ac:dyDescent="0.35">
      <c r="A1744" t="s">
        <v>69</v>
      </c>
      <c r="B1744" s="3">
        <v>45142</v>
      </c>
      <c r="C1744" t="s">
        <v>2014</v>
      </c>
      <c r="D1744" t="s">
        <v>2024</v>
      </c>
      <c r="E1744" s="8">
        <v>2799</v>
      </c>
      <c r="F1744">
        <v>10</v>
      </c>
      <c r="G1744">
        <v>0</v>
      </c>
      <c r="H1744" s="8">
        <v>27990</v>
      </c>
      <c r="I1744">
        <v>1728.47</v>
      </c>
      <c r="J1744">
        <v>10705.29</v>
      </c>
      <c r="K1744" s="5">
        <f>IF(SalesData[[#This Row],[Total Revenue]]=0,0,SalesData[[#This Row],[Profit]]/SalesData[[#This Row],[Total Revenue]])</f>
        <v>0.38246838156484464</v>
      </c>
      <c r="L1744" s="5" t="str">
        <f>TEXT(SalesData[[#This Row],[Date]],"mmm")</f>
        <v>Aug</v>
      </c>
      <c r="M1744">
        <f>YEAR(SalesData[[#This Row],[Date]])</f>
        <v>2023</v>
      </c>
      <c r="N1744">
        <f>WEEKNUM(SalesData[[#This Row],[Date]])</f>
        <v>31</v>
      </c>
      <c r="O1744" t="s">
        <v>2080</v>
      </c>
      <c r="P1744" t="s">
        <v>2522</v>
      </c>
      <c r="Q1744" t="s">
        <v>2527</v>
      </c>
    </row>
    <row r="1745" spans="1:17" x14ac:dyDescent="0.35">
      <c r="A1745" t="s">
        <v>657</v>
      </c>
      <c r="B1745" s="3">
        <v>44927</v>
      </c>
      <c r="C1745" t="s">
        <v>2015</v>
      </c>
      <c r="D1745" t="s">
        <v>2025</v>
      </c>
      <c r="E1745" s="8">
        <v>3666</v>
      </c>
      <c r="F1745">
        <v>9</v>
      </c>
      <c r="G1745">
        <v>15</v>
      </c>
      <c r="H1745" s="8">
        <v>28044.9</v>
      </c>
      <c r="I1745">
        <v>2148</v>
      </c>
      <c r="J1745">
        <v>8712.8700000000008</v>
      </c>
      <c r="K1745" s="5">
        <f>IF(SalesData[[#This Row],[Total Revenue]]=0,0,SalesData[[#This Row],[Profit]]/SalesData[[#This Row],[Total Revenue]])</f>
        <v>0.31067573783468655</v>
      </c>
      <c r="L1745" s="5" t="str">
        <f>TEXT(SalesData[[#This Row],[Date]],"mmm")</f>
        <v>Jan</v>
      </c>
      <c r="M1745">
        <f>YEAR(SalesData[[#This Row],[Date]])</f>
        <v>2023</v>
      </c>
      <c r="N1745">
        <f>WEEKNUM(SalesData[[#This Row],[Date]])</f>
        <v>1</v>
      </c>
      <c r="O1745" t="s">
        <v>2391</v>
      </c>
      <c r="P1745" t="s">
        <v>2523</v>
      </c>
      <c r="Q1745" t="s">
        <v>2525</v>
      </c>
    </row>
    <row r="1746" spans="1:17" x14ac:dyDescent="0.35">
      <c r="A1746" t="s">
        <v>1001</v>
      </c>
      <c r="B1746" s="3">
        <v>45015</v>
      </c>
      <c r="C1746" t="s">
        <v>2020</v>
      </c>
      <c r="D1746" t="s">
        <v>2028</v>
      </c>
      <c r="E1746" s="8">
        <v>3695</v>
      </c>
      <c r="F1746">
        <v>8</v>
      </c>
      <c r="G1746">
        <v>5</v>
      </c>
      <c r="H1746" s="8">
        <v>28082</v>
      </c>
      <c r="I1746">
        <v>2615.9699999999998</v>
      </c>
      <c r="J1746">
        <v>7154.2</v>
      </c>
      <c r="K1746" s="5">
        <f>IF(SalesData[[#This Row],[Total Revenue]]=0,0,SalesData[[#This Row],[Profit]]/SalesData[[#This Row],[Total Revenue]])</f>
        <v>0.25476105690477885</v>
      </c>
      <c r="L1746" s="5" t="str">
        <f>TEXT(SalesData[[#This Row],[Date]],"mmm")</f>
        <v>Mar</v>
      </c>
      <c r="M1746">
        <f>YEAR(SalesData[[#This Row],[Date]])</f>
        <v>2023</v>
      </c>
      <c r="N1746">
        <f>WEEKNUM(SalesData[[#This Row],[Date]])</f>
        <v>13</v>
      </c>
      <c r="O1746" t="s">
        <v>2409</v>
      </c>
      <c r="P1746" t="s">
        <v>2523</v>
      </c>
      <c r="Q1746" t="s">
        <v>2526</v>
      </c>
    </row>
    <row r="1747" spans="1:17" x14ac:dyDescent="0.35">
      <c r="A1747" t="s">
        <v>569</v>
      </c>
      <c r="B1747" s="3">
        <v>45086</v>
      </c>
      <c r="C1747" t="s">
        <v>2018</v>
      </c>
      <c r="D1747" t="s">
        <v>2026</v>
      </c>
      <c r="E1747" s="8">
        <v>3511</v>
      </c>
      <c r="F1747">
        <v>8</v>
      </c>
      <c r="G1747">
        <v>0</v>
      </c>
      <c r="H1747" s="8">
        <v>28088</v>
      </c>
      <c r="I1747">
        <v>1957.95</v>
      </c>
      <c r="J1747">
        <v>12424.37</v>
      </c>
      <c r="K1747" s="5">
        <f>IF(SalesData[[#This Row],[Total Revenue]]=0,0,SalesData[[#This Row],[Profit]]/SalesData[[#This Row],[Total Revenue]])</f>
        <v>0.44233729706636288</v>
      </c>
      <c r="L1747" s="5" t="str">
        <f>TEXT(SalesData[[#This Row],[Date]],"mmm")</f>
        <v>Jun</v>
      </c>
      <c r="M1747">
        <f>YEAR(SalesData[[#This Row],[Date]])</f>
        <v>2023</v>
      </c>
      <c r="N1747">
        <f>WEEKNUM(SalesData[[#This Row],[Date]])</f>
        <v>23</v>
      </c>
      <c r="O1747" t="s">
        <v>2290</v>
      </c>
      <c r="P1747" t="s">
        <v>2523</v>
      </c>
      <c r="Q1747" t="s">
        <v>2524</v>
      </c>
    </row>
    <row r="1748" spans="1:17" x14ac:dyDescent="0.35">
      <c r="A1748" t="s">
        <v>1032</v>
      </c>
      <c r="B1748" s="3">
        <v>45152</v>
      </c>
      <c r="C1748" t="s">
        <v>2016</v>
      </c>
      <c r="D1748" t="s">
        <v>2025</v>
      </c>
      <c r="E1748" s="8">
        <v>3468</v>
      </c>
      <c r="F1748">
        <v>9</v>
      </c>
      <c r="G1748">
        <v>10</v>
      </c>
      <c r="H1748" s="8">
        <v>28090.799999999999</v>
      </c>
      <c r="I1748">
        <v>1872.71</v>
      </c>
      <c r="J1748">
        <v>11236.38</v>
      </c>
      <c r="K1748" s="5">
        <f>IF(SalesData[[#This Row],[Total Revenue]]=0,0,SalesData[[#This Row],[Profit]]/SalesData[[#This Row],[Total Revenue]])</f>
        <v>0.40000213593062495</v>
      </c>
      <c r="L1748" s="5" t="str">
        <f>TEXT(SalesData[[#This Row],[Date]],"mmm")</f>
        <v>Aug</v>
      </c>
      <c r="M1748">
        <f>YEAR(SalesData[[#This Row],[Date]])</f>
        <v>2023</v>
      </c>
      <c r="N1748">
        <f>WEEKNUM(SalesData[[#This Row],[Date]])</f>
        <v>33</v>
      </c>
      <c r="O1748" t="s">
        <v>2054</v>
      </c>
      <c r="P1748" t="s">
        <v>2523</v>
      </c>
      <c r="Q1748" t="s">
        <v>2527</v>
      </c>
    </row>
    <row r="1749" spans="1:17" x14ac:dyDescent="0.35">
      <c r="A1749" t="s">
        <v>1143</v>
      </c>
      <c r="B1749" s="3">
        <v>44947</v>
      </c>
      <c r="C1749" t="s">
        <v>2015</v>
      </c>
      <c r="D1749" t="s">
        <v>2025</v>
      </c>
      <c r="E1749" s="8">
        <v>4018</v>
      </c>
      <c r="F1749">
        <v>7</v>
      </c>
      <c r="G1749">
        <v>0</v>
      </c>
      <c r="H1749" s="8">
        <v>28126</v>
      </c>
      <c r="I1749">
        <v>2859.57</v>
      </c>
      <c r="J1749">
        <v>8109.04</v>
      </c>
      <c r="K1749" s="5">
        <f>IF(SalesData[[#This Row],[Total Revenue]]=0,0,SalesData[[#This Row],[Profit]]/SalesData[[#This Row],[Total Revenue]])</f>
        <v>0.2883111711583588</v>
      </c>
      <c r="L1749" s="5" t="str">
        <f>TEXT(SalesData[[#This Row],[Date]],"mmm")</f>
        <v>Jan</v>
      </c>
      <c r="M1749">
        <f>YEAR(SalesData[[#This Row],[Date]])</f>
        <v>2023</v>
      </c>
      <c r="N1749">
        <f>WEEKNUM(SalesData[[#This Row],[Date]])</f>
        <v>3</v>
      </c>
      <c r="O1749" t="s">
        <v>2420</v>
      </c>
      <c r="P1749" t="s">
        <v>2522</v>
      </c>
      <c r="Q1749" t="s">
        <v>2524</v>
      </c>
    </row>
    <row r="1750" spans="1:17" x14ac:dyDescent="0.35">
      <c r="A1750" t="s">
        <v>1657</v>
      </c>
      <c r="B1750" s="3">
        <v>45234</v>
      </c>
      <c r="C1750" t="s">
        <v>2016</v>
      </c>
      <c r="D1750" t="s">
        <v>2025</v>
      </c>
      <c r="E1750" s="8">
        <v>4234</v>
      </c>
      <c r="F1750">
        <v>7</v>
      </c>
      <c r="G1750">
        <v>5</v>
      </c>
      <c r="H1750" s="8">
        <v>28156.1</v>
      </c>
      <c r="I1750">
        <v>3301.54</v>
      </c>
      <c r="J1750">
        <v>5045.32</v>
      </c>
      <c r="K1750" s="5">
        <f>IF(SalesData[[#This Row],[Total Revenue]]=0,0,SalesData[[#This Row],[Profit]]/SalesData[[#This Row],[Total Revenue]])</f>
        <v>0.17919101011858887</v>
      </c>
      <c r="L1750" s="5" t="str">
        <f>TEXT(SalesData[[#This Row],[Date]],"mmm")</f>
        <v>Nov</v>
      </c>
      <c r="M1750">
        <f>YEAR(SalesData[[#This Row],[Date]])</f>
        <v>2023</v>
      </c>
      <c r="N1750">
        <f>WEEKNUM(SalesData[[#This Row],[Date]])</f>
        <v>44</v>
      </c>
      <c r="O1750" t="s">
        <v>2465</v>
      </c>
      <c r="P1750" t="s">
        <v>2522</v>
      </c>
      <c r="Q1750" t="s">
        <v>2527</v>
      </c>
    </row>
    <row r="1751" spans="1:17" x14ac:dyDescent="0.35">
      <c r="A1751" t="s">
        <v>1876</v>
      </c>
      <c r="B1751" s="3">
        <v>45237</v>
      </c>
      <c r="C1751" t="s">
        <v>2013</v>
      </c>
      <c r="D1751" t="s">
        <v>2023</v>
      </c>
      <c r="E1751" s="8">
        <v>3313</v>
      </c>
      <c r="F1751">
        <v>9</v>
      </c>
      <c r="G1751">
        <v>5</v>
      </c>
      <c r="H1751" s="8">
        <v>28326.15</v>
      </c>
      <c r="I1751">
        <v>1934.35</v>
      </c>
      <c r="J1751">
        <v>10917.04</v>
      </c>
      <c r="K1751" s="5">
        <f>IF(SalesData[[#This Row],[Total Revenue]]=0,0,SalesData[[#This Row],[Profit]]/SalesData[[#This Row],[Total Revenue]])</f>
        <v>0.38540500562201357</v>
      </c>
      <c r="L1751" s="5" t="str">
        <f>TEXT(SalesData[[#This Row],[Date]],"mmm")</f>
        <v>Nov</v>
      </c>
      <c r="M1751">
        <f>YEAR(SalesData[[#This Row],[Date]])</f>
        <v>2023</v>
      </c>
      <c r="N1751">
        <f>WEEKNUM(SalesData[[#This Row],[Date]])</f>
        <v>45</v>
      </c>
      <c r="O1751" t="s">
        <v>2188</v>
      </c>
      <c r="P1751" t="s">
        <v>2522</v>
      </c>
      <c r="Q1751" t="s">
        <v>2524</v>
      </c>
    </row>
    <row r="1752" spans="1:17" x14ac:dyDescent="0.35">
      <c r="A1752" t="s">
        <v>802</v>
      </c>
      <c r="B1752" s="3">
        <v>45045</v>
      </c>
      <c r="C1752" t="s">
        <v>2021</v>
      </c>
      <c r="D1752" t="s">
        <v>2028</v>
      </c>
      <c r="E1752" s="8">
        <v>4722</v>
      </c>
      <c r="F1752">
        <v>6</v>
      </c>
      <c r="G1752">
        <v>0</v>
      </c>
      <c r="H1752" s="8">
        <v>28332</v>
      </c>
      <c r="I1752">
        <v>3320.61</v>
      </c>
      <c r="J1752">
        <v>8408.34</v>
      </c>
      <c r="K1752" s="5">
        <f>IF(SalesData[[#This Row],[Total Revenue]]=0,0,SalesData[[#This Row],[Profit]]/SalesData[[#This Row],[Total Revenue]])</f>
        <v>0.29677890724269379</v>
      </c>
      <c r="L1752" s="5" t="str">
        <f>TEXT(SalesData[[#This Row],[Date]],"mmm")</f>
        <v>Apr</v>
      </c>
      <c r="M1752">
        <f>YEAR(SalesData[[#This Row],[Date]])</f>
        <v>2023</v>
      </c>
      <c r="N1752">
        <f>WEEKNUM(SalesData[[#This Row],[Date]])</f>
        <v>17</v>
      </c>
      <c r="O1752" t="s">
        <v>2107</v>
      </c>
      <c r="P1752" t="s">
        <v>2522</v>
      </c>
      <c r="Q1752" t="s">
        <v>2527</v>
      </c>
    </row>
    <row r="1753" spans="1:17" x14ac:dyDescent="0.35">
      <c r="A1753" t="s">
        <v>162</v>
      </c>
      <c r="B1753" s="3">
        <v>45088</v>
      </c>
      <c r="C1753" t="s">
        <v>2021</v>
      </c>
      <c r="D1753" t="s">
        <v>2028</v>
      </c>
      <c r="E1753" s="8">
        <v>4972</v>
      </c>
      <c r="F1753">
        <v>6</v>
      </c>
      <c r="G1753">
        <v>5</v>
      </c>
      <c r="H1753" s="8">
        <v>28340.400000000001</v>
      </c>
      <c r="I1753">
        <v>3566.1</v>
      </c>
      <c r="J1753">
        <v>6943.79</v>
      </c>
      <c r="K1753" s="5">
        <f>IF(SalesData[[#This Row],[Total Revenue]]=0,0,SalesData[[#This Row],[Profit]]/SalesData[[#This Row],[Total Revenue]])</f>
        <v>0.24501383184429293</v>
      </c>
      <c r="L1753" s="5" t="str">
        <f>TEXT(SalesData[[#This Row],[Date]],"mmm")</f>
        <v>Jun</v>
      </c>
      <c r="M1753">
        <f>YEAR(SalesData[[#This Row],[Date]])</f>
        <v>2023</v>
      </c>
      <c r="N1753">
        <f>WEEKNUM(SalesData[[#This Row],[Date]])</f>
        <v>24</v>
      </c>
      <c r="O1753" t="s">
        <v>2160</v>
      </c>
      <c r="P1753" t="s">
        <v>2523</v>
      </c>
      <c r="Q1753" t="s">
        <v>2525</v>
      </c>
    </row>
    <row r="1754" spans="1:17" x14ac:dyDescent="0.35">
      <c r="A1754" t="s">
        <v>1681</v>
      </c>
      <c r="B1754" s="3">
        <v>45155</v>
      </c>
      <c r="C1754" t="s">
        <v>2018</v>
      </c>
      <c r="D1754" t="s">
        <v>2026</v>
      </c>
      <c r="E1754" s="8">
        <v>3316</v>
      </c>
      <c r="F1754">
        <v>9</v>
      </c>
      <c r="G1754">
        <v>5</v>
      </c>
      <c r="H1754" s="8">
        <v>28351.8</v>
      </c>
      <c r="I1754">
        <v>2051.14</v>
      </c>
      <c r="J1754">
        <v>9891.56</v>
      </c>
      <c r="K1754" s="5">
        <f>IF(SalesData[[#This Row],[Total Revenue]]=0,0,SalesData[[#This Row],[Profit]]/SalesData[[#This Row],[Total Revenue]])</f>
        <v>0.34888649045210535</v>
      </c>
      <c r="L1754" s="5" t="str">
        <f>TEXT(SalesData[[#This Row],[Date]],"mmm")</f>
        <v>Aug</v>
      </c>
      <c r="M1754">
        <f>YEAR(SalesData[[#This Row],[Date]])</f>
        <v>2023</v>
      </c>
      <c r="N1754">
        <f>WEEKNUM(SalesData[[#This Row],[Date]])</f>
        <v>33</v>
      </c>
      <c r="O1754" t="s">
        <v>2450</v>
      </c>
      <c r="P1754" t="s">
        <v>2522</v>
      </c>
      <c r="Q1754" t="s">
        <v>2524</v>
      </c>
    </row>
    <row r="1755" spans="1:17" x14ac:dyDescent="0.35">
      <c r="A1755" t="s">
        <v>147</v>
      </c>
      <c r="B1755" s="3">
        <v>45228</v>
      </c>
      <c r="C1755" t="s">
        <v>2016</v>
      </c>
      <c r="D1755" t="s">
        <v>2025</v>
      </c>
      <c r="E1755" s="8">
        <v>3734</v>
      </c>
      <c r="F1755">
        <v>8</v>
      </c>
      <c r="G1755">
        <v>5</v>
      </c>
      <c r="H1755" s="8">
        <v>28378.400000000001</v>
      </c>
      <c r="I1755">
        <v>2774.31</v>
      </c>
      <c r="J1755">
        <v>6183.89</v>
      </c>
      <c r="K1755" s="5">
        <f>IF(SalesData[[#This Row],[Total Revenue]]=0,0,SalesData[[#This Row],[Profit]]/SalesData[[#This Row],[Total Revenue]])</f>
        <v>0.21790833873650381</v>
      </c>
      <c r="L1755" s="5" t="str">
        <f>TEXT(SalesData[[#This Row],[Date]],"mmm")</f>
        <v>Oct</v>
      </c>
      <c r="M1755">
        <f>YEAR(SalesData[[#This Row],[Date]])</f>
        <v>2023</v>
      </c>
      <c r="N1755">
        <f>WEEKNUM(SalesData[[#This Row],[Date]])</f>
        <v>44</v>
      </c>
      <c r="O1755" t="s">
        <v>2148</v>
      </c>
      <c r="P1755" t="s">
        <v>2522</v>
      </c>
      <c r="Q1755" t="s">
        <v>2525</v>
      </c>
    </row>
    <row r="1756" spans="1:17" x14ac:dyDescent="0.35">
      <c r="A1756" t="s">
        <v>938</v>
      </c>
      <c r="B1756" s="3">
        <v>45134</v>
      </c>
      <c r="C1756" t="s">
        <v>2014</v>
      </c>
      <c r="D1756" t="s">
        <v>2024</v>
      </c>
      <c r="E1756" s="8">
        <v>4277</v>
      </c>
      <c r="F1756">
        <v>7</v>
      </c>
      <c r="G1756">
        <v>5</v>
      </c>
      <c r="H1756" s="8">
        <v>28442.05</v>
      </c>
      <c r="I1756">
        <v>2868.4</v>
      </c>
      <c r="J1756">
        <v>8363.2800000000007</v>
      </c>
      <c r="K1756" s="5">
        <f>IF(SalesData[[#This Row],[Total Revenue]]=0,0,SalesData[[#This Row],[Profit]]/SalesData[[#This Row],[Total Revenue]])</f>
        <v>0.29404631522692637</v>
      </c>
      <c r="L1756" s="5" t="str">
        <f>TEXT(SalesData[[#This Row],[Date]],"mmm")</f>
        <v>Jul</v>
      </c>
      <c r="M1756">
        <f>YEAR(SalesData[[#This Row],[Date]])</f>
        <v>2023</v>
      </c>
      <c r="N1756">
        <f>WEEKNUM(SalesData[[#This Row],[Date]])</f>
        <v>30</v>
      </c>
      <c r="O1756" t="s">
        <v>2143</v>
      </c>
      <c r="P1756" t="s">
        <v>2522</v>
      </c>
      <c r="Q1756" t="s">
        <v>2527</v>
      </c>
    </row>
    <row r="1757" spans="1:17" x14ac:dyDescent="0.35">
      <c r="A1757" t="s">
        <v>1569</v>
      </c>
      <c r="B1757" s="3">
        <v>45022</v>
      </c>
      <c r="C1757" t="s">
        <v>2014</v>
      </c>
      <c r="D1757" t="s">
        <v>2024</v>
      </c>
      <c r="E1757" s="8">
        <v>2845</v>
      </c>
      <c r="F1757">
        <v>10</v>
      </c>
      <c r="G1757">
        <v>0</v>
      </c>
      <c r="H1757" s="8">
        <v>28450</v>
      </c>
      <c r="I1757">
        <v>1835.88</v>
      </c>
      <c r="J1757">
        <v>10091.18</v>
      </c>
      <c r="K1757" s="5">
        <f>IF(SalesData[[#This Row],[Total Revenue]]=0,0,SalesData[[#This Row],[Profit]]/SalesData[[#This Row],[Total Revenue]])</f>
        <v>0.35469876977152903</v>
      </c>
      <c r="L1757" s="5" t="str">
        <f>TEXT(SalesData[[#This Row],[Date]],"mmm")</f>
        <v>Apr</v>
      </c>
      <c r="M1757">
        <f>YEAR(SalesData[[#This Row],[Date]])</f>
        <v>2023</v>
      </c>
      <c r="N1757">
        <f>WEEKNUM(SalesData[[#This Row],[Date]])</f>
        <v>14</v>
      </c>
      <c r="O1757" t="s">
        <v>2127</v>
      </c>
      <c r="P1757" t="s">
        <v>2522</v>
      </c>
      <c r="Q1757" t="s">
        <v>2525</v>
      </c>
    </row>
    <row r="1758" spans="1:17" x14ac:dyDescent="0.35">
      <c r="A1758" t="s">
        <v>761</v>
      </c>
      <c r="B1758" s="3">
        <v>45077</v>
      </c>
      <c r="C1758" t="s">
        <v>2021</v>
      </c>
      <c r="D1758" t="s">
        <v>2028</v>
      </c>
      <c r="E1758" s="8">
        <v>4196</v>
      </c>
      <c r="F1758">
        <v>8</v>
      </c>
      <c r="G1758">
        <v>15</v>
      </c>
      <c r="H1758" s="8">
        <v>28532.799999999999</v>
      </c>
      <c r="I1758">
        <v>3267.77</v>
      </c>
      <c r="J1758">
        <v>2390.61</v>
      </c>
      <c r="K1758" s="5">
        <f>IF(SalesData[[#This Row],[Total Revenue]]=0,0,SalesData[[#This Row],[Profit]]/SalesData[[#This Row],[Total Revenue]])</f>
        <v>8.3784626815454497E-2</v>
      </c>
      <c r="L1758" s="5" t="str">
        <f>TEXT(SalesData[[#This Row],[Date]],"mmm")</f>
        <v>May</v>
      </c>
      <c r="M1758">
        <f>YEAR(SalesData[[#This Row],[Date]])</f>
        <v>2023</v>
      </c>
      <c r="N1758">
        <f>WEEKNUM(SalesData[[#This Row],[Date]])</f>
        <v>22</v>
      </c>
      <c r="O1758" t="s">
        <v>2186</v>
      </c>
      <c r="P1758" t="s">
        <v>2523</v>
      </c>
      <c r="Q1758" t="s">
        <v>2526</v>
      </c>
    </row>
    <row r="1759" spans="1:17" x14ac:dyDescent="0.35">
      <c r="A1759" t="s">
        <v>594</v>
      </c>
      <c r="B1759" s="3">
        <v>45029</v>
      </c>
      <c r="C1759" t="s">
        <v>2019</v>
      </c>
      <c r="D1759" t="s">
        <v>2027</v>
      </c>
      <c r="E1759" s="8">
        <v>3968</v>
      </c>
      <c r="F1759">
        <v>8</v>
      </c>
      <c r="G1759">
        <v>10</v>
      </c>
      <c r="H1759" s="8">
        <v>28569.599999999999</v>
      </c>
      <c r="I1759">
        <v>2153.59</v>
      </c>
      <c r="J1759">
        <v>11340.84</v>
      </c>
      <c r="K1759" s="5">
        <f>IF(SalesData[[#This Row],[Total Revenue]]=0,0,SalesData[[#This Row],[Profit]]/SalesData[[#This Row],[Total Revenue]])</f>
        <v>0.3969548051075269</v>
      </c>
      <c r="L1759" s="5" t="str">
        <f>TEXT(SalesData[[#This Row],[Date]],"mmm")</f>
        <v>Apr</v>
      </c>
      <c r="M1759">
        <f>YEAR(SalesData[[#This Row],[Date]])</f>
        <v>2023</v>
      </c>
      <c r="N1759">
        <f>WEEKNUM(SalesData[[#This Row],[Date]])</f>
        <v>15</v>
      </c>
      <c r="O1759" t="s">
        <v>2367</v>
      </c>
      <c r="P1759" t="s">
        <v>2523</v>
      </c>
      <c r="Q1759" t="s">
        <v>2527</v>
      </c>
    </row>
    <row r="1760" spans="1:17" x14ac:dyDescent="0.35">
      <c r="A1760" t="s">
        <v>64</v>
      </c>
      <c r="B1760" s="3">
        <v>45093</v>
      </c>
      <c r="C1760" t="s">
        <v>2016</v>
      </c>
      <c r="D1760" t="s">
        <v>2025</v>
      </c>
      <c r="E1760" s="8">
        <v>4537</v>
      </c>
      <c r="F1760">
        <v>7</v>
      </c>
      <c r="G1760">
        <v>10</v>
      </c>
      <c r="H1760" s="8">
        <v>28583.1</v>
      </c>
      <c r="I1760">
        <v>3579.21</v>
      </c>
      <c r="J1760">
        <v>3528.65</v>
      </c>
      <c r="K1760" s="5">
        <f>IF(SalesData[[#This Row],[Total Revenue]]=0,0,SalesData[[#This Row],[Profit]]/SalesData[[#This Row],[Total Revenue]])</f>
        <v>0.12345231972739137</v>
      </c>
      <c r="L1760" s="5" t="str">
        <f>TEXT(SalesData[[#This Row],[Date]],"mmm")</f>
        <v>Jun</v>
      </c>
      <c r="M1760">
        <f>YEAR(SalesData[[#This Row],[Date]])</f>
        <v>2023</v>
      </c>
      <c r="N1760">
        <f>WEEKNUM(SalesData[[#This Row],[Date]])</f>
        <v>24</v>
      </c>
      <c r="O1760" t="s">
        <v>2075</v>
      </c>
      <c r="P1760" t="s">
        <v>2522</v>
      </c>
      <c r="Q1760" t="s">
        <v>2525</v>
      </c>
    </row>
    <row r="1761" spans="1:17" x14ac:dyDescent="0.35">
      <c r="A1761" t="s">
        <v>295</v>
      </c>
      <c r="B1761" s="3">
        <v>44992</v>
      </c>
      <c r="C1761" t="s">
        <v>2014</v>
      </c>
      <c r="D1761" t="s">
        <v>2024</v>
      </c>
      <c r="E1761" s="8">
        <v>3998</v>
      </c>
      <c r="F1761">
        <v>8</v>
      </c>
      <c r="G1761">
        <v>10</v>
      </c>
      <c r="H1761" s="8">
        <v>28785.599999999999</v>
      </c>
      <c r="I1761">
        <v>2754.25</v>
      </c>
      <c r="J1761">
        <v>6751.59</v>
      </c>
      <c r="K1761" s="5">
        <f>IF(SalesData[[#This Row],[Total Revenue]]=0,0,SalesData[[#This Row],[Profit]]/SalesData[[#This Row],[Total Revenue]])</f>
        <v>0.23454748207437054</v>
      </c>
      <c r="L1761" s="5" t="str">
        <f>TEXT(SalesData[[#This Row],[Date]],"mmm")</f>
        <v>Mar</v>
      </c>
      <c r="M1761">
        <f>YEAR(SalesData[[#This Row],[Date]])</f>
        <v>2023</v>
      </c>
      <c r="N1761">
        <f>WEEKNUM(SalesData[[#This Row],[Date]])</f>
        <v>10</v>
      </c>
      <c r="O1761" t="s">
        <v>2243</v>
      </c>
      <c r="P1761" t="s">
        <v>2522</v>
      </c>
      <c r="Q1761" t="s">
        <v>2526</v>
      </c>
    </row>
    <row r="1762" spans="1:17" x14ac:dyDescent="0.35">
      <c r="A1762" t="s">
        <v>1067</v>
      </c>
      <c r="B1762" s="3">
        <v>44943</v>
      </c>
      <c r="C1762" t="s">
        <v>2013</v>
      </c>
      <c r="D1762" t="s">
        <v>2023</v>
      </c>
      <c r="E1762" s="8">
        <v>3372</v>
      </c>
      <c r="F1762">
        <v>9</v>
      </c>
      <c r="G1762">
        <v>5</v>
      </c>
      <c r="H1762" s="8">
        <v>28830.6</v>
      </c>
      <c r="I1762">
        <v>1774.99</v>
      </c>
      <c r="J1762">
        <v>12855.67</v>
      </c>
      <c r="K1762" s="5">
        <f>IF(SalesData[[#This Row],[Total Revenue]]=0,0,SalesData[[#This Row],[Profit]]/SalesData[[#This Row],[Total Revenue]])</f>
        <v>0.44590365791901665</v>
      </c>
      <c r="L1762" s="5" t="str">
        <f>TEXT(SalesData[[#This Row],[Date]],"mmm")</f>
        <v>Jan</v>
      </c>
      <c r="M1762">
        <f>YEAR(SalesData[[#This Row],[Date]])</f>
        <v>2023</v>
      </c>
      <c r="N1762">
        <f>WEEKNUM(SalesData[[#This Row],[Date]])</f>
        <v>3</v>
      </c>
      <c r="O1762" t="s">
        <v>2215</v>
      </c>
      <c r="P1762" t="s">
        <v>2523</v>
      </c>
      <c r="Q1762" t="s">
        <v>2525</v>
      </c>
    </row>
    <row r="1763" spans="1:17" x14ac:dyDescent="0.35">
      <c r="A1763" t="s">
        <v>1503</v>
      </c>
      <c r="B1763" s="3">
        <v>44953</v>
      </c>
      <c r="C1763" t="s">
        <v>2015</v>
      </c>
      <c r="D1763" t="s">
        <v>2025</v>
      </c>
      <c r="E1763" s="8">
        <v>3036</v>
      </c>
      <c r="F1763">
        <v>10</v>
      </c>
      <c r="G1763">
        <v>5</v>
      </c>
      <c r="H1763" s="8">
        <v>28842</v>
      </c>
      <c r="I1763">
        <v>1877.15</v>
      </c>
      <c r="J1763">
        <v>10070.5</v>
      </c>
      <c r="K1763" s="5">
        <f>IF(SalesData[[#This Row],[Total Revenue]]=0,0,SalesData[[#This Row],[Profit]]/SalesData[[#This Row],[Total Revenue]])</f>
        <v>0.34916094584286805</v>
      </c>
      <c r="L1763" s="5" t="str">
        <f>TEXT(SalesData[[#This Row],[Date]],"mmm")</f>
        <v>Jan</v>
      </c>
      <c r="M1763">
        <f>YEAR(SalesData[[#This Row],[Date]])</f>
        <v>2023</v>
      </c>
      <c r="N1763">
        <f>WEEKNUM(SalesData[[#This Row],[Date]])</f>
        <v>4</v>
      </c>
      <c r="O1763" t="s">
        <v>2250</v>
      </c>
      <c r="P1763" t="s">
        <v>2523</v>
      </c>
      <c r="Q1763" t="s">
        <v>2526</v>
      </c>
    </row>
    <row r="1764" spans="1:17" x14ac:dyDescent="0.35">
      <c r="A1764" t="s">
        <v>1445</v>
      </c>
      <c r="B1764" s="3">
        <v>45093</v>
      </c>
      <c r="C1764" t="s">
        <v>2017</v>
      </c>
      <c r="D1764" t="s">
        <v>2026</v>
      </c>
      <c r="E1764" s="8">
        <v>4850</v>
      </c>
      <c r="F1764">
        <v>7</v>
      </c>
      <c r="G1764">
        <v>15</v>
      </c>
      <c r="H1764" s="8">
        <v>28857.5</v>
      </c>
      <c r="I1764">
        <v>3578.87</v>
      </c>
      <c r="J1764">
        <v>3805.38</v>
      </c>
      <c r="K1764" s="5">
        <f>IF(SalesData[[#This Row],[Total Revenue]]=0,0,SalesData[[#This Row],[Profit]]/SalesData[[#This Row],[Total Revenue]])</f>
        <v>0.13186797193104047</v>
      </c>
      <c r="L1764" s="5" t="str">
        <f>TEXT(SalesData[[#This Row],[Date]],"mmm")</f>
        <v>Jun</v>
      </c>
      <c r="M1764">
        <f>YEAR(SalesData[[#This Row],[Date]])</f>
        <v>2023</v>
      </c>
      <c r="N1764">
        <f>WEEKNUM(SalesData[[#This Row],[Date]])</f>
        <v>24</v>
      </c>
      <c r="O1764" t="s">
        <v>2302</v>
      </c>
      <c r="P1764" t="s">
        <v>2522</v>
      </c>
      <c r="Q1764" t="s">
        <v>2524</v>
      </c>
    </row>
    <row r="1765" spans="1:17" x14ac:dyDescent="0.35">
      <c r="A1765" t="s">
        <v>601</v>
      </c>
      <c r="B1765" s="3">
        <v>45075</v>
      </c>
      <c r="C1765" t="s">
        <v>2017</v>
      </c>
      <c r="D1765" t="s">
        <v>2026</v>
      </c>
      <c r="E1765" s="8">
        <v>3377</v>
      </c>
      <c r="F1765">
        <v>9</v>
      </c>
      <c r="G1765">
        <v>5</v>
      </c>
      <c r="H1765" s="8">
        <v>28873.35</v>
      </c>
      <c r="I1765">
        <v>2174.16</v>
      </c>
      <c r="J1765">
        <v>9305.89</v>
      </c>
      <c r="K1765" s="5">
        <f>IF(SalesData[[#This Row],[Total Revenue]]=0,0,SalesData[[#This Row],[Profit]]/SalesData[[#This Row],[Total Revenue]])</f>
        <v>0.3223003219231575</v>
      </c>
      <c r="L1765" s="5" t="str">
        <f>TEXT(SalesData[[#This Row],[Date]],"mmm")</f>
        <v>May</v>
      </c>
      <c r="M1765">
        <f>YEAR(SalesData[[#This Row],[Date]])</f>
        <v>2023</v>
      </c>
      <c r="N1765">
        <f>WEEKNUM(SalesData[[#This Row],[Date]])</f>
        <v>22</v>
      </c>
      <c r="O1765" t="s">
        <v>2368</v>
      </c>
      <c r="P1765" t="s">
        <v>2523</v>
      </c>
      <c r="Q1765" t="s">
        <v>2525</v>
      </c>
    </row>
    <row r="1766" spans="1:17" x14ac:dyDescent="0.35">
      <c r="A1766" t="s">
        <v>941</v>
      </c>
      <c r="B1766" s="3">
        <v>44972</v>
      </c>
      <c r="C1766" t="s">
        <v>2022</v>
      </c>
      <c r="D1766" t="s">
        <v>2024</v>
      </c>
      <c r="E1766" s="8">
        <v>4011</v>
      </c>
      <c r="F1766">
        <v>8</v>
      </c>
      <c r="G1766">
        <v>10</v>
      </c>
      <c r="H1766" s="8">
        <v>28879.200000000001</v>
      </c>
      <c r="I1766">
        <v>3100.55</v>
      </c>
      <c r="J1766">
        <v>4074.78</v>
      </c>
      <c r="K1766" s="5">
        <f>IF(SalesData[[#This Row],[Total Revenue]]=0,0,SalesData[[#This Row],[Profit]]/SalesData[[#This Row],[Total Revenue]])</f>
        <v>0.1410973988199119</v>
      </c>
      <c r="L1766" s="5" t="str">
        <f>TEXT(SalesData[[#This Row],[Date]],"mmm")</f>
        <v>Feb</v>
      </c>
      <c r="M1766">
        <f>YEAR(SalesData[[#This Row],[Date]])</f>
        <v>2023</v>
      </c>
      <c r="N1766">
        <f>WEEKNUM(SalesData[[#This Row],[Date]])</f>
        <v>7</v>
      </c>
      <c r="O1766" t="s">
        <v>2295</v>
      </c>
      <c r="P1766" t="s">
        <v>2522</v>
      </c>
      <c r="Q1766" t="s">
        <v>2525</v>
      </c>
    </row>
    <row r="1767" spans="1:17" x14ac:dyDescent="0.35">
      <c r="A1767" t="s">
        <v>1344</v>
      </c>
      <c r="B1767" s="3">
        <v>45160</v>
      </c>
      <c r="C1767" t="s">
        <v>2014</v>
      </c>
      <c r="D1767" t="s">
        <v>2024</v>
      </c>
      <c r="E1767" s="8">
        <v>3209</v>
      </c>
      <c r="F1767">
        <v>9</v>
      </c>
      <c r="G1767">
        <v>0</v>
      </c>
      <c r="H1767" s="8">
        <v>28881</v>
      </c>
      <c r="I1767">
        <v>2070</v>
      </c>
      <c r="J1767">
        <v>10250.99</v>
      </c>
      <c r="K1767" s="5">
        <f>IF(SalesData[[#This Row],[Total Revenue]]=0,0,SalesData[[#This Row],[Profit]]/SalesData[[#This Row],[Total Revenue]])</f>
        <v>0.35493888715764688</v>
      </c>
      <c r="L1767" s="5" t="str">
        <f>TEXT(SalesData[[#This Row],[Date]],"mmm")</f>
        <v>Aug</v>
      </c>
      <c r="M1767">
        <f>YEAR(SalesData[[#This Row],[Date]])</f>
        <v>2023</v>
      </c>
      <c r="N1767">
        <f>WEEKNUM(SalesData[[#This Row],[Date]])</f>
        <v>34</v>
      </c>
      <c r="O1767" t="s">
        <v>2099</v>
      </c>
      <c r="P1767" t="s">
        <v>2523</v>
      </c>
      <c r="Q1767" t="s">
        <v>2524</v>
      </c>
    </row>
    <row r="1768" spans="1:17" x14ac:dyDescent="0.35">
      <c r="A1768" t="s">
        <v>1595</v>
      </c>
      <c r="B1768" s="3">
        <v>45015</v>
      </c>
      <c r="C1768" t="s">
        <v>2014</v>
      </c>
      <c r="D1768" t="s">
        <v>2024</v>
      </c>
      <c r="E1768" s="8">
        <v>3045</v>
      </c>
      <c r="F1768">
        <v>10</v>
      </c>
      <c r="G1768">
        <v>5</v>
      </c>
      <c r="H1768" s="8">
        <v>28927.5</v>
      </c>
      <c r="I1768">
        <v>2236.46</v>
      </c>
      <c r="J1768">
        <v>6562.88</v>
      </c>
      <c r="K1768" s="5">
        <f>IF(SalesData[[#This Row],[Total Revenue]]=0,0,SalesData[[#This Row],[Profit]]/SalesData[[#This Row],[Total Revenue]])</f>
        <v>0.22687339037248294</v>
      </c>
      <c r="L1768" s="5" t="str">
        <f>TEXT(SalesData[[#This Row],[Date]],"mmm")</f>
        <v>Mar</v>
      </c>
      <c r="M1768">
        <f>YEAR(SalesData[[#This Row],[Date]])</f>
        <v>2023</v>
      </c>
      <c r="N1768">
        <f>WEEKNUM(SalesData[[#This Row],[Date]])</f>
        <v>13</v>
      </c>
      <c r="O1768" t="s">
        <v>2423</v>
      </c>
      <c r="P1768" t="s">
        <v>2522</v>
      </c>
      <c r="Q1768" t="s">
        <v>2527</v>
      </c>
    </row>
    <row r="1769" spans="1:17" x14ac:dyDescent="0.35">
      <c r="A1769" t="s">
        <v>136</v>
      </c>
      <c r="B1769" s="3">
        <v>45277</v>
      </c>
      <c r="C1769" t="s">
        <v>2014</v>
      </c>
      <c r="D1769" t="s">
        <v>2024</v>
      </c>
      <c r="E1769" s="8">
        <v>3051</v>
      </c>
      <c r="F1769">
        <v>10</v>
      </c>
      <c r="G1769">
        <v>5</v>
      </c>
      <c r="H1769" s="8">
        <v>28984.5</v>
      </c>
      <c r="I1769">
        <v>2175.9</v>
      </c>
      <c r="J1769">
        <v>7225.48</v>
      </c>
      <c r="K1769" s="5">
        <f>IF(SalesData[[#This Row],[Total Revenue]]=0,0,SalesData[[#This Row],[Profit]]/SalesData[[#This Row],[Total Revenue]])</f>
        <v>0.2492877227483655</v>
      </c>
      <c r="L1769" s="5" t="str">
        <f>TEXT(SalesData[[#This Row],[Date]],"mmm")</f>
        <v>Dec</v>
      </c>
      <c r="M1769">
        <f>YEAR(SalesData[[#This Row],[Date]])</f>
        <v>2023</v>
      </c>
      <c r="N1769">
        <f>WEEKNUM(SalesData[[#This Row],[Date]])</f>
        <v>51</v>
      </c>
      <c r="O1769" t="s">
        <v>2139</v>
      </c>
      <c r="P1769" t="s">
        <v>2522</v>
      </c>
      <c r="Q1769" t="s">
        <v>2526</v>
      </c>
    </row>
    <row r="1770" spans="1:17" x14ac:dyDescent="0.35">
      <c r="A1770" t="s">
        <v>1407</v>
      </c>
      <c r="B1770" s="3">
        <v>45075</v>
      </c>
      <c r="C1770" t="s">
        <v>2021</v>
      </c>
      <c r="D1770" t="s">
        <v>2028</v>
      </c>
      <c r="E1770" s="8">
        <v>3801</v>
      </c>
      <c r="F1770">
        <v>9</v>
      </c>
      <c r="G1770">
        <v>15</v>
      </c>
      <c r="H1770" s="8">
        <v>29077.65</v>
      </c>
      <c r="I1770">
        <v>2404.4699999999998</v>
      </c>
      <c r="J1770">
        <v>7437.43</v>
      </c>
      <c r="K1770" s="5">
        <f>IF(SalesData[[#This Row],[Total Revenue]]=0,0,SalesData[[#This Row],[Profit]]/SalesData[[#This Row],[Total Revenue]])</f>
        <v>0.25577823517375026</v>
      </c>
      <c r="L1770" s="5" t="str">
        <f>TEXT(SalesData[[#This Row],[Date]],"mmm")</f>
        <v>May</v>
      </c>
      <c r="M1770">
        <f>YEAR(SalesData[[#This Row],[Date]])</f>
        <v>2023</v>
      </c>
      <c r="N1770">
        <f>WEEKNUM(SalesData[[#This Row],[Date]])</f>
        <v>22</v>
      </c>
      <c r="O1770" t="s">
        <v>2344</v>
      </c>
      <c r="P1770" t="s">
        <v>2523</v>
      </c>
      <c r="Q1770" t="s">
        <v>2524</v>
      </c>
    </row>
    <row r="1771" spans="1:17" x14ac:dyDescent="0.35">
      <c r="A1771" t="s">
        <v>1306</v>
      </c>
      <c r="B1771" s="3">
        <v>45166</v>
      </c>
      <c r="C1771" t="s">
        <v>2020</v>
      </c>
      <c r="D1771" t="s">
        <v>2028</v>
      </c>
      <c r="E1771" s="8">
        <v>3648</v>
      </c>
      <c r="F1771">
        <v>8</v>
      </c>
      <c r="G1771">
        <v>0</v>
      </c>
      <c r="H1771" s="8">
        <v>29184</v>
      </c>
      <c r="I1771">
        <v>2806.45</v>
      </c>
      <c r="J1771">
        <v>6732.4</v>
      </c>
      <c r="K1771" s="5">
        <f>IF(SalesData[[#This Row],[Total Revenue]]=0,0,SalesData[[#This Row],[Profit]]/SalesData[[#This Row],[Total Revenue]])</f>
        <v>0.23068804824561404</v>
      </c>
      <c r="L1771" s="5" t="str">
        <f>TEXT(SalesData[[#This Row],[Date]],"mmm")</f>
        <v>Aug</v>
      </c>
      <c r="M1771">
        <f>YEAR(SalesData[[#This Row],[Date]])</f>
        <v>2023</v>
      </c>
      <c r="N1771">
        <f>WEEKNUM(SalesData[[#This Row],[Date]])</f>
        <v>35</v>
      </c>
      <c r="O1771" t="s">
        <v>2307</v>
      </c>
      <c r="P1771" t="s">
        <v>2522</v>
      </c>
      <c r="Q1771" t="s">
        <v>2527</v>
      </c>
    </row>
    <row r="1772" spans="1:17" x14ac:dyDescent="0.35">
      <c r="A1772" t="s">
        <v>163</v>
      </c>
      <c r="B1772" s="3">
        <v>45234</v>
      </c>
      <c r="C1772" t="s">
        <v>2016</v>
      </c>
      <c r="D1772" t="s">
        <v>2025</v>
      </c>
      <c r="E1772" s="8">
        <v>4176</v>
      </c>
      <c r="F1772">
        <v>7</v>
      </c>
      <c r="G1772">
        <v>0</v>
      </c>
      <c r="H1772" s="8">
        <v>29232</v>
      </c>
      <c r="I1772">
        <v>2341.11</v>
      </c>
      <c r="J1772">
        <v>12844.26</v>
      </c>
      <c r="K1772" s="5">
        <f>IF(SalesData[[#This Row],[Total Revenue]]=0,0,SalesData[[#This Row],[Profit]]/SalesData[[#This Row],[Total Revenue]])</f>
        <v>0.43939039408866998</v>
      </c>
      <c r="L1772" s="5" t="str">
        <f>TEXT(SalesData[[#This Row],[Date]],"mmm")</f>
        <v>Nov</v>
      </c>
      <c r="M1772">
        <f>YEAR(SalesData[[#This Row],[Date]])</f>
        <v>2023</v>
      </c>
      <c r="N1772">
        <f>WEEKNUM(SalesData[[#This Row],[Date]])</f>
        <v>44</v>
      </c>
      <c r="O1772" t="s">
        <v>2161</v>
      </c>
      <c r="P1772" t="s">
        <v>2522</v>
      </c>
      <c r="Q1772" t="s">
        <v>2526</v>
      </c>
    </row>
    <row r="1773" spans="1:17" x14ac:dyDescent="0.35">
      <c r="A1773" t="s">
        <v>366</v>
      </c>
      <c r="B1773" s="3">
        <v>45077</v>
      </c>
      <c r="C1773" t="s">
        <v>2015</v>
      </c>
      <c r="D1773" t="s">
        <v>2025</v>
      </c>
      <c r="E1773" s="8">
        <v>4300</v>
      </c>
      <c r="F1773">
        <v>8</v>
      </c>
      <c r="G1773">
        <v>15</v>
      </c>
      <c r="H1773" s="8">
        <v>29240</v>
      </c>
      <c r="I1773">
        <v>2652.31</v>
      </c>
      <c r="J1773">
        <v>8021.53</v>
      </c>
      <c r="K1773" s="5">
        <f>IF(SalesData[[#This Row],[Total Revenue]]=0,0,SalesData[[#This Row],[Profit]]/SalesData[[#This Row],[Total Revenue]])</f>
        <v>0.27433413132694939</v>
      </c>
      <c r="L1773" s="5" t="str">
        <f>TEXT(SalesData[[#This Row],[Date]],"mmm")</f>
        <v>May</v>
      </c>
      <c r="M1773">
        <f>YEAR(SalesData[[#This Row],[Date]])</f>
        <v>2023</v>
      </c>
      <c r="N1773">
        <f>WEEKNUM(SalesData[[#This Row],[Date]])</f>
        <v>22</v>
      </c>
      <c r="O1773" t="s">
        <v>2133</v>
      </c>
      <c r="P1773" t="s">
        <v>2522</v>
      </c>
      <c r="Q1773" t="s">
        <v>2526</v>
      </c>
    </row>
    <row r="1774" spans="1:17" x14ac:dyDescent="0.35">
      <c r="A1774" t="s">
        <v>1464</v>
      </c>
      <c r="B1774" s="3">
        <v>44965</v>
      </c>
      <c r="C1774" t="s">
        <v>2017</v>
      </c>
      <c r="D1774" t="s">
        <v>2026</v>
      </c>
      <c r="E1774" s="8">
        <v>4407</v>
      </c>
      <c r="F1774">
        <v>7</v>
      </c>
      <c r="G1774">
        <v>5</v>
      </c>
      <c r="H1774" s="8">
        <v>29306.55</v>
      </c>
      <c r="I1774">
        <v>2843.89</v>
      </c>
      <c r="J1774">
        <v>9399.2999999999993</v>
      </c>
      <c r="K1774" s="5">
        <f>IF(SalesData[[#This Row],[Total Revenue]]=0,0,SalesData[[#This Row],[Profit]]/SalesData[[#This Row],[Total Revenue]])</f>
        <v>0.32072352426334727</v>
      </c>
      <c r="L1774" s="5" t="str">
        <f>TEXT(SalesData[[#This Row],[Date]],"mmm")</f>
        <v>Feb</v>
      </c>
      <c r="M1774">
        <f>YEAR(SalesData[[#This Row],[Date]])</f>
        <v>2023</v>
      </c>
      <c r="N1774">
        <f>WEEKNUM(SalesData[[#This Row],[Date]])</f>
        <v>6</v>
      </c>
      <c r="O1774" t="s">
        <v>2251</v>
      </c>
      <c r="P1774" t="s">
        <v>2523</v>
      </c>
      <c r="Q1774" t="s">
        <v>2527</v>
      </c>
    </row>
    <row r="1775" spans="1:17" x14ac:dyDescent="0.35">
      <c r="A1775" t="s">
        <v>146</v>
      </c>
      <c r="B1775" s="3">
        <v>45043</v>
      </c>
      <c r="C1775" t="s">
        <v>2019</v>
      </c>
      <c r="D1775" t="s">
        <v>2027</v>
      </c>
      <c r="E1775" s="8">
        <v>3665</v>
      </c>
      <c r="F1775">
        <v>8</v>
      </c>
      <c r="G1775">
        <v>0</v>
      </c>
      <c r="H1775" s="8">
        <v>29320</v>
      </c>
      <c r="I1775">
        <v>2769.76</v>
      </c>
      <c r="J1775">
        <v>7161.96</v>
      </c>
      <c r="K1775" s="5">
        <f>IF(SalesData[[#This Row],[Total Revenue]]=0,0,SalesData[[#This Row],[Profit]]/SalesData[[#This Row],[Total Revenue]])</f>
        <v>0.24426875852660301</v>
      </c>
      <c r="L1775" s="5" t="str">
        <f>TEXT(SalesData[[#This Row],[Date]],"mmm")</f>
        <v>Apr</v>
      </c>
      <c r="M1775">
        <f>YEAR(SalesData[[#This Row],[Date]])</f>
        <v>2023</v>
      </c>
      <c r="N1775">
        <f>WEEKNUM(SalesData[[#This Row],[Date]])</f>
        <v>17</v>
      </c>
      <c r="O1775" t="s">
        <v>2147</v>
      </c>
      <c r="P1775" t="s">
        <v>2522</v>
      </c>
      <c r="Q1775" t="s">
        <v>2526</v>
      </c>
    </row>
    <row r="1776" spans="1:17" x14ac:dyDescent="0.35">
      <c r="A1776" t="s">
        <v>1653</v>
      </c>
      <c r="B1776" s="3">
        <v>45018</v>
      </c>
      <c r="C1776" t="s">
        <v>2014</v>
      </c>
      <c r="D1776" t="s">
        <v>2024</v>
      </c>
      <c r="E1776" s="8">
        <v>4932</v>
      </c>
      <c r="F1776">
        <v>7</v>
      </c>
      <c r="G1776">
        <v>15</v>
      </c>
      <c r="H1776" s="8">
        <v>29345.4</v>
      </c>
      <c r="I1776">
        <v>3445.68</v>
      </c>
      <c r="J1776">
        <v>5225.6499999999996</v>
      </c>
      <c r="K1776" s="5">
        <f>IF(SalesData[[#This Row],[Total Revenue]]=0,0,SalesData[[#This Row],[Profit]]/SalesData[[#This Row],[Total Revenue]])</f>
        <v>0.17807390596141132</v>
      </c>
      <c r="L1776" s="5" t="str">
        <f>TEXT(SalesData[[#This Row],[Date]],"mmm")</f>
        <v>Apr</v>
      </c>
      <c r="M1776">
        <f>YEAR(SalesData[[#This Row],[Date]])</f>
        <v>2023</v>
      </c>
      <c r="N1776">
        <f>WEEKNUM(SalesData[[#This Row],[Date]])</f>
        <v>14</v>
      </c>
      <c r="O1776" t="s">
        <v>2081</v>
      </c>
      <c r="P1776" t="s">
        <v>2522</v>
      </c>
      <c r="Q1776" t="s">
        <v>2527</v>
      </c>
    </row>
    <row r="1777" spans="1:17" x14ac:dyDescent="0.35">
      <c r="A1777" t="s">
        <v>1645</v>
      </c>
      <c r="B1777" s="3">
        <v>44984</v>
      </c>
      <c r="C1777" t="s">
        <v>2016</v>
      </c>
      <c r="D1777" t="s">
        <v>2025</v>
      </c>
      <c r="E1777" s="8">
        <v>4891</v>
      </c>
      <c r="F1777">
        <v>6</v>
      </c>
      <c r="G1777">
        <v>0</v>
      </c>
      <c r="H1777" s="8">
        <v>29346</v>
      </c>
      <c r="I1777">
        <v>3065.32</v>
      </c>
      <c r="J1777">
        <v>10954.08</v>
      </c>
      <c r="K1777" s="5">
        <f>IF(SalesData[[#This Row],[Total Revenue]]=0,0,SalesData[[#This Row],[Profit]]/SalesData[[#This Row],[Total Revenue]])</f>
        <v>0.37327335923124105</v>
      </c>
      <c r="L1777" s="5" t="str">
        <f>TEXT(SalesData[[#This Row],[Date]],"mmm")</f>
        <v>Feb</v>
      </c>
      <c r="M1777">
        <f>YEAR(SalesData[[#This Row],[Date]])</f>
        <v>2023</v>
      </c>
      <c r="N1777">
        <f>WEEKNUM(SalesData[[#This Row],[Date]])</f>
        <v>9</v>
      </c>
      <c r="O1777" t="s">
        <v>2359</v>
      </c>
      <c r="P1777" t="s">
        <v>2523</v>
      </c>
      <c r="Q1777" t="s">
        <v>2525</v>
      </c>
    </row>
    <row r="1778" spans="1:17" x14ac:dyDescent="0.35">
      <c r="A1778" t="s">
        <v>2008</v>
      </c>
      <c r="B1778" s="3">
        <v>45161</v>
      </c>
      <c r="C1778" t="s">
        <v>2015</v>
      </c>
      <c r="D1778" t="s">
        <v>2025</v>
      </c>
      <c r="E1778" s="8">
        <v>4935</v>
      </c>
      <c r="F1778">
        <v>7</v>
      </c>
      <c r="G1778">
        <v>15</v>
      </c>
      <c r="H1778" s="8">
        <v>29363.25</v>
      </c>
      <c r="I1778">
        <v>2844.61</v>
      </c>
      <c r="J1778">
        <v>9450.9500000000007</v>
      </c>
      <c r="K1778" s="5">
        <f>IF(SalesData[[#This Row],[Total Revenue]]=0,0,SalesData[[#This Row],[Profit]]/SalesData[[#This Row],[Total Revenue]])</f>
        <v>0.32186321337045459</v>
      </c>
      <c r="L1778" s="5" t="str">
        <f>TEXT(SalesData[[#This Row],[Date]],"mmm")</f>
        <v>Aug</v>
      </c>
      <c r="M1778">
        <f>YEAR(SalesData[[#This Row],[Date]])</f>
        <v>2023</v>
      </c>
      <c r="N1778">
        <f>WEEKNUM(SalesData[[#This Row],[Date]])</f>
        <v>34</v>
      </c>
      <c r="O1778" t="s">
        <v>2500</v>
      </c>
      <c r="P1778" t="s">
        <v>2523</v>
      </c>
      <c r="Q1778" t="s">
        <v>2526</v>
      </c>
    </row>
    <row r="1779" spans="1:17" x14ac:dyDescent="0.35">
      <c r="A1779" t="s">
        <v>943</v>
      </c>
      <c r="B1779" s="3">
        <v>45068</v>
      </c>
      <c r="C1779" t="s">
        <v>2015</v>
      </c>
      <c r="D1779" t="s">
        <v>2025</v>
      </c>
      <c r="E1779" s="8">
        <v>4940</v>
      </c>
      <c r="F1779">
        <v>7</v>
      </c>
      <c r="G1779">
        <v>15</v>
      </c>
      <c r="H1779" s="8">
        <v>29393</v>
      </c>
      <c r="I1779">
        <v>2613.2399999999998</v>
      </c>
      <c r="J1779">
        <v>11100.33</v>
      </c>
      <c r="K1779" s="5">
        <f>IF(SalesData[[#This Row],[Total Revenue]]=0,0,SalesData[[#This Row],[Profit]]/SalesData[[#This Row],[Total Revenue]])</f>
        <v>0.37765216207940666</v>
      </c>
      <c r="L1779" s="5" t="str">
        <f>TEXT(SalesData[[#This Row],[Date]],"mmm")</f>
        <v>May</v>
      </c>
      <c r="M1779">
        <f>YEAR(SalesData[[#This Row],[Date]])</f>
        <v>2023</v>
      </c>
      <c r="N1779">
        <f>WEEKNUM(SalesData[[#This Row],[Date]])</f>
        <v>21</v>
      </c>
      <c r="O1779" t="s">
        <v>2092</v>
      </c>
      <c r="P1779" t="s">
        <v>2523</v>
      </c>
      <c r="Q1779" t="s">
        <v>2525</v>
      </c>
    </row>
    <row r="1780" spans="1:17" x14ac:dyDescent="0.35">
      <c r="A1780" t="s">
        <v>438</v>
      </c>
      <c r="B1780" s="3">
        <v>45077</v>
      </c>
      <c r="C1780" t="s">
        <v>2014</v>
      </c>
      <c r="D1780" t="s">
        <v>2024</v>
      </c>
      <c r="E1780" s="8">
        <v>4900</v>
      </c>
      <c r="F1780">
        <v>6</v>
      </c>
      <c r="G1780">
        <v>0</v>
      </c>
      <c r="H1780" s="8">
        <v>29400</v>
      </c>
      <c r="I1780">
        <v>3405.52</v>
      </c>
      <c r="J1780">
        <v>8966.9</v>
      </c>
      <c r="K1780" s="5">
        <f>IF(SalesData[[#This Row],[Total Revenue]]=0,0,SalesData[[#This Row],[Profit]]/SalesData[[#This Row],[Total Revenue]])</f>
        <v>0.30499659863945577</v>
      </c>
      <c r="L1780" s="5" t="str">
        <f>TEXT(SalesData[[#This Row],[Date]],"mmm")</f>
        <v>May</v>
      </c>
      <c r="M1780">
        <f>YEAR(SalesData[[#This Row],[Date]])</f>
        <v>2023</v>
      </c>
      <c r="N1780">
        <f>WEEKNUM(SalesData[[#This Row],[Date]])</f>
        <v>22</v>
      </c>
      <c r="O1780" t="s">
        <v>2310</v>
      </c>
      <c r="P1780" t="s">
        <v>2523</v>
      </c>
      <c r="Q1780" t="s">
        <v>2525</v>
      </c>
    </row>
    <row r="1781" spans="1:17" x14ac:dyDescent="0.35">
      <c r="A1781" t="s">
        <v>1154</v>
      </c>
      <c r="B1781" s="3">
        <v>45100</v>
      </c>
      <c r="C1781" t="s">
        <v>2020</v>
      </c>
      <c r="D1781" t="s">
        <v>2028</v>
      </c>
      <c r="E1781" s="8">
        <v>3110</v>
      </c>
      <c r="F1781">
        <v>10</v>
      </c>
      <c r="G1781">
        <v>5</v>
      </c>
      <c r="H1781" s="8">
        <v>29545</v>
      </c>
      <c r="I1781">
        <v>2071.6</v>
      </c>
      <c r="J1781">
        <v>8829.01</v>
      </c>
      <c r="K1781" s="5">
        <f>IF(SalesData[[#This Row],[Total Revenue]]=0,0,SalesData[[#This Row],[Profit]]/SalesData[[#This Row],[Total Revenue]])</f>
        <v>0.29883262819427991</v>
      </c>
      <c r="L1781" s="5" t="str">
        <f>TEXT(SalesData[[#This Row],[Date]],"mmm")</f>
        <v>Jun</v>
      </c>
      <c r="M1781">
        <f>YEAR(SalesData[[#This Row],[Date]])</f>
        <v>2023</v>
      </c>
      <c r="N1781">
        <f>WEEKNUM(SalesData[[#This Row],[Date]])</f>
        <v>25</v>
      </c>
      <c r="O1781" t="s">
        <v>2475</v>
      </c>
      <c r="P1781" t="s">
        <v>2523</v>
      </c>
      <c r="Q1781" t="s">
        <v>2527</v>
      </c>
    </row>
    <row r="1782" spans="1:17" x14ac:dyDescent="0.35">
      <c r="A1782" t="s">
        <v>1848</v>
      </c>
      <c r="B1782" s="3">
        <v>45276</v>
      </c>
      <c r="C1782" t="s">
        <v>2018</v>
      </c>
      <c r="D1782" t="s">
        <v>2026</v>
      </c>
      <c r="E1782" s="8">
        <v>4227</v>
      </c>
      <c r="F1782">
        <v>7</v>
      </c>
      <c r="G1782">
        <v>0</v>
      </c>
      <c r="H1782" s="8">
        <v>29589</v>
      </c>
      <c r="I1782">
        <v>3080.6</v>
      </c>
      <c r="J1782">
        <v>8024.77</v>
      </c>
      <c r="K1782" s="5">
        <f>IF(SalesData[[#This Row],[Total Revenue]]=0,0,SalesData[[#This Row],[Profit]]/SalesData[[#This Row],[Total Revenue]])</f>
        <v>0.27120788130724255</v>
      </c>
      <c r="L1782" s="5" t="str">
        <f>TEXT(SalesData[[#This Row],[Date]],"mmm")</f>
        <v>Dec</v>
      </c>
      <c r="M1782">
        <f>YEAR(SalesData[[#This Row],[Date]])</f>
        <v>2023</v>
      </c>
      <c r="N1782">
        <f>WEEKNUM(SalesData[[#This Row],[Date]])</f>
        <v>50</v>
      </c>
      <c r="O1782" t="s">
        <v>2339</v>
      </c>
      <c r="P1782" t="s">
        <v>2523</v>
      </c>
      <c r="Q1782" t="s">
        <v>2524</v>
      </c>
    </row>
    <row r="1783" spans="1:17" x14ac:dyDescent="0.35">
      <c r="A1783" t="s">
        <v>296</v>
      </c>
      <c r="B1783" s="3">
        <v>45127</v>
      </c>
      <c r="C1783" t="s">
        <v>2019</v>
      </c>
      <c r="D1783" t="s">
        <v>2027</v>
      </c>
      <c r="E1783" s="8">
        <v>4987</v>
      </c>
      <c r="F1783">
        <v>7</v>
      </c>
      <c r="G1783">
        <v>15</v>
      </c>
      <c r="H1783" s="8">
        <v>29672.65</v>
      </c>
      <c r="I1783">
        <v>2797.2</v>
      </c>
      <c r="J1783">
        <v>10092.219999999999</v>
      </c>
      <c r="K1783" s="5">
        <f>IF(SalesData[[#This Row],[Total Revenue]]=0,0,SalesData[[#This Row],[Profit]]/SalesData[[#This Row],[Total Revenue]])</f>
        <v>0.34011859405883865</v>
      </c>
      <c r="L1783" s="5" t="str">
        <f>TEXT(SalesData[[#This Row],[Date]],"mmm")</f>
        <v>Jul</v>
      </c>
      <c r="M1783">
        <f>YEAR(SalesData[[#This Row],[Date]])</f>
        <v>2023</v>
      </c>
      <c r="N1783">
        <f>WEEKNUM(SalesData[[#This Row],[Date]])</f>
        <v>29</v>
      </c>
      <c r="O1783" t="s">
        <v>2154</v>
      </c>
      <c r="P1783" t="s">
        <v>2523</v>
      </c>
      <c r="Q1783" t="s">
        <v>2526</v>
      </c>
    </row>
    <row r="1784" spans="1:17" x14ac:dyDescent="0.35">
      <c r="A1784" t="s">
        <v>206</v>
      </c>
      <c r="B1784" s="3">
        <v>45055</v>
      </c>
      <c r="C1784" t="s">
        <v>2022</v>
      </c>
      <c r="D1784" t="s">
        <v>2024</v>
      </c>
      <c r="E1784" s="8">
        <v>4378</v>
      </c>
      <c r="F1784">
        <v>8</v>
      </c>
      <c r="G1784">
        <v>15</v>
      </c>
      <c r="H1784" s="8">
        <v>29770.400000000001</v>
      </c>
      <c r="I1784">
        <v>2841.25</v>
      </c>
      <c r="J1784">
        <v>7040.36</v>
      </c>
      <c r="K1784" s="5">
        <f>IF(SalesData[[#This Row],[Total Revenue]]=0,0,SalesData[[#This Row],[Profit]]/SalesData[[#This Row],[Total Revenue]])</f>
        <v>0.23648859269610081</v>
      </c>
      <c r="L1784" s="5" t="str">
        <f>TEXT(SalesData[[#This Row],[Date]],"mmm")</f>
        <v>May</v>
      </c>
      <c r="M1784">
        <f>YEAR(SalesData[[#This Row],[Date]])</f>
        <v>2023</v>
      </c>
      <c r="N1784">
        <f>WEEKNUM(SalesData[[#This Row],[Date]])</f>
        <v>19</v>
      </c>
      <c r="O1784" t="s">
        <v>2044</v>
      </c>
      <c r="P1784" t="s">
        <v>2522</v>
      </c>
      <c r="Q1784" t="s">
        <v>2526</v>
      </c>
    </row>
    <row r="1785" spans="1:17" x14ac:dyDescent="0.35">
      <c r="A1785" t="s">
        <v>1387</v>
      </c>
      <c r="B1785" s="3">
        <v>45049</v>
      </c>
      <c r="C1785" t="s">
        <v>2020</v>
      </c>
      <c r="D1785" t="s">
        <v>2028</v>
      </c>
      <c r="E1785" s="8">
        <v>3142</v>
      </c>
      <c r="F1785">
        <v>10</v>
      </c>
      <c r="G1785">
        <v>5</v>
      </c>
      <c r="H1785" s="8">
        <v>29849</v>
      </c>
      <c r="I1785">
        <v>2436.09</v>
      </c>
      <c r="J1785">
        <v>5488.1</v>
      </c>
      <c r="K1785" s="5">
        <f>IF(SalesData[[#This Row],[Total Revenue]]=0,0,SalesData[[#This Row],[Profit]]/SalesData[[#This Row],[Total Revenue]])</f>
        <v>0.1838621059331971</v>
      </c>
      <c r="L1785" s="5" t="str">
        <f>TEXT(SalesData[[#This Row],[Date]],"mmm")</f>
        <v>May</v>
      </c>
      <c r="M1785">
        <f>YEAR(SalesData[[#This Row],[Date]])</f>
        <v>2023</v>
      </c>
      <c r="N1785">
        <f>WEEKNUM(SalesData[[#This Row],[Date]])</f>
        <v>18</v>
      </c>
      <c r="O1785" t="s">
        <v>2400</v>
      </c>
      <c r="P1785" t="s">
        <v>2522</v>
      </c>
      <c r="Q1785" t="s">
        <v>2527</v>
      </c>
    </row>
    <row r="1786" spans="1:17" x14ac:dyDescent="0.35">
      <c r="A1786" t="s">
        <v>1218</v>
      </c>
      <c r="B1786" s="3">
        <v>45186</v>
      </c>
      <c r="C1786" t="s">
        <v>2013</v>
      </c>
      <c r="D1786" t="s">
        <v>2023</v>
      </c>
      <c r="E1786" s="8">
        <v>4269</v>
      </c>
      <c r="F1786">
        <v>7</v>
      </c>
      <c r="G1786">
        <v>0</v>
      </c>
      <c r="H1786" s="8">
        <v>29883</v>
      </c>
      <c r="I1786">
        <v>2768.91</v>
      </c>
      <c r="J1786">
        <v>10500.61</v>
      </c>
      <c r="K1786" s="5">
        <f>IF(SalesData[[#This Row],[Total Revenue]]=0,0,SalesData[[#This Row],[Profit]]/SalesData[[#This Row],[Total Revenue]])</f>
        <v>0.35139075728675168</v>
      </c>
      <c r="L1786" s="5" t="str">
        <f>TEXT(SalesData[[#This Row],[Date]],"mmm")</f>
        <v>Sep</v>
      </c>
      <c r="M1786">
        <f>YEAR(SalesData[[#This Row],[Date]])</f>
        <v>2023</v>
      </c>
      <c r="N1786">
        <f>WEEKNUM(SalesData[[#This Row],[Date]])</f>
        <v>38</v>
      </c>
      <c r="O1786" t="s">
        <v>2205</v>
      </c>
      <c r="P1786" t="s">
        <v>2523</v>
      </c>
      <c r="Q1786" t="s">
        <v>2525</v>
      </c>
    </row>
    <row r="1787" spans="1:17" x14ac:dyDescent="0.35">
      <c r="A1787" t="s">
        <v>1904</v>
      </c>
      <c r="B1787" s="3">
        <v>45255</v>
      </c>
      <c r="C1787" t="s">
        <v>2013</v>
      </c>
      <c r="D1787" t="s">
        <v>2023</v>
      </c>
      <c r="E1787" s="8">
        <v>2999</v>
      </c>
      <c r="F1787">
        <v>10</v>
      </c>
      <c r="G1787">
        <v>0</v>
      </c>
      <c r="H1787" s="8">
        <v>29990</v>
      </c>
      <c r="I1787">
        <v>1681.38</v>
      </c>
      <c r="J1787">
        <v>13176.2</v>
      </c>
      <c r="K1787" s="5">
        <f>IF(SalesData[[#This Row],[Total Revenue]]=0,0,SalesData[[#This Row],[Profit]]/SalesData[[#This Row],[Total Revenue]])</f>
        <v>0.43935311770590202</v>
      </c>
      <c r="L1787" s="5" t="str">
        <f>TEXT(SalesData[[#This Row],[Date]],"mmm")</f>
        <v>Nov</v>
      </c>
      <c r="M1787">
        <f>YEAR(SalesData[[#This Row],[Date]])</f>
        <v>2023</v>
      </c>
      <c r="N1787">
        <f>WEEKNUM(SalesData[[#This Row],[Date]])</f>
        <v>47</v>
      </c>
      <c r="O1787" t="s">
        <v>2100</v>
      </c>
      <c r="P1787" t="s">
        <v>2522</v>
      </c>
      <c r="Q1787" t="s">
        <v>2526</v>
      </c>
    </row>
    <row r="1788" spans="1:17" x14ac:dyDescent="0.35">
      <c r="A1788" t="s">
        <v>97</v>
      </c>
      <c r="B1788" s="3">
        <v>45156</v>
      </c>
      <c r="C1788" t="s">
        <v>2019</v>
      </c>
      <c r="D1788" t="s">
        <v>2027</v>
      </c>
      <c r="E1788" s="8">
        <v>4511</v>
      </c>
      <c r="F1788">
        <v>7</v>
      </c>
      <c r="G1788">
        <v>5</v>
      </c>
      <c r="H1788" s="8">
        <v>29998.15</v>
      </c>
      <c r="I1788">
        <v>2790.9</v>
      </c>
      <c r="J1788">
        <v>10461.84</v>
      </c>
      <c r="K1788" s="5">
        <f>IF(SalesData[[#This Row],[Total Revenue]]=0,0,SalesData[[#This Row],[Profit]]/SalesData[[#This Row],[Total Revenue]])</f>
        <v>0.3487495062195502</v>
      </c>
      <c r="L1788" s="5" t="str">
        <f>TEXT(SalesData[[#This Row],[Date]],"mmm")</f>
        <v>Aug</v>
      </c>
      <c r="M1788">
        <f>YEAR(SalesData[[#This Row],[Date]])</f>
        <v>2023</v>
      </c>
      <c r="N1788">
        <f>WEEKNUM(SalesData[[#This Row],[Date]])</f>
        <v>33</v>
      </c>
      <c r="O1788" t="s">
        <v>2104</v>
      </c>
      <c r="P1788" t="s">
        <v>2522</v>
      </c>
      <c r="Q1788" t="s">
        <v>2527</v>
      </c>
    </row>
    <row r="1789" spans="1:17" x14ac:dyDescent="0.35">
      <c r="A1789" t="s">
        <v>148</v>
      </c>
      <c r="B1789" s="3">
        <v>45236</v>
      </c>
      <c r="C1789" t="s">
        <v>2013</v>
      </c>
      <c r="D1789" t="s">
        <v>2023</v>
      </c>
      <c r="E1789" s="8">
        <v>4513</v>
      </c>
      <c r="F1789">
        <v>7</v>
      </c>
      <c r="G1789">
        <v>5</v>
      </c>
      <c r="H1789" s="8">
        <v>30011.45</v>
      </c>
      <c r="I1789">
        <v>3227.36</v>
      </c>
      <c r="J1789">
        <v>7419.93</v>
      </c>
      <c r="K1789" s="5">
        <f>IF(SalesData[[#This Row],[Total Revenue]]=0,0,SalesData[[#This Row],[Profit]]/SalesData[[#This Row],[Total Revenue]])</f>
        <v>0.24723663801649037</v>
      </c>
      <c r="L1789" s="5" t="str">
        <f>TEXT(SalesData[[#This Row],[Date]],"mmm")</f>
        <v>Nov</v>
      </c>
      <c r="M1789">
        <f>YEAR(SalesData[[#This Row],[Date]])</f>
        <v>2023</v>
      </c>
      <c r="N1789">
        <f>WEEKNUM(SalesData[[#This Row],[Date]])</f>
        <v>45</v>
      </c>
      <c r="O1789" t="s">
        <v>2149</v>
      </c>
      <c r="P1789" t="s">
        <v>2522</v>
      </c>
      <c r="Q1789" t="s">
        <v>2524</v>
      </c>
    </row>
    <row r="1790" spans="1:17" x14ac:dyDescent="0.35">
      <c r="A1790" t="s">
        <v>1086</v>
      </c>
      <c r="B1790" s="3">
        <v>45229</v>
      </c>
      <c r="C1790" t="s">
        <v>2019</v>
      </c>
      <c r="D1790" t="s">
        <v>2027</v>
      </c>
      <c r="E1790" s="8">
        <v>4532</v>
      </c>
      <c r="F1790">
        <v>7</v>
      </c>
      <c r="G1790">
        <v>5</v>
      </c>
      <c r="H1790" s="8">
        <v>30137.8</v>
      </c>
      <c r="I1790">
        <v>2703.1</v>
      </c>
      <c r="J1790">
        <v>11216.1</v>
      </c>
      <c r="K1790" s="5">
        <f>IF(SalesData[[#This Row],[Total Revenue]]=0,0,SalesData[[#This Row],[Profit]]/SalesData[[#This Row],[Total Revenue]])</f>
        <v>0.37216054257444142</v>
      </c>
      <c r="L1790" s="5" t="str">
        <f>TEXT(SalesData[[#This Row],[Date]],"mmm")</f>
        <v>Oct</v>
      </c>
      <c r="M1790">
        <f>YEAR(SalesData[[#This Row],[Date]])</f>
        <v>2023</v>
      </c>
      <c r="N1790">
        <f>WEEKNUM(SalesData[[#This Row],[Date]])</f>
        <v>44</v>
      </c>
      <c r="O1790" t="s">
        <v>2125</v>
      </c>
      <c r="P1790" t="s">
        <v>2523</v>
      </c>
      <c r="Q1790" t="s">
        <v>2524</v>
      </c>
    </row>
    <row r="1791" spans="1:17" x14ac:dyDescent="0.35">
      <c r="A1791" t="s">
        <v>958</v>
      </c>
      <c r="B1791" s="3">
        <v>45253</v>
      </c>
      <c r="C1791" t="s">
        <v>2020</v>
      </c>
      <c r="D1791" t="s">
        <v>2028</v>
      </c>
      <c r="E1791" s="8">
        <v>4790</v>
      </c>
      <c r="F1791">
        <v>7</v>
      </c>
      <c r="G1791">
        <v>10</v>
      </c>
      <c r="H1791" s="8">
        <v>30177</v>
      </c>
      <c r="I1791">
        <v>2756.25</v>
      </c>
      <c r="J1791">
        <v>10883.28</v>
      </c>
      <c r="K1791" s="5">
        <f>IF(SalesData[[#This Row],[Total Revenue]]=0,0,SalesData[[#This Row],[Profit]]/SalesData[[#This Row],[Total Revenue]])</f>
        <v>0.36064817576299835</v>
      </c>
      <c r="L1791" s="5" t="str">
        <f>TEXT(SalesData[[#This Row],[Date]],"mmm")</f>
        <v>Nov</v>
      </c>
      <c r="M1791">
        <f>YEAR(SalesData[[#This Row],[Date]])</f>
        <v>2023</v>
      </c>
      <c r="N1791">
        <f>WEEKNUM(SalesData[[#This Row],[Date]])</f>
        <v>47</v>
      </c>
      <c r="O1791" t="s">
        <v>2224</v>
      </c>
      <c r="P1791" t="s">
        <v>2522</v>
      </c>
      <c r="Q1791" t="s">
        <v>2527</v>
      </c>
    </row>
    <row r="1792" spans="1:17" x14ac:dyDescent="0.35">
      <c r="A1792" t="s">
        <v>787</v>
      </c>
      <c r="B1792" s="3">
        <v>45091</v>
      </c>
      <c r="C1792" t="s">
        <v>2015</v>
      </c>
      <c r="D1792" t="s">
        <v>2025</v>
      </c>
      <c r="E1792" s="8">
        <v>3362</v>
      </c>
      <c r="F1792">
        <v>10</v>
      </c>
      <c r="G1792">
        <v>10</v>
      </c>
      <c r="H1792" s="8">
        <v>30258</v>
      </c>
      <c r="I1792">
        <v>1784.52</v>
      </c>
      <c r="J1792">
        <v>12412.76</v>
      </c>
      <c r="K1792" s="5">
        <f>IF(SalesData[[#This Row],[Total Revenue]]=0,0,SalesData[[#This Row],[Profit]]/SalesData[[#This Row],[Total Revenue]])</f>
        <v>0.41023068279463282</v>
      </c>
      <c r="L1792" s="5" t="str">
        <f>TEXT(SalesData[[#This Row],[Date]],"mmm")</f>
        <v>Jun</v>
      </c>
      <c r="M1792">
        <f>YEAR(SalesData[[#This Row],[Date]])</f>
        <v>2023</v>
      </c>
      <c r="N1792">
        <f>WEEKNUM(SalesData[[#This Row],[Date]])</f>
        <v>24</v>
      </c>
      <c r="O1792" t="s">
        <v>2084</v>
      </c>
      <c r="P1792" t="s">
        <v>2523</v>
      </c>
      <c r="Q1792" t="s">
        <v>2526</v>
      </c>
    </row>
    <row r="1793" spans="1:17" x14ac:dyDescent="0.35">
      <c r="A1793" t="s">
        <v>1262</v>
      </c>
      <c r="B1793" s="3">
        <v>45052</v>
      </c>
      <c r="C1793" t="s">
        <v>2018</v>
      </c>
      <c r="D1793" t="s">
        <v>2026</v>
      </c>
      <c r="E1793" s="8">
        <v>4325</v>
      </c>
      <c r="F1793">
        <v>7</v>
      </c>
      <c r="G1793">
        <v>0</v>
      </c>
      <c r="H1793" s="8">
        <v>30275</v>
      </c>
      <c r="I1793">
        <v>2366.4699999999998</v>
      </c>
      <c r="J1793">
        <v>13709.68</v>
      </c>
      <c r="K1793" s="5">
        <f>IF(SalesData[[#This Row],[Total Revenue]]=0,0,SalesData[[#This Row],[Profit]]/SalesData[[#This Row],[Total Revenue]])</f>
        <v>0.45283831544178366</v>
      </c>
      <c r="L1793" s="5" t="str">
        <f>TEXT(SalesData[[#This Row],[Date]],"mmm")</f>
        <v>May</v>
      </c>
      <c r="M1793">
        <f>YEAR(SalesData[[#This Row],[Date]])</f>
        <v>2023</v>
      </c>
      <c r="N1793">
        <f>WEEKNUM(SalesData[[#This Row],[Date]])</f>
        <v>18</v>
      </c>
      <c r="O1793" t="s">
        <v>2414</v>
      </c>
      <c r="P1793" t="s">
        <v>2523</v>
      </c>
      <c r="Q1793" t="s">
        <v>2525</v>
      </c>
    </row>
    <row r="1794" spans="1:17" x14ac:dyDescent="0.35">
      <c r="A1794" t="s">
        <v>1141</v>
      </c>
      <c r="B1794" s="3">
        <v>45077</v>
      </c>
      <c r="C1794" t="s">
        <v>2013</v>
      </c>
      <c r="D1794" t="s">
        <v>2023</v>
      </c>
      <c r="E1794" s="8">
        <v>3553</v>
      </c>
      <c r="F1794">
        <v>9</v>
      </c>
      <c r="G1794">
        <v>5</v>
      </c>
      <c r="H1794" s="8">
        <v>30378.15</v>
      </c>
      <c r="I1794">
        <v>2644.88</v>
      </c>
      <c r="J1794">
        <v>6574.2</v>
      </c>
      <c r="K1794" s="5">
        <f>IF(SalesData[[#This Row],[Total Revenue]]=0,0,SalesData[[#This Row],[Profit]]/SalesData[[#This Row],[Total Revenue]])</f>
        <v>0.21641212516232883</v>
      </c>
      <c r="L1794" s="5" t="str">
        <f>TEXT(SalesData[[#This Row],[Date]],"mmm")</f>
        <v>May</v>
      </c>
      <c r="M1794">
        <f>YEAR(SalesData[[#This Row],[Date]])</f>
        <v>2023</v>
      </c>
      <c r="N1794">
        <f>WEEKNUM(SalesData[[#This Row],[Date]])</f>
        <v>22</v>
      </c>
      <c r="O1794" t="s">
        <v>2465</v>
      </c>
      <c r="P1794" t="s">
        <v>2523</v>
      </c>
      <c r="Q1794" t="s">
        <v>2525</v>
      </c>
    </row>
    <row r="1795" spans="1:17" x14ac:dyDescent="0.35">
      <c r="A1795" t="s">
        <v>795</v>
      </c>
      <c r="B1795" s="3">
        <v>45065</v>
      </c>
      <c r="C1795" t="s">
        <v>2020</v>
      </c>
      <c r="D1795" t="s">
        <v>2028</v>
      </c>
      <c r="E1795" s="8">
        <v>4228</v>
      </c>
      <c r="F1795">
        <v>8</v>
      </c>
      <c r="G1795">
        <v>10</v>
      </c>
      <c r="H1795" s="8">
        <v>30441.599999999999</v>
      </c>
      <c r="I1795">
        <v>3211.23</v>
      </c>
      <c r="J1795">
        <v>4751.78</v>
      </c>
      <c r="K1795" s="5">
        <f>IF(SalesData[[#This Row],[Total Revenue]]=0,0,SalesData[[#This Row],[Profit]]/SalesData[[#This Row],[Total Revenue]])</f>
        <v>0.15609494901713444</v>
      </c>
      <c r="L1795" s="5" t="str">
        <f>TEXT(SalesData[[#This Row],[Date]],"mmm")</f>
        <v>May</v>
      </c>
      <c r="M1795">
        <f>YEAR(SalesData[[#This Row],[Date]])</f>
        <v>2023</v>
      </c>
      <c r="N1795">
        <f>WEEKNUM(SalesData[[#This Row],[Date]])</f>
        <v>20</v>
      </c>
      <c r="O1795" t="s">
        <v>2238</v>
      </c>
      <c r="P1795" t="s">
        <v>2523</v>
      </c>
      <c r="Q1795" t="s">
        <v>2524</v>
      </c>
    </row>
    <row r="1796" spans="1:17" x14ac:dyDescent="0.35">
      <c r="A1796" t="s">
        <v>487</v>
      </c>
      <c r="B1796" s="3">
        <v>44928</v>
      </c>
      <c r="C1796" t="s">
        <v>2013</v>
      </c>
      <c r="D1796" t="s">
        <v>2023</v>
      </c>
      <c r="E1796" s="8">
        <v>3815</v>
      </c>
      <c r="F1796">
        <v>8</v>
      </c>
      <c r="G1796">
        <v>0</v>
      </c>
      <c r="H1796" s="8">
        <v>30520</v>
      </c>
      <c r="I1796">
        <v>2267.19</v>
      </c>
      <c r="J1796">
        <v>12382.5</v>
      </c>
      <c r="K1796" s="5">
        <f>IF(SalesData[[#This Row],[Total Revenue]]=0,0,SalesData[[#This Row],[Profit]]/SalesData[[#This Row],[Total Revenue]])</f>
        <v>0.40571756225425948</v>
      </c>
      <c r="L1796" s="5" t="str">
        <f>TEXT(SalesData[[#This Row],[Date]],"mmm")</f>
        <v>Jan</v>
      </c>
      <c r="M1796">
        <f>YEAR(SalesData[[#This Row],[Date]])</f>
        <v>2023</v>
      </c>
      <c r="N1796">
        <f>WEEKNUM(SalesData[[#This Row],[Date]])</f>
        <v>1</v>
      </c>
      <c r="O1796" t="s">
        <v>2192</v>
      </c>
      <c r="P1796" t="s">
        <v>2522</v>
      </c>
      <c r="Q1796" t="s">
        <v>2527</v>
      </c>
    </row>
    <row r="1797" spans="1:17" x14ac:dyDescent="0.35">
      <c r="A1797" t="s">
        <v>1308</v>
      </c>
      <c r="B1797" s="3">
        <v>45184</v>
      </c>
      <c r="C1797" t="s">
        <v>2022</v>
      </c>
      <c r="D1797" t="s">
        <v>2024</v>
      </c>
      <c r="E1797" s="8">
        <v>3213</v>
      </c>
      <c r="F1797">
        <v>10</v>
      </c>
      <c r="G1797">
        <v>5</v>
      </c>
      <c r="H1797" s="8">
        <v>30523.5</v>
      </c>
      <c r="I1797">
        <v>2064.2399999999998</v>
      </c>
      <c r="J1797">
        <v>9881.06</v>
      </c>
      <c r="K1797" s="5">
        <f>IF(SalesData[[#This Row],[Total Revenue]]=0,0,SalesData[[#This Row],[Profit]]/SalesData[[#This Row],[Total Revenue]])</f>
        <v>0.32371975690861138</v>
      </c>
      <c r="L1797" s="5" t="str">
        <f>TEXT(SalesData[[#This Row],[Date]],"mmm")</f>
        <v>Sep</v>
      </c>
      <c r="M1797">
        <f>YEAR(SalesData[[#This Row],[Date]])</f>
        <v>2023</v>
      </c>
      <c r="N1797">
        <f>WEEKNUM(SalesData[[#This Row],[Date]])</f>
        <v>37</v>
      </c>
      <c r="O1797" t="s">
        <v>2264</v>
      </c>
      <c r="P1797" t="s">
        <v>2522</v>
      </c>
      <c r="Q1797" t="s">
        <v>2527</v>
      </c>
    </row>
    <row r="1798" spans="1:17" x14ac:dyDescent="0.35">
      <c r="A1798" t="s">
        <v>1098</v>
      </c>
      <c r="B1798" s="3">
        <v>45047</v>
      </c>
      <c r="C1798" t="s">
        <v>2022</v>
      </c>
      <c r="D1798" t="s">
        <v>2024</v>
      </c>
      <c r="E1798" s="8">
        <v>3055</v>
      </c>
      <c r="F1798">
        <v>10</v>
      </c>
      <c r="G1798">
        <v>0</v>
      </c>
      <c r="H1798" s="8">
        <v>30550</v>
      </c>
      <c r="I1798">
        <v>1876.02</v>
      </c>
      <c r="J1798">
        <v>11789.83</v>
      </c>
      <c r="K1798" s="5">
        <f>IF(SalesData[[#This Row],[Total Revenue]]=0,0,SalesData[[#This Row],[Profit]]/SalesData[[#This Row],[Total Revenue]])</f>
        <v>0.38591914893617019</v>
      </c>
      <c r="L1798" s="5" t="str">
        <f>TEXT(SalesData[[#This Row],[Date]],"mmm")</f>
        <v>May</v>
      </c>
      <c r="M1798">
        <f>YEAR(SalesData[[#This Row],[Date]])</f>
        <v>2023</v>
      </c>
      <c r="N1798">
        <f>WEEKNUM(SalesData[[#This Row],[Date]])</f>
        <v>18</v>
      </c>
      <c r="O1798" t="s">
        <v>2415</v>
      </c>
      <c r="P1798" t="s">
        <v>2523</v>
      </c>
      <c r="Q1798" t="s">
        <v>2526</v>
      </c>
    </row>
    <row r="1799" spans="1:17" x14ac:dyDescent="0.35">
      <c r="A1799" t="s">
        <v>805</v>
      </c>
      <c r="B1799" s="3">
        <v>45085</v>
      </c>
      <c r="C1799" t="s">
        <v>2016</v>
      </c>
      <c r="D1799" t="s">
        <v>2025</v>
      </c>
      <c r="E1799" s="8">
        <v>4494</v>
      </c>
      <c r="F1799">
        <v>8</v>
      </c>
      <c r="G1799">
        <v>15</v>
      </c>
      <c r="H1799" s="8">
        <v>30559.200000000001</v>
      </c>
      <c r="I1799">
        <v>2253.5500000000002</v>
      </c>
      <c r="J1799">
        <v>12530.81</v>
      </c>
      <c r="K1799" s="5">
        <f>IF(SalesData[[#This Row],[Total Revenue]]=0,0,SalesData[[#This Row],[Profit]]/SalesData[[#This Row],[Total Revenue]])</f>
        <v>0.41005032854263196</v>
      </c>
      <c r="L1799" s="5" t="str">
        <f>TEXT(SalesData[[#This Row],[Date]],"mmm")</f>
        <v>Jun</v>
      </c>
      <c r="M1799">
        <f>YEAR(SalesData[[#This Row],[Date]])</f>
        <v>2023</v>
      </c>
      <c r="N1799">
        <f>WEEKNUM(SalesData[[#This Row],[Date]])</f>
        <v>23</v>
      </c>
      <c r="O1799" t="s">
        <v>2324</v>
      </c>
      <c r="P1799" t="s">
        <v>2523</v>
      </c>
      <c r="Q1799" t="s">
        <v>2524</v>
      </c>
    </row>
    <row r="1800" spans="1:17" x14ac:dyDescent="0.35">
      <c r="A1800" t="s">
        <v>855</v>
      </c>
      <c r="B1800" s="3">
        <v>45060</v>
      </c>
      <c r="C1800" t="s">
        <v>2019</v>
      </c>
      <c r="D1800" t="s">
        <v>2027</v>
      </c>
      <c r="E1800" s="8">
        <v>3397</v>
      </c>
      <c r="F1800">
        <v>10</v>
      </c>
      <c r="G1800">
        <v>10</v>
      </c>
      <c r="H1800" s="8">
        <v>30573</v>
      </c>
      <c r="I1800">
        <v>2341.37</v>
      </c>
      <c r="J1800">
        <v>7159.27</v>
      </c>
      <c r="K1800" s="5">
        <f>IF(SalesData[[#This Row],[Total Revenue]]=0,0,SalesData[[#This Row],[Profit]]/SalesData[[#This Row],[Total Revenue]])</f>
        <v>0.23416969221208256</v>
      </c>
      <c r="L1800" s="5" t="str">
        <f>TEXT(SalesData[[#This Row],[Date]],"mmm")</f>
        <v>May</v>
      </c>
      <c r="M1800">
        <f>YEAR(SalesData[[#This Row],[Date]])</f>
        <v>2023</v>
      </c>
      <c r="N1800">
        <f>WEEKNUM(SalesData[[#This Row],[Date]])</f>
        <v>20</v>
      </c>
      <c r="O1800" t="s">
        <v>2143</v>
      </c>
      <c r="P1800" t="s">
        <v>2523</v>
      </c>
      <c r="Q1800" t="s">
        <v>2526</v>
      </c>
    </row>
    <row r="1801" spans="1:17" x14ac:dyDescent="0.35">
      <c r="A1801" t="s">
        <v>1881</v>
      </c>
      <c r="B1801" s="3">
        <v>45185</v>
      </c>
      <c r="C1801" t="s">
        <v>2022</v>
      </c>
      <c r="D1801" t="s">
        <v>2024</v>
      </c>
      <c r="E1801" s="8">
        <v>4500</v>
      </c>
      <c r="F1801">
        <v>8</v>
      </c>
      <c r="G1801">
        <v>15</v>
      </c>
      <c r="H1801" s="8">
        <v>30600</v>
      </c>
      <c r="I1801">
        <v>2713.82</v>
      </c>
      <c r="J1801">
        <v>8889.41</v>
      </c>
      <c r="K1801" s="5">
        <f>IF(SalesData[[#This Row],[Total Revenue]]=0,0,SalesData[[#This Row],[Profit]]/SalesData[[#This Row],[Total Revenue]])</f>
        <v>0.29050359477124182</v>
      </c>
      <c r="L1801" s="5" t="str">
        <f>TEXT(SalesData[[#This Row],[Date]],"mmm")</f>
        <v>Sep</v>
      </c>
      <c r="M1801">
        <f>YEAR(SalesData[[#This Row],[Date]])</f>
        <v>2023</v>
      </c>
      <c r="N1801">
        <f>WEEKNUM(SalesData[[#This Row],[Date]])</f>
        <v>37</v>
      </c>
      <c r="O1801" t="s">
        <v>2255</v>
      </c>
      <c r="P1801" t="s">
        <v>2522</v>
      </c>
      <c r="Q1801" t="s">
        <v>2525</v>
      </c>
    </row>
    <row r="1802" spans="1:17" x14ac:dyDescent="0.35">
      <c r="A1802" t="s">
        <v>515</v>
      </c>
      <c r="B1802" s="3">
        <v>44968</v>
      </c>
      <c r="C1802" t="s">
        <v>2014</v>
      </c>
      <c r="D1802" t="s">
        <v>2024</v>
      </c>
      <c r="E1802" s="8">
        <v>4504</v>
      </c>
      <c r="F1802">
        <v>8</v>
      </c>
      <c r="G1802">
        <v>15</v>
      </c>
      <c r="H1802" s="8">
        <v>30627.200000000001</v>
      </c>
      <c r="I1802">
        <v>2384.23</v>
      </c>
      <c r="J1802">
        <v>11553.38</v>
      </c>
      <c r="K1802" s="5">
        <f>IF(SalesData[[#This Row],[Total Revenue]]=0,0,SalesData[[#This Row],[Profit]]/SalesData[[#This Row],[Total Revenue]])</f>
        <v>0.37722612579667741</v>
      </c>
      <c r="L1802" s="5" t="str">
        <f>TEXT(SalesData[[#This Row],[Date]],"mmm")</f>
        <v>Feb</v>
      </c>
      <c r="M1802">
        <f>YEAR(SalesData[[#This Row],[Date]])</f>
        <v>2023</v>
      </c>
      <c r="N1802">
        <f>WEEKNUM(SalesData[[#This Row],[Date]])</f>
        <v>6</v>
      </c>
      <c r="O1802" t="s">
        <v>2275</v>
      </c>
      <c r="P1802" t="s">
        <v>2523</v>
      </c>
      <c r="Q1802" t="s">
        <v>2524</v>
      </c>
    </row>
    <row r="1803" spans="1:17" x14ac:dyDescent="0.35">
      <c r="A1803" t="s">
        <v>1451</v>
      </c>
      <c r="B1803" s="3">
        <v>45212</v>
      </c>
      <c r="C1803" t="s">
        <v>2014</v>
      </c>
      <c r="D1803" t="s">
        <v>2024</v>
      </c>
      <c r="E1803" s="8">
        <v>3225</v>
      </c>
      <c r="F1803">
        <v>10</v>
      </c>
      <c r="G1803">
        <v>5</v>
      </c>
      <c r="H1803" s="8">
        <v>30637.5</v>
      </c>
      <c r="I1803">
        <v>2110.31</v>
      </c>
      <c r="J1803">
        <v>9534.43</v>
      </c>
      <c r="K1803" s="5">
        <f>IF(SalesData[[#This Row],[Total Revenue]]=0,0,SalesData[[#This Row],[Profit]]/SalesData[[#This Row],[Total Revenue]])</f>
        <v>0.31120130558955528</v>
      </c>
      <c r="L1803" s="5" t="str">
        <f>TEXT(SalesData[[#This Row],[Date]],"mmm")</f>
        <v>Oct</v>
      </c>
      <c r="M1803">
        <f>YEAR(SalesData[[#This Row],[Date]])</f>
        <v>2023</v>
      </c>
      <c r="N1803">
        <f>WEEKNUM(SalesData[[#This Row],[Date]])</f>
        <v>41</v>
      </c>
      <c r="O1803" t="s">
        <v>2136</v>
      </c>
      <c r="P1803" t="s">
        <v>2522</v>
      </c>
      <c r="Q1803" t="s">
        <v>2526</v>
      </c>
    </row>
    <row r="1804" spans="1:17" x14ac:dyDescent="0.35">
      <c r="A1804" t="s">
        <v>894</v>
      </c>
      <c r="B1804" s="3">
        <v>45010</v>
      </c>
      <c r="C1804" t="s">
        <v>2017</v>
      </c>
      <c r="D1804" t="s">
        <v>2026</v>
      </c>
      <c r="E1804" s="8">
        <v>4870</v>
      </c>
      <c r="F1804">
        <v>7</v>
      </c>
      <c r="G1804">
        <v>10</v>
      </c>
      <c r="H1804" s="8">
        <v>30681</v>
      </c>
      <c r="I1804">
        <v>3690.52</v>
      </c>
      <c r="J1804">
        <v>4847.3500000000004</v>
      </c>
      <c r="K1804" s="5">
        <f>IF(SalesData[[#This Row],[Total Revenue]]=0,0,SalesData[[#This Row],[Profit]]/SalesData[[#This Row],[Total Revenue]])</f>
        <v>0.15799191682148561</v>
      </c>
      <c r="L1804" s="5" t="str">
        <f>TEXT(SalesData[[#This Row],[Date]],"mmm")</f>
        <v>Mar</v>
      </c>
      <c r="M1804">
        <f>YEAR(SalesData[[#This Row],[Date]])</f>
        <v>2023</v>
      </c>
      <c r="N1804">
        <f>WEEKNUM(SalesData[[#This Row],[Date]])</f>
        <v>12</v>
      </c>
      <c r="O1804" t="s">
        <v>2439</v>
      </c>
      <c r="P1804" t="s">
        <v>2522</v>
      </c>
      <c r="Q1804" t="s">
        <v>2526</v>
      </c>
    </row>
    <row r="1805" spans="1:17" x14ac:dyDescent="0.35">
      <c r="A1805" t="s">
        <v>521</v>
      </c>
      <c r="B1805" s="3">
        <v>45282</v>
      </c>
      <c r="C1805" t="s">
        <v>2021</v>
      </c>
      <c r="D1805" t="s">
        <v>2028</v>
      </c>
      <c r="E1805" s="8">
        <v>3410</v>
      </c>
      <c r="F1805">
        <v>9</v>
      </c>
      <c r="G1805">
        <v>0</v>
      </c>
      <c r="H1805" s="8">
        <v>30690</v>
      </c>
      <c r="I1805">
        <v>2326.63</v>
      </c>
      <c r="J1805">
        <v>9750.34</v>
      </c>
      <c r="K1805" s="5">
        <f>IF(SalesData[[#This Row],[Total Revenue]]=0,0,SalesData[[#This Row],[Profit]]/SalesData[[#This Row],[Total Revenue]])</f>
        <v>0.31770413815575105</v>
      </c>
      <c r="L1805" s="5" t="str">
        <f>TEXT(SalesData[[#This Row],[Date]],"mmm")</f>
        <v>Dec</v>
      </c>
      <c r="M1805">
        <f>YEAR(SalesData[[#This Row],[Date]])</f>
        <v>2023</v>
      </c>
      <c r="N1805">
        <f>WEEKNUM(SalesData[[#This Row],[Date]])</f>
        <v>51</v>
      </c>
      <c r="O1805" t="s">
        <v>2343</v>
      </c>
      <c r="P1805" t="s">
        <v>2523</v>
      </c>
      <c r="Q1805" t="s">
        <v>2527</v>
      </c>
    </row>
    <row r="1806" spans="1:17" x14ac:dyDescent="0.35">
      <c r="A1806" t="s">
        <v>430</v>
      </c>
      <c r="B1806" s="3">
        <v>45128</v>
      </c>
      <c r="C1806" t="s">
        <v>2015</v>
      </c>
      <c r="D1806" t="s">
        <v>2025</v>
      </c>
      <c r="E1806" s="8">
        <v>3071</v>
      </c>
      <c r="F1806">
        <v>10</v>
      </c>
      <c r="G1806">
        <v>0</v>
      </c>
      <c r="H1806" s="8">
        <v>30710</v>
      </c>
      <c r="I1806">
        <v>1806.87</v>
      </c>
      <c r="J1806">
        <v>12641.29</v>
      </c>
      <c r="K1806" s="5">
        <f>IF(SalesData[[#This Row],[Total Revenue]]=0,0,SalesData[[#This Row],[Profit]]/SalesData[[#This Row],[Total Revenue]])</f>
        <v>0.41163432106805603</v>
      </c>
      <c r="L1806" s="5" t="str">
        <f>TEXT(SalesData[[#This Row],[Date]],"mmm")</f>
        <v>Jul</v>
      </c>
      <c r="M1806">
        <f>YEAR(SalesData[[#This Row],[Date]])</f>
        <v>2023</v>
      </c>
      <c r="N1806">
        <f>WEEKNUM(SalesData[[#This Row],[Date]])</f>
        <v>29</v>
      </c>
      <c r="O1806" t="s">
        <v>2308</v>
      </c>
      <c r="P1806" t="s">
        <v>2523</v>
      </c>
      <c r="Q1806" t="s">
        <v>2526</v>
      </c>
    </row>
    <row r="1807" spans="1:17" x14ac:dyDescent="0.35">
      <c r="A1807" t="s">
        <v>421</v>
      </c>
      <c r="B1807" s="3">
        <v>44933</v>
      </c>
      <c r="C1807" t="s">
        <v>2014</v>
      </c>
      <c r="D1807" t="s">
        <v>2024</v>
      </c>
      <c r="E1807" s="8">
        <v>3239</v>
      </c>
      <c r="F1807">
        <v>10</v>
      </c>
      <c r="G1807">
        <v>5</v>
      </c>
      <c r="H1807" s="8">
        <v>30770.5</v>
      </c>
      <c r="I1807">
        <v>1702.7</v>
      </c>
      <c r="J1807">
        <v>13743.52</v>
      </c>
      <c r="K1807" s="5">
        <f>IF(SalesData[[#This Row],[Total Revenue]]=0,0,SalesData[[#This Row],[Profit]]/SalesData[[#This Row],[Total Revenue]])</f>
        <v>0.44664597585349608</v>
      </c>
      <c r="L1807" s="5" t="str">
        <f>TEXT(SalesData[[#This Row],[Date]],"mmm")</f>
        <v>Jan</v>
      </c>
      <c r="M1807">
        <f>YEAR(SalesData[[#This Row],[Date]])</f>
        <v>2023</v>
      </c>
      <c r="N1807">
        <f>WEEKNUM(SalesData[[#This Row],[Date]])</f>
        <v>1</v>
      </c>
      <c r="O1807" t="s">
        <v>2151</v>
      </c>
      <c r="P1807" t="s">
        <v>2522</v>
      </c>
      <c r="Q1807" t="s">
        <v>2524</v>
      </c>
    </row>
    <row r="1808" spans="1:17" x14ac:dyDescent="0.35">
      <c r="A1808" t="s">
        <v>1568</v>
      </c>
      <c r="B1808" s="3">
        <v>45092</v>
      </c>
      <c r="C1808" t="s">
        <v>2020</v>
      </c>
      <c r="D1808" t="s">
        <v>2028</v>
      </c>
      <c r="E1808" s="8">
        <v>3244</v>
      </c>
      <c r="F1808">
        <v>10</v>
      </c>
      <c r="G1808">
        <v>5</v>
      </c>
      <c r="H1808" s="8">
        <v>30818</v>
      </c>
      <c r="I1808">
        <v>1693.76</v>
      </c>
      <c r="J1808">
        <v>13880.38</v>
      </c>
      <c r="K1808" s="5">
        <f>IF(SalesData[[#This Row],[Total Revenue]]=0,0,SalesData[[#This Row],[Profit]]/SalesData[[#This Row],[Total Revenue]])</f>
        <v>0.45039846842754233</v>
      </c>
      <c r="L1808" s="5" t="str">
        <f>TEXT(SalesData[[#This Row],[Date]],"mmm")</f>
        <v>Jun</v>
      </c>
      <c r="M1808">
        <f>YEAR(SalesData[[#This Row],[Date]])</f>
        <v>2023</v>
      </c>
      <c r="N1808">
        <f>WEEKNUM(SalesData[[#This Row],[Date]])</f>
        <v>24</v>
      </c>
      <c r="O1808" t="s">
        <v>2324</v>
      </c>
      <c r="P1808" t="s">
        <v>2522</v>
      </c>
      <c r="Q1808" t="s">
        <v>2526</v>
      </c>
    </row>
    <row r="1809" spans="1:17" x14ac:dyDescent="0.35">
      <c r="A1809" t="s">
        <v>455</v>
      </c>
      <c r="B1809" s="3">
        <v>45274</v>
      </c>
      <c r="C1809" t="s">
        <v>2019</v>
      </c>
      <c r="D1809" t="s">
        <v>2027</v>
      </c>
      <c r="E1809" s="8">
        <v>4040</v>
      </c>
      <c r="F1809">
        <v>9</v>
      </c>
      <c r="G1809">
        <v>15</v>
      </c>
      <c r="H1809" s="8">
        <v>30906</v>
      </c>
      <c r="I1809">
        <v>2890.98</v>
      </c>
      <c r="J1809">
        <v>4887.2</v>
      </c>
      <c r="K1809" s="5">
        <f>IF(SalesData[[#This Row],[Total Revenue]]=0,0,SalesData[[#This Row],[Profit]]/SalesData[[#This Row],[Total Revenue]])</f>
        <v>0.1581311072283699</v>
      </c>
      <c r="L1809" s="5" t="str">
        <f>TEXT(SalesData[[#This Row],[Date]],"mmm")</f>
        <v>Dec</v>
      </c>
      <c r="M1809">
        <f>YEAR(SalesData[[#This Row],[Date]])</f>
        <v>2023</v>
      </c>
      <c r="N1809">
        <f>WEEKNUM(SalesData[[#This Row],[Date]])</f>
        <v>50</v>
      </c>
      <c r="O1809" t="s">
        <v>2318</v>
      </c>
      <c r="P1809" t="s">
        <v>2523</v>
      </c>
      <c r="Q1809" t="s">
        <v>2525</v>
      </c>
    </row>
    <row r="1810" spans="1:17" x14ac:dyDescent="0.35">
      <c r="A1810" t="s">
        <v>571</v>
      </c>
      <c r="B1810" s="3">
        <v>45038</v>
      </c>
      <c r="C1810" t="s">
        <v>2013</v>
      </c>
      <c r="D1810" t="s">
        <v>2023</v>
      </c>
      <c r="E1810" s="8">
        <v>3615</v>
      </c>
      <c r="F1810">
        <v>9</v>
      </c>
      <c r="G1810">
        <v>5</v>
      </c>
      <c r="H1810" s="8">
        <v>30908.25</v>
      </c>
      <c r="I1810">
        <v>1833.63</v>
      </c>
      <c r="J1810">
        <v>14405.62</v>
      </c>
      <c r="K1810" s="5">
        <f>IF(SalesData[[#This Row],[Total Revenue]]=0,0,SalesData[[#This Row],[Profit]]/SalesData[[#This Row],[Total Revenue]])</f>
        <v>0.46607685650271369</v>
      </c>
      <c r="L1810" s="5" t="str">
        <f>TEXT(SalesData[[#This Row],[Date]],"mmm")</f>
        <v>Apr</v>
      </c>
      <c r="M1810">
        <f>YEAR(SalesData[[#This Row],[Date]])</f>
        <v>2023</v>
      </c>
      <c r="N1810">
        <f>WEEKNUM(SalesData[[#This Row],[Date]])</f>
        <v>16</v>
      </c>
      <c r="O1810" t="s">
        <v>2361</v>
      </c>
      <c r="P1810" t="s">
        <v>2523</v>
      </c>
      <c r="Q1810" t="s">
        <v>2525</v>
      </c>
    </row>
    <row r="1811" spans="1:17" x14ac:dyDescent="0.35">
      <c r="A1811" t="s">
        <v>1090</v>
      </c>
      <c r="B1811" s="3">
        <v>45282</v>
      </c>
      <c r="C1811" t="s">
        <v>2013</v>
      </c>
      <c r="D1811" t="s">
        <v>2023</v>
      </c>
      <c r="E1811" s="8">
        <v>4652</v>
      </c>
      <c r="F1811">
        <v>7</v>
      </c>
      <c r="G1811">
        <v>5</v>
      </c>
      <c r="H1811" s="8">
        <v>30935.8</v>
      </c>
      <c r="I1811">
        <v>2722.78</v>
      </c>
      <c r="J1811">
        <v>11876.35</v>
      </c>
      <c r="K1811" s="5">
        <f>IF(SalesData[[#This Row],[Total Revenue]]=0,0,SalesData[[#This Row],[Profit]]/SalesData[[#This Row],[Total Revenue]])</f>
        <v>0.3839031154843256</v>
      </c>
      <c r="L1811" s="5" t="str">
        <f>TEXT(SalesData[[#This Row],[Date]],"mmm")</f>
        <v>Dec</v>
      </c>
      <c r="M1811">
        <f>YEAR(SalesData[[#This Row],[Date]])</f>
        <v>2023</v>
      </c>
      <c r="N1811">
        <f>WEEKNUM(SalesData[[#This Row],[Date]])</f>
        <v>51</v>
      </c>
      <c r="O1811" t="s">
        <v>2341</v>
      </c>
      <c r="P1811" t="s">
        <v>2522</v>
      </c>
      <c r="Q1811" t="s">
        <v>2527</v>
      </c>
    </row>
    <row r="1812" spans="1:17" x14ac:dyDescent="0.35">
      <c r="A1812" t="s">
        <v>1883</v>
      </c>
      <c r="B1812" s="3">
        <v>45261</v>
      </c>
      <c r="C1812" t="s">
        <v>2013</v>
      </c>
      <c r="D1812" t="s">
        <v>2023</v>
      </c>
      <c r="E1812" s="8">
        <v>4436</v>
      </c>
      <c r="F1812">
        <v>7</v>
      </c>
      <c r="G1812">
        <v>0</v>
      </c>
      <c r="H1812" s="8">
        <v>31052</v>
      </c>
      <c r="I1812">
        <v>2832.31</v>
      </c>
      <c r="J1812">
        <v>11225.84</v>
      </c>
      <c r="K1812" s="5">
        <f>IF(SalesData[[#This Row],[Total Revenue]]=0,0,SalesData[[#This Row],[Profit]]/SalesData[[#This Row],[Total Revenue]])</f>
        <v>0.36151745459229678</v>
      </c>
      <c r="L1812" s="5" t="str">
        <f>TEXT(SalesData[[#This Row],[Date]],"mmm")</f>
        <v>Dec</v>
      </c>
      <c r="M1812">
        <f>YEAR(SalesData[[#This Row],[Date]])</f>
        <v>2023</v>
      </c>
      <c r="N1812">
        <f>WEEKNUM(SalesData[[#This Row],[Date]])</f>
        <v>48</v>
      </c>
      <c r="O1812" t="s">
        <v>2061</v>
      </c>
      <c r="P1812" t="s">
        <v>2522</v>
      </c>
      <c r="Q1812" t="s">
        <v>2524</v>
      </c>
    </row>
    <row r="1813" spans="1:17" x14ac:dyDescent="0.35">
      <c r="A1813" t="s">
        <v>1207</v>
      </c>
      <c r="B1813" s="3">
        <v>44973</v>
      </c>
      <c r="C1813" t="s">
        <v>2018</v>
      </c>
      <c r="D1813" t="s">
        <v>2026</v>
      </c>
      <c r="E1813" s="8">
        <v>4935</v>
      </c>
      <c r="F1813">
        <v>7</v>
      </c>
      <c r="G1813">
        <v>10</v>
      </c>
      <c r="H1813" s="8">
        <v>31090.5</v>
      </c>
      <c r="I1813">
        <v>2496.73</v>
      </c>
      <c r="J1813">
        <v>13613.42</v>
      </c>
      <c r="K1813" s="5">
        <f>IF(SalesData[[#This Row],[Total Revenue]]=0,0,SalesData[[#This Row],[Profit]]/SalesData[[#This Row],[Total Revenue]])</f>
        <v>0.43786429938405624</v>
      </c>
      <c r="L1813" s="5" t="str">
        <f>TEXT(SalesData[[#This Row],[Date]],"mmm")</f>
        <v>Feb</v>
      </c>
      <c r="M1813">
        <f>YEAR(SalesData[[#This Row],[Date]])</f>
        <v>2023</v>
      </c>
      <c r="N1813">
        <f>WEEKNUM(SalesData[[#This Row],[Date]])</f>
        <v>7</v>
      </c>
      <c r="O1813" t="s">
        <v>2074</v>
      </c>
      <c r="P1813" t="s">
        <v>2522</v>
      </c>
      <c r="Q1813" t="s">
        <v>2524</v>
      </c>
    </row>
    <row r="1814" spans="1:17" x14ac:dyDescent="0.35">
      <c r="A1814" t="s">
        <v>1960</v>
      </c>
      <c r="B1814" s="3">
        <v>45256</v>
      </c>
      <c r="C1814" t="s">
        <v>2022</v>
      </c>
      <c r="D1814" t="s">
        <v>2024</v>
      </c>
      <c r="E1814" s="8">
        <v>3662</v>
      </c>
      <c r="F1814">
        <v>10</v>
      </c>
      <c r="G1814">
        <v>15</v>
      </c>
      <c r="H1814" s="8">
        <v>31127</v>
      </c>
      <c r="I1814">
        <v>2820.76</v>
      </c>
      <c r="J1814">
        <v>2919.44</v>
      </c>
      <c r="K1814" s="5">
        <f>IF(SalesData[[#This Row],[Total Revenue]]=0,0,SalesData[[#This Row],[Profit]]/SalesData[[#This Row],[Total Revenue]])</f>
        <v>9.3791242329810134E-2</v>
      </c>
      <c r="L1814" s="5" t="str">
        <f>TEXT(SalesData[[#This Row],[Date]],"mmm")</f>
        <v>Nov</v>
      </c>
      <c r="M1814">
        <f>YEAR(SalesData[[#This Row],[Date]])</f>
        <v>2023</v>
      </c>
      <c r="N1814">
        <f>WEEKNUM(SalesData[[#This Row],[Date]])</f>
        <v>48</v>
      </c>
      <c r="O1814" t="s">
        <v>2225</v>
      </c>
      <c r="P1814" t="s">
        <v>2522</v>
      </c>
      <c r="Q1814" t="s">
        <v>2525</v>
      </c>
    </row>
    <row r="1815" spans="1:17" x14ac:dyDescent="0.35">
      <c r="A1815" t="s">
        <v>1991</v>
      </c>
      <c r="B1815" s="3">
        <v>45050</v>
      </c>
      <c r="C1815" t="s">
        <v>2020</v>
      </c>
      <c r="D1815" t="s">
        <v>2028</v>
      </c>
      <c r="E1815" s="8">
        <v>4329</v>
      </c>
      <c r="F1815">
        <v>8</v>
      </c>
      <c r="G1815">
        <v>10</v>
      </c>
      <c r="H1815" s="8">
        <v>31168.799999999999</v>
      </c>
      <c r="I1815">
        <v>2237.62</v>
      </c>
      <c r="J1815">
        <v>13267.83</v>
      </c>
      <c r="K1815" s="5">
        <f>IF(SalesData[[#This Row],[Total Revenue]]=0,0,SalesData[[#This Row],[Profit]]/SalesData[[#This Row],[Total Revenue]])</f>
        <v>0.4256766381766382</v>
      </c>
      <c r="L1815" s="5" t="str">
        <f>TEXT(SalesData[[#This Row],[Date]],"mmm")</f>
        <v>May</v>
      </c>
      <c r="M1815">
        <f>YEAR(SalesData[[#This Row],[Date]])</f>
        <v>2023</v>
      </c>
      <c r="N1815">
        <f>WEEKNUM(SalesData[[#This Row],[Date]])</f>
        <v>18</v>
      </c>
      <c r="O1815" t="s">
        <v>2491</v>
      </c>
      <c r="P1815" t="s">
        <v>2523</v>
      </c>
      <c r="Q1815" t="s">
        <v>2525</v>
      </c>
    </row>
    <row r="1816" spans="1:17" x14ac:dyDescent="0.35">
      <c r="A1816" t="s">
        <v>1557</v>
      </c>
      <c r="B1816" s="3">
        <v>44934</v>
      </c>
      <c r="C1816" t="s">
        <v>2018</v>
      </c>
      <c r="D1816" t="s">
        <v>2026</v>
      </c>
      <c r="E1816" s="8">
        <v>4596</v>
      </c>
      <c r="F1816">
        <v>8</v>
      </c>
      <c r="G1816">
        <v>15</v>
      </c>
      <c r="H1816" s="8">
        <v>31252.799999999999</v>
      </c>
      <c r="I1816">
        <v>2868.84</v>
      </c>
      <c r="J1816">
        <v>8302.0499999999993</v>
      </c>
      <c r="K1816" s="5">
        <f>IF(SalesData[[#This Row],[Total Revenue]]=0,0,SalesData[[#This Row],[Profit]]/SalesData[[#This Row],[Total Revenue]])</f>
        <v>0.26564179849485486</v>
      </c>
      <c r="L1816" s="5" t="str">
        <f>TEXT(SalesData[[#This Row],[Date]],"mmm")</f>
        <v>Jan</v>
      </c>
      <c r="M1816">
        <f>YEAR(SalesData[[#This Row],[Date]])</f>
        <v>2023</v>
      </c>
      <c r="N1816">
        <f>WEEKNUM(SalesData[[#This Row],[Date]])</f>
        <v>2</v>
      </c>
      <c r="O1816" t="s">
        <v>2030</v>
      </c>
      <c r="P1816" t="s">
        <v>2523</v>
      </c>
      <c r="Q1816" t="s">
        <v>2524</v>
      </c>
    </row>
    <row r="1817" spans="1:17" x14ac:dyDescent="0.35">
      <c r="A1817" t="s">
        <v>883</v>
      </c>
      <c r="B1817" s="3">
        <v>44944</v>
      </c>
      <c r="C1817" t="s">
        <v>2019</v>
      </c>
      <c r="D1817" t="s">
        <v>2027</v>
      </c>
      <c r="E1817" s="8">
        <v>3677</v>
      </c>
      <c r="F1817">
        <v>10</v>
      </c>
      <c r="G1817">
        <v>15</v>
      </c>
      <c r="H1817" s="8">
        <v>31254.5</v>
      </c>
      <c r="I1817">
        <v>2682.74</v>
      </c>
      <c r="J1817">
        <v>4427.0600000000004</v>
      </c>
      <c r="K1817" s="5">
        <f>IF(SalesData[[#This Row],[Total Revenue]]=0,0,SalesData[[#This Row],[Profit]]/SalesData[[#This Row],[Total Revenue]])</f>
        <v>0.14164552304468159</v>
      </c>
      <c r="L1817" s="5" t="str">
        <f>TEXT(SalesData[[#This Row],[Date]],"mmm")</f>
        <v>Jan</v>
      </c>
      <c r="M1817">
        <f>YEAR(SalesData[[#This Row],[Date]])</f>
        <v>2023</v>
      </c>
      <c r="N1817">
        <f>WEEKNUM(SalesData[[#This Row],[Date]])</f>
        <v>3</v>
      </c>
      <c r="O1817" t="s">
        <v>2104</v>
      </c>
      <c r="P1817" t="s">
        <v>2523</v>
      </c>
      <c r="Q1817" t="s">
        <v>2526</v>
      </c>
    </row>
    <row r="1818" spans="1:17" x14ac:dyDescent="0.35">
      <c r="A1818" t="s">
        <v>292</v>
      </c>
      <c r="B1818" s="3">
        <v>45188</v>
      </c>
      <c r="C1818" t="s">
        <v>2020</v>
      </c>
      <c r="D1818" t="s">
        <v>2028</v>
      </c>
      <c r="E1818" s="8">
        <v>4599</v>
      </c>
      <c r="F1818">
        <v>8</v>
      </c>
      <c r="G1818">
        <v>15</v>
      </c>
      <c r="H1818" s="8">
        <v>31273.200000000001</v>
      </c>
      <c r="I1818">
        <v>2711.03</v>
      </c>
      <c r="J1818">
        <v>9584.98</v>
      </c>
      <c r="K1818" s="5">
        <f>IF(SalesData[[#This Row],[Total Revenue]]=0,0,SalesData[[#This Row],[Profit]]/SalesData[[#This Row],[Total Revenue]])</f>
        <v>0.30649182047248119</v>
      </c>
      <c r="L1818" s="5" t="str">
        <f>TEXT(SalesData[[#This Row],[Date]],"mmm")</f>
        <v>Sep</v>
      </c>
      <c r="M1818">
        <f>YEAR(SalesData[[#This Row],[Date]])</f>
        <v>2023</v>
      </c>
      <c r="N1818">
        <f>WEEKNUM(SalesData[[#This Row],[Date]])</f>
        <v>38</v>
      </c>
      <c r="O1818" t="s">
        <v>2149</v>
      </c>
      <c r="P1818" t="s">
        <v>2522</v>
      </c>
      <c r="Q1818" t="s">
        <v>2524</v>
      </c>
    </row>
    <row r="1819" spans="1:17" x14ac:dyDescent="0.35">
      <c r="A1819" t="s">
        <v>856</v>
      </c>
      <c r="B1819" s="3">
        <v>45212</v>
      </c>
      <c r="C1819" t="s">
        <v>2021</v>
      </c>
      <c r="D1819" t="s">
        <v>2028</v>
      </c>
      <c r="E1819" s="8">
        <v>4606</v>
      </c>
      <c r="F1819">
        <v>8</v>
      </c>
      <c r="G1819">
        <v>15</v>
      </c>
      <c r="H1819" s="8">
        <v>31320.799999999999</v>
      </c>
      <c r="I1819">
        <v>3604.52</v>
      </c>
      <c r="J1819">
        <v>2484.63</v>
      </c>
      <c r="K1819" s="5">
        <f>IF(SalesData[[#This Row],[Total Revenue]]=0,0,SalesData[[#This Row],[Profit]]/SalesData[[#This Row],[Total Revenue]])</f>
        <v>7.9328433501060003E-2</v>
      </c>
      <c r="L1819" s="5" t="str">
        <f>TEXT(SalesData[[#This Row],[Date]],"mmm")</f>
        <v>Oct</v>
      </c>
      <c r="M1819">
        <f>YEAR(SalesData[[#This Row],[Date]])</f>
        <v>2023</v>
      </c>
      <c r="N1819">
        <f>WEEKNUM(SalesData[[#This Row],[Date]])</f>
        <v>41</v>
      </c>
      <c r="O1819" t="s">
        <v>2432</v>
      </c>
      <c r="P1819" t="s">
        <v>2522</v>
      </c>
      <c r="Q1819" t="s">
        <v>2527</v>
      </c>
    </row>
    <row r="1820" spans="1:17" x14ac:dyDescent="0.35">
      <c r="A1820" t="s">
        <v>1055</v>
      </c>
      <c r="B1820" s="3">
        <v>45184</v>
      </c>
      <c r="C1820" t="s">
        <v>2022</v>
      </c>
      <c r="D1820" t="s">
        <v>2024</v>
      </c>
      <c r="E1820" s="8">
        <v>3871</v>
      </c>
      <c r="F1820">
        <v>9</v>
      </c>
      <c r="G1820">
        <v>10</v>
      </c>
      <c r="H1820" s="8">
        <v>31355.1</v>
      </c>
      <c r="I1820">
        <v>2369.34</v>
      </c>
      <c r="J1820">
        <v>10031.049999999999</v>
      </c>
      <c r="K1820" s="5">
        <f>IF(SalesData[[#This Row],[Total Revenue]]=0,0,SalesData[[#This Row],[Profit]]/SalesData[[#This Row],[Total Revenue]])</f>
        <v>0.3199176529495999</v>
      </c>
      <c r="L1820" s="5" t="str">
        <f>TEXT(SalesData[[#This Row],[Date]],"mmm")</f>
        <v>Sep</v>
      </c>
      <c r="M1820">
        <f>YEAR(SalesData[[#This Row],[Date]])</f>
        <v>2023</v>
      </c>
      <c r="N1820">
        <f>WEEKNUM(SalesData[[#This Row],[Date]])</f>
        <v>37</v>
      </c>
      <c r="O1820" t="s">
        <v>2167</v>
      </c>
      <c r="P1820" t="s">
        <v>2523</v>
      </c>
      <c r="Q1820" t="s">
        <v>2525</v>
      </c>
    </row>
    <row r="1821" spans="1:17" x14ac:dyDescent="0.35">
      <c r="A1821" t="s">
        <v>1524</v>
      </c>
      <c r="B1821" s="3">
        <v>45127</v>
      </c>
      <c r="C1821" t="s">
        <v>2014</v>
      </c>
      <c r="D1821" t="s">
        <v>2024</v>
      </c>
      <c r="E1821" s="8">
        <v>3921</v>
      </c>
      <c r="F1821">
        <v>8</v>
      </c>
      <c r="G1821">
        <v>0</v>
      </c>
      <c r="H1821" s="8">
        <v>31368</v>
      </c>
      <c r="I1821">
        <v>2513.98</v>
      </c>
      <c r="J1821">
        <v>11256.14</v>
      </c>
      <c r="K1821" s="5">
        <f>IF(SalesData[[#This Row],[Total Revenue]]=0,0,SalesData[[#This Row],[Profit]]/SalesData[[#This Row],[Total Revenue]])</f>
        <v>0.35884149451670488</v>
      </c>
      <c r="L1821" s="5" t="str">
        <f>TEXT(SalesData[[#This Row],[Date]],"mmm")</f>
        <v>Jul</v>
      </c>
      <c r="M1821">
        <f>YEAR(SalesData[[#This Row],[Date]])</f>
        <v>2023</v>
      </c>
      <c r="N1821">
        <f>WEEKNUM(SalesData[[#This Row],[Date]])</f>
        <v>29</v>
      </c>
      <c r="O1821" t="s">
        <v>2139</v>
      </c>
      <c r="P1821" t="s">
        <v>2522</v>
      </c>
      <c r="Q1821" t="s">
        <v>2527</v>
      </c>
    </row>
    <row r="1822" spans="1:17" x14ac:dyDescent="0.35">
      <c r="A1822" t="s">
        <v>14</v>
      </c>
      <c r="B1822" s="3">
        <v>45220</v>
      </c>
      <c r="C1822" t="s">
        <v>2014</v>
      </c>
      <c r="D1822" t="s">
        <v>2024</v>
      </c>
      <c r="E1822" s="8">
        <v>3697</v>
      </c>
      <c r="F1822">
        <v>10</v>
      </c>
      <c r="G1822">
        <v>15</v>
      </c>
      <c r="H1822" s="8">
        <v>31424.5</v>
      </c>
      <c r="I1822">
        <v>2280.87</v>
      </c>
      <c r="J1822">
        <v>8615.7900000000009</v>
      </c>
      <c r="K1822" s="5">
        <f>IF(SalesData[[#This Row],[Total Revenue]]=0,0,SalesData[[#This Row],[Profit]]/SalesData[[#This Row],[Total Revenue]])</f>
        <v>0.27417429076039401</v>
      </c>
      <c r="L1822" s="5" t="str">
        <f>TEXT(SalesData[[#This Row],[Date]],"mmm")</f>
        <v>Oct</v>
      </c>
      <c r="M1822">
        <f>YEAR(SalesData[[#This Row],[Date]])</f>
        <v>2023</v>
      </c>
      <c r="N1822">
        <f>WEEKNUM(SalesData[[#This Row],[Date]])</f>
        <v>42</v>
      </c>
      <c r="O1822" t="s">
        <v>2030</v>
      </c>
      <c r="P1822" t="s">
        <v>2522</v>
      </c>
      <c r="Q1822" t="s">
        <v>2525</v>
      </c>
    </row>
    <row r="1823" spans="1:17" x14ac:dyDescent="0.35">
      <c r="A1823" t="s">
        <v>379</v>
      </c>
      <c r="B1823" s="3">
        <v>45242</v>
      </c>
      <c r="C1823" t="s">
        <v>2018</v>
      </c>
      <c r="D1823" t="s">
        <v>2026</v>
      </c>
      <c r="E1823" s="8">
        <v>3678</v>
      </c>
      <c r="F1823">
        <v>9</v>
      </c>
      <c r="G1823">
        <v>5</v>
      </c>
      <c r="H1823" s="8">
        <v>31446.9</v>
      </c>
      <c r="I1823">
        <v>2081.5300000000002</v>
      </c>
      <c r="J1823">
        <v>12713.1</v>
      </c>
      <c r="K1823" s="5">
        <f>IF(SalesData[[#This Row],[Total Revenue]]=0,0,SalesData[[#This Row],[Profit]]/SalesData[[#This Row],[Total Revenue]])</f>
        <v>0.40427196321418007</v>
      </c>
      <c r="L1823" s="5" t="str">
        <f>TEXT(SalesData[[#This Row],[Date]],"mmm")</f>
        <v>Nov</v>
      </c>
      <c r="M1823">
        <f>YEAR(SalesData[[#This Row],[Date]])</f>
        <v>2023</v>
      </c>
      <c r="N1823">
        <f>WEEKNUM(SalesData[[#This Row],[Date]])</f>
        <v>46</v>
      </c>
      <c r="O1823" t="s">
        <v>2197</v>
      </c>
      <c r="P1823" t="s">
        <v>2523</v>
      </c>
      <c r="Q1823" t="s">
        <v>2527</v>
      </c>
    </row>
    <row r="1824" spans="1:17" x14ac:dyDescent="0.35">
      <c r="A1824" t="s">
        <v>1773</v>
      </c>
      <c r="B1824" s="3">
        <v>45174</v>
      </c>
      <c r="C1824" t="s">
        <v>2015</v>
      </c>
      <c r="D1824" t="s">
        <v>2025</v>
      </c>
      <c r="E1824" s="8">
        <v>3499</v>
      </c>
      <c r="F1824">
        <v>10</v>
      </c>
      <c r="G1824">
        <v>10</v>
      </c>
      <c r="H1824" s="8">
        <v>31491</v>
      </c>
      <c r="I1824">
        <v>1786.72</v>
      </c>
      <c r="J1824">
        <v>13623.83</v>
      </c>
      <c r="K1824" s="5">
        <f>IF(SalesData[[#This Row],[Total Revenue]]=0,0,SalesData[[#This Row],[Profit]]/SalesData[[#This Row],[Total Revenue]])</f>
        <v>0.43262614715315489</v>
      </c>
      <c r="L1824" s="5" t="str">
        <f>TEXT(SalesData[[#This Row],[Date]],"mmm")</f>
        <v>Sep</v>
      </c>
      <c r="M1824">
        <f>YEAR(SalesData[[#This Row],[Date]])</f>
        <v>2023</v>
      </c>
      <c r="N1824">
        <f>WEEKNUM(SalesData[[#This Row],[Date]])</f>
        <v>36</v>
      </c>
      <c r="O1824" t="s">
        <v>2411</v>
      </c>
      <c r="P1824" t="s">
        <v>2523</v>
      </c>
      <c r="Q1824" t="s">
        <v>2524</v>
      </c>
    </row>
    <row r="1825" spans="1:17" x14ac:dyDescent="0.35">
      <c r="A1825" t="s">
        <v>1149</v>
      </c>
      <c r="B1825" s="3">
        <v>44942</v>
      </c>
      <c r="C1825" t="s">
        <v>2019</v>
      </c>
      <c r="D1825" t="s">
        <v>2027</v>
      </c>
      <c r="E1825" s="8">
        <v>4152</v>
      </c>
      <c r="F1825">
        <v>8</v>
      </c>
      <c r="G1825">
        <v>5</v>
      </c>
      <c r="H1825" s="8">
        <v>31555.200000000001</v>
      </c>
      <c r="I1825">
        <v>2454.6</v>
      </c>
      <c r="J1825">
        <v>11918.39</v>
      </c>
      <c r="K1825" s="5">
        <f>IF(SalesData[[#This Row],[Total Revenue]]=0,0,SalesData[[#This Row],[Profit]]/SalesData[[#This Row],[Total Revenue]])</f>
        <v>0.37769971351789877</v>
      </c>
      <c r="L1825" s="5" t="str">
        <f>TEXT(SalesData[[#This Row],[Date]],"mmm")</f>
        <v>Jan</v>
      </c>
      <c r="M1825">
        <f>YEAR(SalesData[[#This Row],[Date]])</f>
        <v>2023</v>
      </c>
      <c r="N1825">
        <f>WEEKNUM(SalesData[[#This Row],[Date]])</f>
        <v>3</v>
      </c>
      <c r="O1825" t="s">
        <v>2092</v>
      </c>
      <c r="P1825" t="s">
        <v>2523</v>
      </c>
      <c r="Q1825" t="s">
        <v>2525</v>
      </c>
    </row>
    <row r="1826" spans="1:17" x14ac:dyDescent="0.35">
      <c r="A1826" t="s">
        <v>1146</v>
      </c>
      <c r="B1826" s="3">
        <v>44929</v>
      </c>
      <c r="C1826" t="s">
        <v>2017</v>
      </c>
      <c r="D1826" t="s">
        <v>2026</v>
      </c>
      <c r="E1826" s="8">
        <v>3706</v>
      </c>
      <c r="F1826">
        <v>9</v>
      </c>
      <c r="G1826">
        <v>5</v>
      </c>
      <c r="H1826" s="8">
        <v>31686.3</v>
      </c>
      <c r="I1826">
        <v>2460.1</v>
      </c>
      <c r="J1826">
        <v>9545.3799999999992</v>
      </c>
      <c r="K1826" s="5">
        <f>IF(SalesData[[#This Row],[Total Revenue]]=0,0,SalesData[[#This Row],[Profit]]/SalesData[[#This Row],[Total Revenue]])</f>
        <v>0.30124627993801734</v>
      </c>
      <c r="L1826" s="5" t="str">
        <f>TEXT(SalesData[[#This Row],[Date]],"mmm")</f>
        <v>Jan</v>
      </c>
      <c r="M1826">
        <f>YEAR(SalesData[[#This Row],[Date]])</f>
        <v>2023</v>
      </c>
      <c r="N1826">
        <f>WEEKNUM(SalesData[[#This Row],[Date]])</f>
        <v>1</v>
      </c>
      <c r="O1826" t="s">
        <v>2332</v>
      </c>
      <c r="P1826" t="s">
        <v>2522</v>
      </c>
      <c r="Q1826" t="s">
        <v>2524</v>
      </c>
    </row>
    <row r="1827" spans="1:17" x14ac:dyDescent="0.35">
      <c r="A1827" t="s">
        <v>294</v>
      </c>
      <c r="B1827" s="3">
        <v>45157</v>
      </c>
      <c r="C1827" t="s">
        <v>2020</v>
      </c>
      <c r="D1827" t="s">
        <v>2028</v>
      </c>
      <c r="E1827" s="8">
        <v>3969</v>
      </c>
      <c r="F1827">
        <v>8</v>
      </c>
      <c r="G1827">
        <v>0</v>
      </c>
      <c r="H1827" s="8">
        <v>31752</v>
      </c>
      <c r="I1827">
        <v>3029.67</v>
      </c>
      <c r="J1827">
        <v>7514.62</v>
      </c>
      <c r="K1827" s="5">
        <f>IF(SalesData[[#This Row],[Total Revenue]]=0,0,SalesData[[#This Row],[Profit]]/SalesData[[#This Row],[Total Revenue]])</f>
        <v>0.23666603678508441</v>
      </c>
      <c r="L1827" s="5" t="str">
        <f>TEXT(SalesData[[#This Row],[Date]],"mmm")</f>
        <v>Aug</v>
      </c>
      <c r="M1827">
        <f>YEAR(SalesData[[#This Row],[Date]])</f>
        <v>2023</v>
      </c>
      <c r="N1827">
        <f>WEEKNUM(SalesData[[#This Row],[Date]])</f>
        <v>33</v>
      </c>
      <c r="O1827" t="s">
        <v>2242</v>
      </c>
      <c r="P1827" t="s">
        <v>2523</v>
      </c>
      <c r="Q1827" t="s">
        <v>2527</v>
      </c>
    </row>
    <row r="1828" spans="1:17" x14ac:dyDescent="0.35">
      <c r="A1828" t="s">
        <v>1823</v>
      </c>
      <c r="B1828" s="3">
        <v>45211</v>
      </c>
      <c r="C1828" t="s">
        <v>2019</v>
      </c>
      <c r="D1828" t="s">
        <v>2027</v>
      </c>
      <c r="E1828" s="8">
        <v>3943</v>
      </c>
      <c r="F1828">
        <v>9</v>
      </c>
      <c r="G1828">
        <v>10</v>
      </c>
      <c r="H1828" s="8">
        <v>31938.3</v>
      </c>
      <c r="I1828">
        <v>2639.45</v>
      </c>
      <c r="J1828">
        <v>8183.29</v>
      </c>
      <c r="K1828" s="5">
        <f>IF(SalesData[[#This Row],[Total Revenue]]=0,0,SalesData[[#This Row],[Profit]]/SalesData[[#This Row],[Total Revenue]])</f>
        <v>0.25622184023570449</v>
      </c>
      <c r="L1828" s="5" t="str">
        <f>TEXT(SalesData[[#This Row],[Date]],"mmm")</f>
        <v>Oct</v>
      </c>
      <c r="M1828">
        <f>YEAR(SalesData[[#This Row],[Date]])</f>
        <v>2023</v>
      </c>
      <c r="N1828">
        <f>WEEKNUM(SalesData[[#This Row],[Date]])</f>
        <v>41</v>
      </c>
      <c r="O1828" t="s">
        <v>2442</v>
      </c>
      <c r="P1828" t="s">
        <v>2522</v>
      </c>
      <c r="Q1828" t="s">
        <v>2527</v>
      </c>
    </row>
    <row r="1829" spans="1:17" x14ac:dyDescent="0.35">
      <c r="A1829" t="s">
        <v>1360</v>
      </c>
      <c r="B1829" s="3">
        <v>45140</v>
      </c>
      <c r="C1829" t="s">
        <v>2021</v>
      </c>
      <c r="D1829" t="s">
        <v>2028</v>
      </c>
      <c r="E1829" s="8">
        <v>4807</v>
      </c>
      <c r="F1829">
        <v>7</v>
      </c>
      <c r="G1829">
        <v>5</v>
      </c>
      <c r="H1829" s="8">
        <v>31966.55</v>
      </c>
      <c r="I1829">
        <v>3591.01</v>
      </c>
      <c r="J1829">
        <v>6829.5</v>
      </c>
      <c r="K1829" s="5">
        <f>IF(SalesData[[#This Row],[Total Revenue]]=0,0,SalesData[[#This Row],[Profit]]/SalesData[[#This Row],[Total Revenue]])</f>
        <v>0.21364520099916945</v>
      </c>
      <c r="L1829" s="5" t="str">
        <f>TEXT(SalesData[[#This Row],[Date]],"mmm")</f>
        <v>Aug</v>
      </c>
      <c r="M1829">
        <f>YEAR(SalesData[[#This Row],[Date]])</f>
        <v>2023</v>
      </c>
      <c r="N1829">
        <f>WEEKNUM(SalesData[[#This Row],[Date]])</f>
        <v>31</v>
      </c>
      <c r="O1829" t="s">
        <v>2319</v>
      </c>
      <c r="P1829" t="s">
        <v>2522</v>
      </c>
      <c r="Q1829" t="s">
        <v>2526</v>
      </c>
    </row>
    <row r="1830" spans="1:17" x14ac:dyDescent="0.35">
      <c r="A1830" t="s">
        <v>629</v>
      </c>
      <c r="B1830" s="3">
        <v>45112</v>
      </c>
      <c r="C1830" t="s">
        <v>2016</v>
      </c>
      <c r="D1830" t="s">
        <v>2025</v>
      </c>
      <c r="E1830" s="8">
        <v>4809</v>
      </c>
      <c r="F1830">
        <v>7</v>
      </c>
      <c r="G1830">
        <v>5</v>
      </c>
      <c r="H1830" s="8">
        <v>31979.85</v>
      </c>
      <c r="I1830">
        <v>2944.9</v>
      </c>
      <c r="J1830">
        <v>11365.52</v>
      </c>
      <c r="K1830" s="5">
        <f>IF(SalesData[[#This Row],[Total Revenue]]=0,0,SalesData[[#This Row],[Profit]]/SalesData[[#This Row],[Total Revenue]])</f>
        <v>0.35539628860047812</v>
      </c>
      <c r="L1830" s="5" t="str">
        <f>TEXT(SalesData[[#This Row],[Date]],"mmm")</f>
        <v>Jul</v>
      </c>
      <c r="M1830">
        <f>YEAR(SalesData[[#This Row],[Date]])</f>
        <v>2023</v>
      </c>
      <c r="N1830">
        <f>WEEKNUM(SalesData[[#This Row],[Date]])</f>
        <v>27</v>
      </c>
      <c r="O1830" t="s">
        <v>2358</v>
      </c>
      <c r="P1830" t="s">
        <v>2523</v>
      </c>
      <c r="Q1830" t="s">
        <v>2524</v>
      </c>
    </row>
    <row r="1831" spans="1:17" x14ac:dyDescent="0.35">
      <c r="A1831" t="s">
        <v>800</v>
      </c>
      <c r="B1831" s="3">
        <v>45016</v>
      </c>
      <c r="C1831" t="s">
        <v>2015</v>
      </c>
      <c r="D1831" t="s">
        <v>2025</v>
      </c>
      <c r="E1831" s="8">
        <v>3558</v>
      </c>
      <c r="F1831">
        <v>10</v>
      </c>
      <c r="G1831">
        <v>10</v>
      </c>
      <c r="H1831" s="8">
        <v>32022</v>
      </c>
      <c r="I1831">
        <v>2812.55</v>
      </c>
      <c r="J1831">
        <v>3896.47</v>
      </c>
      <c r="K1831" s="5">
        <f>IF(SalesData[[#This Row],[Total Revenue]]=0,0,SalesData[[#This Row],[Profit]]/SalesData[[#This Row],[Total Revenue]])</f>
        <v>0.12168103179064392</v>
      </c>
      <c r="L1831" s="5" t="str">
        <f>TEXT(SalesData[[#This Row],[Date]],"mmm")</f>
        <v>Mar</v>
      </c>
      <c r="M1831">
        <f>YEAR(SalesData[[#This Row],[Date]])</f>
        <v>2023</v>
      </c>
      <c r="N1831">
        <f>WEEKNUM(SalesData[[#This Row],[Date]])</f>
        <v>13</v>
      </c>
      <c r="O1831" t="s">
        <v>2231</v>
      </c>
      <c r="P1831" t="s">
        <v>2523</v>
      </c>
      <c r="Q1831" t="s">
        <v>2524</v>
      </c>
    </row>
    <row r="1832" spans="1:17" x14ac:dyDescent="0.35">
      <c r="A1832" t="s">
        <v>1620</v>
      </c>
      <c r="B1832" s="3">
        <v>45113</v>
      </c>
      <c r="C1832" t="s">
        <v>2015</v>
      </c>
      <c r="D1832" t="s">
        <v>2025</v>
      </c>
      <c r="E1832" s="8">
        <v>3377</v>
      </c>
      <c r="F1832">
        <v>10</v>
      </c>
      <c r="G1832">
        <v>5</v>
      </c>
      <c r="H1832" s="8">
        <v>32081.5</v>
      </c>
      <c r="I1832">
        <v>1826.24</v>
      </c>
      <c r="J1832">
        <v>13819.08</v>
      </c>
      <c r="K1832" s="5">
        <f>IF(SalesData[[#This Row],[Total Revenue]]=0,0,SalesData[[#This Row],[Profit]]/SalesData[[#This Row],[Total Revenue]])</f>
        <v>0.43074918566775244</v>
      </c>
      <c r="L1832" s="5" t="str">
        <f>TEXT(SalesData[[#This Row],[Date]],"mmm")</f>
        <v>Jul</v>
      </c>
      <c r="M1832">
        <f>YEAR(SalesData[[#This Row],[Date]])</f>
        <v>2023</v>
      </c>
      <c r="N1832">
        <f>WEEKNUM(SalesData[[#This Row],[Date]])</f>
        <v>27</v>
      </c>
      <c r="O1832" t="s">
        <v>2180</v>
      </c>
      <c r="P1832" t="s">
        <v>2522</v>
      </c>
      <c r="Q1832" t="s">
        <v>2527</v>
      </c>
    </row>
    <row r="1833" spans="1:17" x14ac:dyDescent="0.35">
      <c r="A1833" t="s">
        <v>1158</v>
      </c>
      <c r="B1833" s="3">
        <v>45096</v>
      </c>
      <c r="C1833" t="s">
        <v>2015</v>
      </c>
      <c r="D1833" t="s">
        <v>2025</v>
      </c>
      <c r="E1833" s="8">
        <v>3378</v>
      </c>
      <c r="F1833">
        <v>10</v>
      </c>
      <c r="G1833">
        <v>5</v>
      </c>
      <c r="H1833" s="8">
        <v>32091</v>
      </c>
      <c r="I1833">
        <v>1929.95</v>
      </c>
      <c r="J1833">
        <v>12791.51</v>
      </c>
      <c r="K1833" s="5">
        <f>IF(SalesData[[#This Row],[Total Revenue]]=0,0,SalesData[[#This Row],[Profit]]/SalesData[[#This Row],[Total Revenue]])</f>
        <v>0.39860116543579199</v>
      </c>
      <c r="L1833" s="5" t="str">
        <f>TEXT(SalesData[[#This Row],[Date]],"mmm")</f>
        <v>Jun</v>
      </c>
      <c r="M1833">
        <f>YEAR(SalesData[[#This Row],[Date]])</f>
        <v>2023</v>
      </c>
      <c r="N1833">
        <f>WEEKNUM(SalesData[[#This Row],[Date]])</f>
        <v>25</v>
      </c>
      <c r="O1833" t="s">
        <v>2067</v>
      </c>
      <c r="P1833" t="s">
        <v>2522</v>
      </c>
      <c r="Q1833" t="s">
        <v>2526</v>
      </c>
    </row>
    <row r="1834" spans="1:17" x14ac:dyDescent="0.35">
      <c r="A1834" t="s">
        <v>1051</v>
      </c>
      <c r="B1834" s="3">
        <v>45166</v>
      </c>
      <c r="C1834" t="s">
        <v>2016</v>
      </c>
      <c r="D1834" t="s">
        <v>2025</v>
      </c>
      <c r="E1834" s="8">
        <v>3755</v>
      </c>
      <c r="F1834">
        <v>9</v>
      </c>
      <c r="G1834">
        <v>5</v>
      </c>
      <c r="H1834" s="8">
        <v>32105.25</v>
      </c>
      <c r="I1834">
        <v>2165.69</v>
      </c>
      <c r="J1834">
        <v>12614.02</v>
      </c>
      <c r="K1834" s="5">
        <f>IF(SalesData[[#This Row],[Total Revenue]]=0,0,SalesData[[#This Row],[Profit]]/SalesData[[#This Row],[Total Revenue]])</f>
        <v>0.39289586594092868</v>
      </c>
      <c r="L1834" s="5" t="str">
        <f>TEXT(SalesData[[#This Row],[Date]],"mmm")</f>
        <v>Aug</v>
      </c>
      <c r="M1834">
        <f>YEAR(SalesData[[#This Row],[Date]])</f>
        <v>2023</v>
      </c>
      <c r="N1834">
        <f>WEEKNUM(SalesData[[#This Row],[Date]])</f>
        <v>35</v>
      </c>
      <c r="O1834" t="s">
        <v>2404</v>
      </c>
      <c r="P1834" t="s">
        <v>2522</v>
      </c>
      <c r="Q1834" t="s">
        <v>2524</v>
      </c>
    </row>
    <row r="1835" spans="1:17" x14ac:dyDescent="0.35">
      <c r="A1835" t="s">
        <v>922</v>
      </c>
      <c r="B1835" s="3">
        <v>45286</v>
      </c>
      <c r="C1835" t="s">
        <v>2016</v>
      </c>
      <c r="D1835" t="s">
        <v>2025</v>
      </c>
      <c r="E1835" s="8">
        <v>4832</v>
      </c>
      <c r="F1835">
        <v>7</v>
      </c>
      <c r="G1835">
        <v>5</v>
      </c>
      <c r="H1835" s="8">
        <v>32132.799999999999</v>
      </c>
      <c r="I1835">
        <v>3672.72</v>
      </c>
      <c r="J1835">
        <v>6423.78</v>
      </c>
      <c r="K1835" s="5">
        <f>IF(SalesData[[#This Row],[Total Revenue]]=0,0,SalesData[[#This Row],[Profit]]/SalesData[[#This Row],[Total Revenue]])</f>
        <v>0.19991348404122888</v>
      </c>
      <c r="L1835" s="5" t="str">
        <f>TEXT(SalesData[[#This Row],[Date]],"mmm")</f>
        <v>Dec</v>
      </c>
      <c r="M1835">
        <f>YEAR(SalesData[[#This Row],[Date]])</f>
        <v>2023</v>
      </c>
      <c r="N1835">
        <f>WEEKNUM(SalesData[[#This Row],[Date]])</f>
        <v>52</v>
      </c>
      <c r="O1835" t="s">
        <v>2226</v>
      </c>
      <c r="P1835" t="s">
        <v>2522</v>
      </c>
      <c r="Q1835" t="s">
        <v>2525</v>
      </c>
    </row>
    <row r="1836" spans="1:17" x14ac:dyDescent="0.35">
      <c r="A1836" t="s">
        <v>785</v>
      </c>
      <c r="B1836" s="3">
        <v>45043</v>
      </c>
      <c r="C1836" t="s">
        <v>2018</v>
      </c>
      <c r="D1836" t="s">
        <v>2026</v>
      </c>
      <c r="E1836" s="8">
        <v>4243</v>
      </c>
      <c r="F1836">
        <v>8</v>
      </c>
      <c r="G1836">
        <v>5</v>
      </c>
      <c r="H1836" s="8">
        <v>32246.799999999999</v>
      </c>
      <c r="I1836">
        <v>2474.4</v>
      </c>
      <c r="J1836">
        <v>12451.6</v>
      </c>
      <c r="K1836" s="5">
        <f>IF(SalesData[[#This Row],[Total Revenue]]=0,0,SalesData[[#This Row],[Profit]]/SalesData[[#This Row],[Total Revenue]])</f>
        <v>0.38613443814580051</v>
      </c>
      <c r="L1836" s="5" t="str">
        <f>TEXT(SalesData[[#This Row],[Date]],"mmm")</f>
        <v>Apr</v>
      </c>
      <c r="M1836">
        <f>YEAR(SalesData[[#This Row],[Date]])</f>
        <v>2023</v>
      </c>
      <c r="N1836">
        <f>WEEKNUM(SalesData[[#This Row],[Date]])</f>
        <v>17</v>
      </c>
      <c r="O1836" t="s">
        <v>2421</v>
      </c>
      <c r="P1836" t="s">
        <v>2523</v>
      </c>
      <c r="Q1836" t="s">
        <v>2524</v>
      </c>
    </row>
    <row r="1837" spans="1:17" x14ac:dyDescent="0.35">
      <c r="A1837" t="s">
        <v>482</v>
      </c>
      <c r="B1837" s="3">
        <v>45141</v>
      </c>
      <c r="C1837" t="s">
        <v>2021</v>
      </c>
      <c r="D1837" t="s">
        <v>2028</v>
      </c>
      <c r="E1837" s="8">
        <v>4035</v>
      </c>
      <c r="F1837">
        <v>8</v>
      </c>
      <c r="G1837">
        <v>0</v>
      </c>
      <c r="H1837" s="8">
        <v>32280</v>
      </c>
      <c r="I1837">
        <v>2923</v>
      </c>
      <c r="J1837">
        <v>8896</v>
      </c>
      <c r="K1837" s="5">
        <f>IF(SalesData[[#This Row],[Total Revenue]]=0,0,SalesData[[#This Row],[Profit]]/SalesData[[#This Row],[Total Revenue]])</f>
        <v>0.27558859975216854</v>
      </c>
      <c r="L1837" s="5" t="str">
        <f>TEXT(SalesData[[#This Row],[Date]],"mmm")</f>
        <v>Aug</v>
      </c>
      <c r="M1837">
        <f>YEAR(SalesData[[#This Row],[Date]])</f>
        <v>2023</v>
      </c>
      <c r="N1837">
        <f>WEEKNUM(SalesData[[#This Row],[Date]])</f>
        <v>31</v>
      </c>
      <c r="O1837" t="s">
        <v>2260</v>
      </c>
      <c r="P1837" t="s">
        <v>2522</v>
      </c>
      <c r="Q1837" t="s">
        <v>2526</v>
      </c>
    </row>
    <row r="1838" spans="1:17" x14ac:dyDescent="0.35">
      <c r="A1838" t="s">
        <v>194</v>
      </c>
      <c r="B1838" s="3">
        <v>45209</v>
      </c>
      <c r="C1838" t="s">
        <v>2013</v>
      </c>
      <c r="D1838" t="s">
        <v>2023</v>
      </c>
      <c r="E1838" s="8">
        <v>4248</v>
      </c>
      <c r="F1838">
        <v>8</v>
      </c>
      <c r="G1838">
        <v>5</v>
      </c>
      <c r="H1838" s="8">
        <v>32284.799999999999</v>
      </c>
      <c r="I1838">
        <v>2633.59</v>
      </c>
      <c r="J1838">
        <v>11216.08</v>
      </c>
      <c r="K1838" s="5">
        <f>IF(SalesData[[#This Row],[Total Revenue]]=0,0,SalesData[[#This Row],[Profit]]/SalesData[[#This Row],[Total Revenue]])</f>
        <v>0.34741054613935968</v>
      </c>
      <c r="L1838" s="5" t="str">
        <f>TEXT(SalesData[[#This Row],[Date]],"mmm")</f>
        <v>Oct</v>
      </c>
      <c r="M1838">
        <f>YEAR(SalesData[[#This Row],[Date]])</f>
        <v>2023</v>
      </c>
      <c r="N1838">
        <f>WEEKNUM(SalesData[[#This Row],[Date]])</f>
        <v>41</v>
      </c>
      <c r="O1838" t="s">
        <v>2179</v>
      </c>
      <c r="P1838" t="s">
        <v>2523</v>
      </c>
      <c r="Q1838" t="s">
        <v>2524</v>
      </c>
    </row>
    <row r="1839" spans="1:17" x14ac:dyDescent="0.35">
      <c r="A1839" t="s">
        <v>613</v>
      </c>
      <c r="B1839" s="3">
        <v>45084</v>
      </c>
      <c r="C1839" t="s">
        <v>2017</v>
      </c>
      <c r="D1839" t="s">
        <v>2026</v>
      </c>
      <c r="E1839" s="8">
        <v>3591</v>
      </c>
      <c r="F1839">
        <v>9</v>
      </c>
      <c r="G1839">
        <v>0</v>
      </c>
      <c r="H1839" s="8">
        <v>32319</v>
      </c>
      <c r="I1839">
        <v>2171.1999999999998</v>
      </c>
      <c r="J1839">
        <v>12778.19</v>
      </c>
      <c r="K1839" s="5">
        <f>IF(SalesData[[#This Row],[Total Revenue]]=0,0,SalesData[[#This Row],[Profit]]/SalesData[[#This Row],[Total Revenue]])</f>
        <v>0.39537702280392339</v>
      </c>
      <c r="L1839" s="5" t="str">
        <f>TEXT(SalesData[[#This Row],[Date]],"mmm")</f>
        <v>Jun</v>
      </c>
      <c r="M1839">
        <f>YEAR(SalesData[[#This Row],[Date]])</f>
        <v>2023</v>
      </c>
      <c r="N1839">
        <f>WEEKNUM(SalesData[[#This Row],[Date]])</f>
        <v>23</v>
      </c>
      <c r="O1839" t="s">
        <v>2375</v>
      </c>
      <c r="P1839" t="s">
        <v>2523</v>
      </c>
      <c r="Q1839" t="s">
        <v>2527</v>
      </c>
    </row>
    <row r="1840" spans="1:17" x14ac:dyDescent="0.35">
      <c r="A1840" t="s">
        <v>191</v>
      </c>
      <c r="B1840" s="3">
        <v>45086</v>
      </c>
      <c r="C1840" t="s">
        <v>2018</v>
      </c>
      <c r="D1840" t="s">
        <v>2026</v>
      </c>
      <c r="E1840" s="8">
        <v>4861</v>
      </c>
      <c r="F1840">
        <v>7</v>
      </c>
      <c r="G1840">
        <v>5</v>
      </c>
      <c r="H1840" s="8">
        <v>32325.65</v>
      </c>
      <c r="I1840">
        <v>2627.06</v>
      </c>
      <c r="J1840">
        <v>13936.26</v>
      </c>
      <c r="K1840" s="5">
        <f>IF(SalesData[[#This Row],[Total Revenue]]=0,0,SalesData[[#This Row],[Profit]]/SalesData[[#This Row],[Total Revenue]])</f>
        <v>0.43112079726161728</v>
      </c>
      <c r="L1840" s="5" t="str">
        <f>TEXT(SalesData[[#This Row],[Date]],"mmm")</f>
        <v>Jun</v>
      </c>
      <c r="M1840">
        <f>YEAR(SalesData[[#This Row],[Date]])</f>
        <v>2023</v>
      </c>
      <c r="N1840">
        <f>WEEKNUM(SalesData[[#This Row],[Date]])</f>
        <v>23</v>
      </c>
      <c r="O1840" t="s">
        <v>2136</v>
      </c>
      <c r="P1840" t="s">
        <v>2522</v>
      </c>
      <c r="Q1840" t="s">
        <v>2525</v>
      </c>
    </row>
    <row r="1841" spans="1:17" x14ac:dyDescent="0.35">
      <c r="A1841" t="s">
        <v>824</v>
      </c>
      <c r="B1841" s="3">
        <v>44984</v>
      </c>
      <c r="C1841" t="s">
        <v>2021</v>
      </c>
      <c r="D1841" t="s">
        <v>2028</v>
      </c>
      <c r="E1841" s="8">
        <v>4491</v>
      </c>
      <c r="F1841">
        <v>8</v>
      </c>
      <c r="G1841">
        <v>10</v>
      </c>
      <c r="H1841" s="8">
        <v>32335.200000000001</v>
      </c>
      <c r="I1841">
        <v>3590.81</v>
      </c>
      <c r="J1841">
        <v>3608.69</v>
      </c>
      <c r="K1841" s="5">
        <f>IF(SalesData[[#This Row],[Total Revenue]]=0,0,SalesData[[#This Row],[Profit]]/SalesData[[#This Row],[Total Revenue]])</f>
        <v>0.11160252603973379</v>
      </c>
      <c r="L1841" s="5" t="str">
        <f>TEXT(SalesData[[#This Row],[Date]],"mmm")</f>
        <v>Feb</v>
      </c>
      <c r="M1841">
        <f>YEAR(SalesData[[#This Row],[Date]])</f>
        <v>2023</v>
      </c>
      <c r="N1841">
        <f>WEEKNUM(SalesData[[#This Row],[Date]])</f>
        <v>9</v>
      </c>
      <c r="O1841" t="s">
        <v>2428</v>
      </c>
      <c r="P1841" t="s">
        <v>2522</v>
      </c>
      <c r="Q1841" t="s">
        <v>2524</v>
      </c>
    </row>
    <row r="1842" spans="1:17" x14ac:dyDescent="0.35">
      <c r="A1842" t="s">
        <v>202</v>
      </c>
      <c r="B1842" s="3">
        <v>45245</v>
      </c>
      <c r="C1842" t="s">
        <v>2018</v>
      </c>
      <c r="D1842" t="s">
        <v>2026</v>
      </c>
      <c r="E1842" s="8">
        <v>4233</v>
      </c>
      <c r="F1842">
        <v>9</v>
      </c>
      <c r="G1842">
        <v>15</v>
      </c>
      <c r="H1842" s="8">
        <v>32382.45</v>
      </c>
      <c r="I1842">
        <v>2664.74</v>
      </c>
      <c r="J1842">
        <v>8399.7800000000007</v>
      </c>
      <c r="K1842" s="5">
        <f>IF(SalesData[[#This Row],[Total Revenue]]=0,0,SalesData[[#This Row],[Profit]]/SalesData[[#This Row],[Total Revenue]])</f>
        <v>0.25939297366320341</v>
      </c>
      <c r="L1842" s="5" t="str">
        <f>TEXT(SalesData[[#This Row],[Date]],"mmm")</f>
        <v>Nov</v>
      </c>
      <c r="M1842">
        <f>YEAR(SalesData[[#This Row],[Date]])</f>
        <v>2023</v>
      </c>
      <c r="N1842">
        <f>WEEKNUM(SalesData[[#This Row],[Date]])</f>
        <v>46</v>
      </c>
      <c r="O1842" t="s">
        <v>2186</v>
      </c>
      <c r="P1842" t="s">
        <v>2523</v>
      </c>
      <c r="Q1842" t="s">
        <v>2526</v>
      </c>
    </row>
    <row r="1843" spans="1:17" x14ac:dyDescent="0.35">
      <c r="A1843" t="s">
        <v>1022</v>
      </c>
      <c r="B1843" s="3">
        <v>45069</v>
      </c>
      <c r="C1843" t="s">
        <v>2019</v>
      </c>
      <c r="D1843" t="s">
        <v>2027</v>
      </c>
      <c r="E1843" s="8">
        <v>3812</v>
      </c>
      <c r="F1843">
        <v>10</v>
      </c>
      <c r="G1843">
        <v>15</v>
      </c>
      <c r="H1843" s="8">
        <v>32402</v>
      </c>
      <c r="I1843">
        <v>2664.44</v>
      </c>
      <c r="J1843">
        <v>5757.57</v>
      </c>
      <c r="K1843" s="5">
        <f>IF(SalesData[[#This Row],[Total Revenue]]=0,0,SalesData[[#This Row],[Profit]]/SalesData[[#This Row],[Total Revenue]])</f>
        <v>0.17769180914758348</v>
      </c>
      <c r="L1843" s="5" t="str">
        <f>TEXT(SalesData[[#This Row],[Date]],"mmm")</f>
        <v>May</v>
      </c>
      <c r="M1843">
        <f>YEAR(SalesData[[#This Row],[Date]])</f>
        <v>2023</v>
      </c>
      <c r="N1843">
        <f>WEEKNUM(SalesData[[#This Row],[Date]])</f>
        <v>21</v>
      </c>
      <c r="O1843" t="s">
        <v>2240</v>
      </c>
      <c r="P1843" t="s">
        <v>2523</v>
      </c>
      <c r="Q1843" t="s">
        <v>2524</v>
      </c>
    </row>
    <row r="1844" spans="1:17" x14ac:dyDescent="0.35">
      <c r="A1844" t="s">
        <v>738</v>
      </c>
      <c r="B1844" s="3">
        <v>44996</v>
      </c>
      <c r="C1844" t="s">
        <v>2017</v>
      </c>
      <c r="D1844" t="s">
        <v>2026</v>
      </c>
      <c r="E1844" s="8">
        <v>3241</v>
      </c>
      <c r="F1844">
        <v>10</v>
      </c>
      <c r="G1844">
        <v>0</v>
      </c>
      <c r="H1844" s="8">
        <v>32410</v>
      </c>
      <c r="I1844">
        <v>2068.4699999999998</v>
      </c>
      <c r="J1844">
        <v>11725.29</v>
      </c>
      <c r="K1844" s="5">
        <f>IF(SalesData[[#This Row],[Total Revenue]]=0,0,SalesData[[#This Row],[Profit]]/SalesData[[#This Row],[Total Revenue]])</f>
        <v>0.36178000617093492</v>
      </c>
      <c r="L1844" s="5" t="str">
        <f>TEXT(SalesData[[#This Row],[Date]],"mmm")</f>
        <v>Mar</v>
      </c>
      <c r="M1844">
        <f>YEAR(SalesData[[#This Row],[Date]])</f>
        <v>2023</v>
      </c>
      <c r="N1844">
        <f>WEEKNUM(SalesData[[#This Row],[Date]])</f>
        <v>10</v>
      </c>
      <c r="O1844" t="s">
        <v>2322</v>
      </c>
      <c r="P1844" t="s">
        <v>2523</v>
      </c>
      <c r="Q1844" t="s">
        <v>2524</v>
      </c>
    </row>
    <row r="1845" spans="1:17" x14ac:dyDescent="0.35">
      <c r="A1845" t="s">
        <v>1005</v>
      </c>
      <c r="B1845" s="3">
        <v>44939</v>
      </c>
      <c r="C1845" t="s">
        <v>2018</v>
      </c>
      <c r="D1845" t="s">
        <v>2026</v>
      </c>
      <c r="E1845" s="8">
        <v>4280</v>
      </c>
      <c r="F1845">
        <v>8</v>
      </c>
      <c r="G1845">
        <v>5</v>
      </c>
      <c r="H1845" s="8">
        <v>32528</v>
      </c>
      <c r="I1845">
        <v>2900.81</v>
      </c>
      <c r="J1845">
        <v>9321.51</v>
      </c>
      <c r="K1845" s="5">
        <f>IF(SalesData[[#This Row],[Total Revenue]]=0,0,SalesData[[#This Row],[Profit]]/SalesData[[#This Row],[Total Revenue]])</f>
        <v>0.28656880226266601</v>
      </c>
      <c r="L1845" s="5" t="str">
        <f>TEXT(SalesData[[#This Row],[Date]],"mmm")</f>
        <v>Jan</v>
      </c>
      <c r="M1845">
        <f>YEAR(SalesData[[#This Row],[Date]])</f>
        <v>2023</v>
      </c>
      <c r="N1845">
        <f>WEEKNUM(SalesData[[#This Row],[Date]])</f>
        <v>2</v>
      </c>
      <c r="O1845" t="s">
        <v>2311</v>
      </c>
      <c r="P1845" t="s">
        <v>2523</v>
      </c>
      <c r="Q1845" t="s">
        <v>2527</v>
      </c>
    </row>
    <row r="1846" spans="1:17" x14ac:dyDescent="0.35">
      <c r="A1846" t="s">
        <v>123</v>
      </c>
      <c r="B1846" s="3">
        <v>45064</v>
      </c>
      <c r="C1846" t="s">
        <v>2015</v>
      </c>
      <c r="D1846" t="s">
        <v>2025</v>
      </c>
      <c r="E1846" s="8">
        <v>4068</v>
      </c>
      <c r="F1846">
        <v>8</v>
      </c>
      <c r="G1846">
        <v>0</v>
      </c>
      <c r="H1846" s="8">
        <v>32544</v>
      </c>
      <c r="I1846">
        <v>2217.0500000000002</v>
      </c>
      <c r="J1846">
        <v>14807.63</v>
      </c>
      <c r="K1846" s="5">
        <f>IF(SalesData[[#This Row],[Total Revenue]]=0,0,SalesData[[#This Row],[Profit]]/SalesData[[#This Row],[Total Revenue]])</f>
        <v>0.45500338003933133</v>
      </c>
      <c r="L1846" s="5" t="str">
        <f>TEXT(SalesData[[#This Row],[Date]],"mmm")</f>
        <v>May</v>
      </c>
      <c r="M1846">
        <f>YEAR(SalesData[[#This Row],[Date]])</f>
        <v>2023</v>
      </c>
      <c r="N1846">
        <f>WEEKNUM(SalesData[[#This Row],[Date]])</f>
        <v>20</v>
      </c>
      <c r="O1846" t="s">
        <v>2128</v>
      </c>
      <c r="P1846" t="s">
        <v>2523</v>
      </c>
      <c r="Q1846" t="s">
        <v>2526</v>
      </c>
    </row>
    <row r="1847" spans="1:17" x14ac:dyDescent="0.35">
      <c r="A1847" t="s">
        <v>720</v>
      </c>
      <c r="B1847" s="3">
        <v>45272</v>
      </c>
      <c r="C1847" t="s">
        <v>2016</v>
      </c>
      <c r="D1847" t="s">
        <v>2025</v>
      </c>
      <c r="E1847" s="8">
        <v>4789</v>
      </c>
      <c r="F1847">
        <v>8</v>
      </c>
      <c r="G1847">
        <v>15</v>
      </c>
      <c r="H1847" s="8">
        <v>32565.200000000001</v>
      </c>
      <c r="I1847">
        <v>2750.48</v>
      </c>
      <c r="J1847">
        <v>10561.39</v>
      </c>
      <c r="K1847" s="5">
        <f>IF(SalesData[[#This Row],[Total Revenue]]=0,0,SalesData[[#This Row],[Profit]]/SalesData[[#This Row],[Total Revenue]])</f>
        <v>0.32431521992802131</v>
      </c>
      <c r="L1847" s="5" t="str">
        <f>TEXT(SalesData[[#This Row],[Date]],"mmm")</f>
        <v>Dec</v>
      </c>
      <c r="M1847">
        <f>YEAR(SalesData[[#This Row],[Date]])</f>
        <v>2023</v>
      </c>
      <c r="N1847">
        <f>WEEKNUM(SalesData[[#This Row],[Date]])</f>
        <v>50</v>
      </c>
      <c r="O1847" t="s">
        <v>2145</v>
      </c>
      <c r="P1847" t="s">
        <v>2523</v>
      </c>
      <c r="Q1847" t="s">
        <v>2525</v>
      </c>
    </row>
    <row r="1848" spans="1:17" x14ac:dyDescent="0.35">
      <c r="A1848" t="s">
        <v>633</v>
      </c>
      <c r="B1848" s="3">
        <v>45084</v>
      </c>
      <c r="C1848" t="s">
        <v>2014</v>
      </c>
      <c r="D1848" t="s">
        <v>2024</v>
      </c>
      <c r="E1848" s="8">
        <v>3836</v>
      </c>
      <c r="F1848">
        <v>10</v>
      </c>
      <c r="G1848">
        <v>15</v>
      </c>
      <c r="H1848" s="8">
        <v>32606</v>
      </c>
      <c r="I1848">
        <v>2547.2800000000002</v>
      </c>
      <c r="J1848">
        <v>7133.22</v>
      </c>
      <c r="K1848" s="5">
        <f>IF(SalesData[[#This Row],[Total Revenue]]=0,0,SalesData[[#This Row],[Profit]]/SalesData[[#This Row],[Total Revenue]])</f>
        <v>0.21877016500030669</v>
      </c>
      <c r="L1848" s="5" t="str">
        <f>TEXT(SalesData[[#This Row],[Date]],"mmm")</f>
        <v>Jun</v>
      </c>
      <c r="M1848">
        <f>YEAR(SalesData[[#This Row],[Date]])</f>
        <v>2023</v>
      </c>
      <c r="N1848">
        <f>WEEKNUM(SalesData[[#This Row],[Date]])</f>
        <v>23</v>
      </c>
      <c r="O1848" t="s">
        <v>2198</v>
      </c>
      <c r="P1848" t="s">
        <v>2522</v>
      </c>
      <c r="Q1848" t="s">
        <v>2527</v>
      </c>
    </row>
    <row r="1849" spans="1:17" x14ac:dyDescent="0.35">
      <c r="A1849" t="s">
        <v>228</v>
      </c>
      <c r="B1849" s="3">
        <v>45169</v>
      </c>
      <c r="C1849" t="s">
        <v>2014</v>
      </c>
      <c r="D1849" t="s">
        <v>2024</v>
      </c>
      <c r="E1849" s="8">
        <v>4537</v>
      </c>
      <c r="F1849">
        <v>8</v>
      </c>
      <c r="G1849">
        <v>10</v>
      </c>
      <c r="H1849" s="8">
        <v>32666.400000000001</v>
      </c>
      <c r="I1849">
        <v>2886.32</v>
      </c>
      <c r="J1849">
        <v>9575.81</v>
      </c>
      <c r="K1849" s="5">
        <f>IF(SalesData[[#This Row],[Total Revenue]]=0,0,SalesData[[#This Row],[Profit]]/SalesData[[#This Row],[Total Revenue]])</f>
        <v>0.2931394337912962</v>
      </c>
      <c r="L1849" s="5" t="str">
        <f>TEXT(SalesData[[#This Row],[Date]],"mmm")</f>
        <v>Aug</v>
      </c>
      <c r="M1849">
        <f>YEAR(SalesData[[#This Row],[Date]])</f>
        <v>2023</v>
      </c>
      <c r="N1849">
        <f>WEEKNUM(SalesData[[#This Row],[Date]])</f>
        <v>35</v>
      </c>
      <c r="O1849" t="s">
        <v>2202</v>
      </c>
      <c r="P1849" t="s">
        <v>2522</v>
      </c>
      <c r="Q1849" t="s">
        <v>2527</v>
      </c>
    </row>
    <row r="1850" spans="1:17" x14ac:dyDescent="0.35">
      <c r="A1850" t="s">
        <v>1283</v>
      </c>
      <c r="B1850" s="3">
        <v>45130</v>
      </c>
      <c r="C1850" t="s">
        <v>2022</v>
      </c>
      <c r="D1850" t="s">
        <v>2024</v>
      </c>
      <c r="E1850" s="8">
        <v>3846</v>
      </c>
      <c r="F1850">
        <v>10</v>
      </c>
      <c r="G1850">
        <v>15</v>
      </c>
      <c r="H1850" s="8">
        <v>32691</v>
      </c>
      <c r="I1850">
        <v>2618.25</v>
      </c>
      <c r="J1850">
        <v>6508.49</v>
      </c>
      <c r="K1850" s="5">
        <f>IF(SalesData[[#This Row],[Total Revenue]]=0,0,SalesData[[#This Row],[Profit]]/SalesData[[#This Row],[Total Revenue]])</f>
        <v>0.19909118717689883</v>
      </c>
      <c r="L1850" s="5" t="str">
        <f>TEXT(SalesData[[#This Row],[Date]],"mmm")</f>
        <v>Jul</v>
      </c>
      <c r="M1850">
        <f>YEAR(SalesData[[#This Row],[Date]])</f>
        <v>2023</v>
      </c>
      <c r="N1850">
        <f>WEEKNUM(SalesData[[#This Row],[Date]])</f>
        <v>30</v>
      </c>
      <c r="O1850" t="s">
        <v>2116</v>
      </c>
      <c r="P1850" t="s">
        <v>2523</v>
      </c>
      <c r="Q1850" t="s">
        <v>2526</v>
      </c>
    </row>
    <row r="1851" spans="1:17" x14ac:dyDescent="0.35">
      <c r="A1851" t="s">
        <v>1342</v>
      </c>
      <c r="B1851" s="3">
        <v>45256</v>
      </c>
      <c r="C1851" t="s">
        <v>2021</v>
      </c>
      <c r="D1851" t="s">
        <v>2028</v>
      </c>
      <c r="E1851" s="8">
        <v>4091</v>
      </c>
      <c r="F1851">
        <v>8</v>
      </c>
      <c r="G1851">
        <v>0</v>
      </c>
      <c r="H1851" s="8">
        <v>32728</v>
      </c>
      <c r="I1851">
        <v>2192.9499999999998</v>
      </c>
      <c r="J1851">
        <v>15184.42</v>
      </c>
      <c r="K1851" s="5">
        <f>IF(SalesData[[#This Row],[Total Revenue]]=0,0,SalesData[[#This Row],[Profit]]/SalesData[[#This Row],[Total Revenue]])</f>
        <v>0.46395807870936201</v>
      </c>
      <c r="L1851" s="5" t="str">
        <f>TEXT(SalesData[[#This Row],[Date]],"mmm")</f>
        <v>Nov</v>
      </c>
      <c r="M1851">
        <f>YEAR(SalesData[[#This Row],[Date]])</f>
        <v>2023</v>
      </c>
      <c r="N1851">
        <f>WEEKNUM(SalesData[[#This Row],[Date]])</f>
        <v>48</v>
      </c>
      <c r="O1851" t="s">
        <v>2075</v>
      </c>
      <c r="P1851" t="s">
        <v>2522</v>
      </c>
      <c r="Q1851" t="s">
        <v>2525</v>
      </c>
    </row>
    <row r="1852" spans="1:17" x14ac:dyDescent="0.35">
      <c r="A1852" t="s">
        <v>1021</v>
      </c>
      <c r="B1852" s="3">
        <v>45028</v>
      </c>
      <c r="C1852" t="s">
        <v>2022</v>
      </c>
      <c r="D1852" t="s">
        <v>2024</v>
      </c>
      <c r="E1852" s="8">
        <v>4290</v>
      </c>
      <c r="F1852">
        <v>9</v>
      </c>
      <c r="G1852">
        <v>15</v>
      </c>
      <c r="H1852" s="8">
        <v>32818.5</v>
      </c>
      <c r="I1852">
        <v>3412.42</v>
      </c>
      <c r="J1852">
        <v>2106.7600000000002</v>
      </c>
      <c r="K1852" s="5">
        <f>IF(SalesData[[#This Row],[Total Revenue]]=0,0,SalesData[[#This Row],[Profit]]/SalesData[[#This Row],[Total Revenue]])</f>
        <v>6.4194280664868902E-2</v>
      </c>
      <c r="L1852" s="5" t="str">
        <f>TEXT(SalesData[[#This Row],[Date]],"mmm")</f>
        <v>Apr</v>
      </c>
      <c r="M1852">
        <f>YEAR(SalesData[[#This Row],[Date]])</f>
        <v>2023</v>
      </c>
      <c r="N1852">
        <f>WEEKNUM(SalesData[[#This Row],[Date]])</f>
        <v>15</v>
      </c>
      <c r="O1852" t="s">
        <v>2458</v>
      </c>
      <c r="P1852" t="s">
        <v>2522</v>
      </c>
      <c r="Q1852" t="s">
        <v>2525</v>
      </c>
    </row>
    <row r="1853" spans="1:17" x14ac:dyDescent="0.35">
      <c r="A1853" t="s">
        <v>563</v>
      </c>
      <c r="B1853" s="3">
        <v>45210</v>
      </c>
      <c r="C1853" t="s">
        <v>2021</v>
      </c>
      <c r="D1853" t="s">
        <v>2028</v>
      </c>
      <c r="E1853" s="8">
        <v>4947</v>
      </c>
      <c r="F1853">
        <v>7</v>
      </c>
      <c r="G1853">
        <v>5</v>
      </c>
      <c r="H1853" s="8">
        <v>32897.550000000003</v>
      </c>
      <c r="I1853">
        <v>3406.47</v>
      </c>
      <c r="J1853">
        <v>9052.25</v>
      </c>
      <c r="K1853" s="5">
        <f>IF(SalesData[[#This Row],[Total Revenue]]=0,0,SalesData[[#This Row],[Profit]]/SalesData[[#This Row],[Total Revenue]])</f>
        <v>0.2751648679004971</v>
      </c>
      <c r="L1853" s="5" t="str">
        <f>TEXT(SalesData[[#This Row],[Date]],"mmm")</f>
        <v>Oct</v>
      </c>
      <c r="M1853">
        <f>YEAR(SalesData[[#This Row],[Date]])</f>
        <v>2023</v>
      </c>
      <c r="N1853">
        <f>WEEKNUM(SalesData[[#This Row],[Date]])</f>
        <v>41</v>
      </c>
      <c r="O1853" t="s">
        <v>2359</v>
      </c>
      <c r="P1853" t="s">
        <v>2522</v>
      </c>
      <c r="Q1853" t="s">
        <v>2527</v>
      </c>
    </row>
    <row r="1854" spans="1:17" x14ac:dyDescent="0.35">
      <c r="A1854" t="s">
        <v>1828</v>
      </c>
      <c r="B1854" s="3">
        <v>44928</v>
      </c>
      <c r="C1854" t="s">
        <v>2020</v>
      </c>
      <c r="D1854" t="s">
        <v>2028</v>
      </c>
      <c r="E1854" s="8">
        <v>4710</v>
      </c>
      <c r="F1854">
        <v>7</v>
      </c>
      <c r="G1854">
        <v>0</v>
      </c>
      <c r="H1854" s="8">
        <v>32970</v>
      </c>
      <c r="I1854">
        <v>2859.28</v>
      </c>
      <c r="J1854">
        <v>12955.05</v>
      </c>
      <c r="K1854" s="5">
        <f>IF(SalesData[[#This Row],[Total Revenue]]=0,0,SalesData[[#This Row],[Profit]]/SalesData[[#This Row],[Total Revenue]])</f>
        <v>0.39293448589626934</v>
      </c>
      <c r="L1854" s="5" t="str">
        <f>TEXT(SalesData[[#This Row],[Date]],"mmm")</f>
        <v>Jan</v>
      </c>
      <c r="M1854">
        <f>YEAR(SalesData[[#This Row],[Date]])</f>
        <v>2023</v>
      </c>
      <c r="N1854">
        <f>WEEKNUM(SalesData[[#This Row],[Date]])</f>
        <v>1</v>
      </c>
      <c r="O1854" t="s">
        <v>2205</v>
      </c>
      <c r="P1854" t="s">
        <v>2523</v>
      </c>
      <c r="Q1854" t="s">
        <v>2525</v>
      </c>
    </row>
    <row r="1855" spans="1:17" x14ac:dyDescent="0.35">
      <c r="A1855" t="s">
        <v>1439</v>
      </c>
      <c r="B1855" s="3">
        <v>45058</v>
      </c>
      <c r="C1855" t="s">
        <v>2013</v>
      </c>
      <c r="D1855" t="s">
        <v>2023</v>
      </c>
      <c r="E1855" s="8">
        <v>4316</v>
      </c>
      <c r="F1855">
        <v>9</v>
      </c>
      <c r="G1855">
        <v>15</v>
      </c>
      <c r="H1855" s="8">
        <v>33017.4</v>
      </c>
      <c r="I1855">
        <v>3234.14</v>
      </c>
      <c r="J1855">
        <v>3910.11</v>
      </c>
      <c r="K1855" s="5">
        <f>IF(SalesData[[#This Row],[Total Revenue]]=0,0,SalesData[[#This Row],[Profit]]/SalesData[[#This Row],[Total Revenue]])</f>
        <v>0.1184257391557179</v>
      </c>
      <c r="L1855" s="5" t="str">
        <f>TEXT(SalesData[[#This Row],[Date]],"mmm")</f>
        <v>May</v>
      </c>
      <c r="M1855">
        <f>YEAR(SalesData[[#This Row],[Date]])</f>
        <v>2023</v>
      </c>
      <c r="N1855">
        <f>WEEKNUM(SalesData[[#This Row],[Date]])</f>
        <v>19</v>
      </c>
      <c r="O1855" t="s">
        <v>2288</v>
      </c>
      <c r="P1855" t="s">
        <v>2522</v>
      </c>
      <c r="Q1855" t="s">
        <v>2524</v>
      </c>
    </row>
    <row r="1856" spans="1:17" x14ac:dyDescent="0.35">
      <c r="A1856" t="s">
        <v>53</v>
      </c>
      <c r="B1856" s="3">
        <v>45154</v>
      </c>
      <c r="C1856" t="s">
        <v>2014</v>
      </c>
      <c r="D1856" t="s">
        <v>2024</v>
      </c>
      <c r="E1856" s="8">
        <v>3863</v>
      </c>
      <c r="F1856">
        <v>9</v>
      </c>
      <c r="G1856">
        <v>5</v>
      </c>
      <c r="H1856" s="8">
        <v>33028.65</v>
      </c>
      <c r="I1856">
        <v>2377.7800000000002</v>
      </c>
      <c r="J1856">
        <v>11628.6</v>
      </c>
      <c r="K1856" s="5">
        <f>IF(SalesData[[#This Row],[Total Revenue]]=0,0,SalesData[[#This Row],[Profit]]/SalesData[[#This Row],[Total Revenue]])</f>
        <v>0.35207615206797732</v>
      </c>
      <c r="L1856" s="5" t="str">
        <f>TEXT(SalesData[[#This Row],[Date]],"mmm")</f>
        <v>Aug</v>
      </c>
      <c r="M1856">
        <f>YEAR(SalesData[[#This Row],[Date]])</f>
        <v>2023</v>
      </c>
      <c r="N1856">
        <f>WEEKNUM(SalesData[[#This Row],[Date]])</f>
        <v>33</v>
      </c>
      <c r="O1856" t="s">
        <v>2065</v>
      </c>
      <c r="P1856" t="s">
        <v>2522</v>
      </c>
      <c r="Q1856" t="s">
        <v>2526</v>
      </c>
    </row>
    <row r="1857" spans="1:17" x14ac:dyDescent="0.35">
      <c r="A1857" t="s">
        <v>1293</v>
      </c>
      <c r="B1857" s="3">
        <v>45087</v>
      </c>
      <c r="C1857" t="s">
        <v>2016</v>
      </c>
      <c r="D1857" t="s">
        <v>2025</v>
      </c>
      <c r="E1857" s="8">
        <v>3865</v>
      </c>
      <c r="F1857">
        <v>9</v>
      </c>
      <c r="G1857">
        <v>5</v>
      </c>
      <c r="H1857" s="8">
        <v>33045.75</v>
      </c>
      <c r="I1857">
        <v>2285.0500000000002</v>
      </c>
      <c r="J1857">
        <v>12480.26</v>
      </c>
      <c r="K1857" s="5">
        <f>IF(SalesData[[#This Row],[Total Revenue]]=0,0,SalesData[[#This Row],[Profit]]/SalesData[[#This Row],[Total Revenue]])</f>
        <v>0.37766611440200332</v>
      </c>
      <c r="L1857" s="5" t="str">
        <f>TEXT(SalesData[[#This Row],[Date]],"mmm")</f>
        <v>Jun</v>
      </c>
      <c r="M1857">
        <f>YEAR(SalesData[[#This Row],[Date]])</f>
        <v>2023</v>
      </c>
      <c r="N1857">
        <f>WEEKNUM(SalesData[[#This Row],[Date]])</f>
        <v>23</v>
      </c>
      <c r="O1857" t="s">
        <v>2342</v>
      </c>
      <c r="P1857" t="s">
        <v>2523</v>
      </c>
      <c r="Q1857" t="s">
        <v>2526</v>
      </c>
    </row>
    <row r="1858" spans="1:17" x14ac:dyDescent="0.35">
      <c r="A1858" t="s">
        <v>1385</v>
      </c>
      <c r="B1858" s="3">
        <v>45254</v>
      </c>
      <c r="C1858" t="s">
        <v>2016</v>
      </c>
      <c r="D1858" t="s">
        <v>2025</v>
      </c>
      <c r="E1858" s="8">
        <v>4728</v>
      </c>
      <c r="F1858">
        <v>7</v>
      </c>
      <c r="G1858">
        <v>0</v>
      </c>
      <c r="H1858" s="8">
        <v>33096</v>
      </c>
      <c r="I1858">
        <v>3148.71</v>
      </c>
      <c r="J1858">
        <v>11055.06</v>
      </c>
      <c r="K1858" s="5">
        <f>IF(SalesData[[#This Row],[Total Revenue]]=0,0,SalesData[[#This Row],[Profit]]/SalesData[[#This Row],[Total Revenue]])</f>
        <v>0.334030094271211</v>
      </c>
      <c r="L1858" s="5" t="str">
        <f>TEXT(SalesData[[#This Row],[Date]],"mmm")</f>
        <v>Nov</v>
      </c>
      <c r="M1858">
        <f>YEAR(SalesData[[#This Row],[Date]])</f>
        <v>2023</v>
      </c>
      <c r="N1858">
        <f>WEEKNUM(SalesData[[#This Row],[Date]])</f>
        <v>47</v>
      </c>
      <c r="O1858" t="s">
        <v>2246</v>
      </c>
      <c r="P1858" t="s">
        <v>2522</v>
      </c>
      <c r="Q1858" t="s">
        <v>2524</v>
      </c>
    </row>
    <row r="1859" spans="1:17" x14ac:dyDescent="0.35">
      <c r="A1859" t="s">
        <v>1119</v>
      </c>
      <c r="B1859" s="3">
        <v>45187</v>
      </c>
      <c r="C1859" t="s">
        <v>2021</v>
      </c>
      <c r="D1859" t="s">
        <v>2028</v>
      </c>
      <c r="E1859" s="8">
        <v>4989</v>
      </c>
      <c r="F1859">
        <v>7</v>
      </c>
      <c r="G1859">
        <v>5</v>
      </c>
      <c r="H1859" s="8">
        <v>33176.85</v>
      </c>
      <c r="I1859">
        <v>3324.29</v>
      </c>
      <c r="J1859">
        <v>9906.82</v>
      </c>
      <c r="K1859" s="5">
        <f>IF(SalesData[[#This Row],[Total Revenue]]=0,0,SalesData[[#This Row],[Profit]]/SalesData[[#This Row],[Total Revenue]])</f>
        <v>0.29860640778132946</v>
      </c>
      <c r="L1859" s="5" t="str">
        <f>TEXT(SalesData[[#This Row],[Date]],"mmm")</f>
        <v>Sep</v>
      </c>
      <c r="M1859">
        <f>YEAR(SalesData[[#This Row],[Date]])</f>
        <v>2023</v>
      </c>
      <c r="N1859">
        <f>WEEKNUM(SalesData[[#This Row],[Date]])</f>
        <v>38</v>
      </c>
      <c r="O1859" t="s">
        <v>2299</v>
      </c>
      <c r="P1859" t="s">
        <v>2522</v>
      </c>
      <c r="Q1859" t="s">
        <v>2525</v>
      </c>
    </row>
    <row r="1860" spans="1:17" x14ac:dyDescent="0.35">
      <c r="A1860" t="s">
        <v>466</v>
      </c>
      <c r="B1860" s="3">
        <v>45267</v>
      </c>
      <c r="C1860" t="s">
        <v>2015</v>
      </c>
      <c r="D1860" t="s">
        <v>2025</v>
      </c>
      <c r="E1860" s="8">
        <v>3907</v>
      </c>
      <c r="F1860">
        <v>10</v>
      </c>
      <c r="G1860">
        <v>15</v>
      </c>
      <c r="H1860" s="8">
        <v>33209.5</v>
      </c>
      <c r="I1860">
        <v>2847.84</v>
      </c>
      <c r="J1860">
        <v>4731.1000000000004</v>
      </c>
      <c r="K1860" s="5">
        <f>IF(SalesData[[#This Row],[Total Revenue]]=0,0,SalesData[[#This Row],[Profit]]/SalesData[[#This Row],[Total Revenue]])</f>
        <v>0.1424622472485283</v>
      </c>
      <c r="L1860" s="5" t="str">
        <f>TEXT(SalesData[[#This Row],[Date]],"mmm")</f>
        <v>Dec</v>
      </c>
      <c r="M1860">
        <f>YEAR(SalesData[[#This Row],[Date]])</f>
        <v>2023</v>
      </c>
      <c r="N1860">
        <f>WEEKNUM(SalesData[[#This Row],[Date]])</f>
        <v>49</v>
      </c>
      <c r="O1860" t="s">
        <v>2323</v>
      </c>
      <c r="P1860" t="s">
        <v>2522</v>
      </c>
      <c r="Q1860" t="s">
        <v>2527</v>
      </c>
    </row>
    <row r="1861" spans="1:17" x14ac:dyDescent="0.35">
      <c r="A1861" t="s">
        <v>1658</v>
      </c>
      <c r="B1861" s="3">
        <v>45268</v>
      </c>
      <c r="C1861" t="s">
        <v>2019</v>
      </c>
      <c r="D1861" t="s">
        <v>2027</v>
      </c>
      <c r="E1861" s="8">
        <v>3499</v>
      </c>
      <c r="F1861">
        <v>10</v>
      </c>
      <c r="G1861">
        <v>5</v>
      </c>
      <c r="H1861" s="8">
        <v>33240.5</v>
      </c>
      <c r="I1861">
        <v>1822.97</v>
      </c>
      <c r="J1861">
        <v>15010.81</v>
      </c>
      <c r="K1861" s="5">
        <f>IF(SalesData[[#This Row],[Total Revenue]]=0,0,SalesData[[#This Row],[Profit]]/SalesData[[#This Row],[Total Revenue]])</f>
        <v>0.45158195574675469</v>
      </c>
      <c r="L1861" s="5" t="str">
        <f>TEXT(SalesData[[#This Row],[Date]],"mmm")</f>
        <v>Dec</v>
      </c>
      <c r="M1861">
        <f>YEAR(SalesData[[#This Row],[Date]])</f>
        <v>2023</v>
      </c>
      <c r="N1861">
        <f>WEEKNUM(SalesData[[#This Row],[Date]])</f>
        <v>49</v>
      </c>
      <c r="O1861" t="s">
        <v>2476</v>
      </c>
      <c r="P1861" t="s">
        <v>2522</v>
      </c>
      <c r="Q1861" t="s">
        <v>2524</v>
      </c>
    </row>
    <row r="1862" spans="1:17" x14ac:dyDescent="0.35">
      <c r="A1862" t="s">
        <v>891</v>
      </c>
      <c r="B1862" s="3">
        <v>44973</v>
      </c>
      <c r="C1862" t="s">
        <v>2021</v>
      </c>
      <c r="D1862" t="s">
        <v>2028</v>
      </c>
      <c r="E1862" s="8">
        <v>3921</v>
      </c>
      <c r="F1862">
        <v>10</v>
      </c>
      <c r="G1862">
        <v>15</v>
      </c>
      <c r="H1862" s="8">
        <v>33328.5</v>
      </c>
      <c r="I1862">
        <v>2638</v>
      </c>
      <c r="J1862">
        <v>6948.5</v>
      </c>
      <c r="K1862" s="5">
        <f>IF(SalesData[[#This Row],[Total Revenue]]=0,0,SalesData[[#This Row],[Profit]]/SalesData[[#This Row],[Total Revenue]])</f>
        <v>0.20848523035840197</v>
      </c>
      <c r="L1862" s="5" t="str">
        <f>TEXT(SalesData[[#This Row],[Date]],"mmm")</f>
        <v>Feb</v>
      </c>
      <c r="M1862">
        <f>YEAR(SalesData[[#This Row],[Date]])</f>
        <v>2023</v>
      </c>
      <c r="N1862">
        <f>WEEKNUM(SalesData[[#This Row],[Date]])</f>
        <v>7</v>
      </c>
      <c r="O1862" t="s">
        <v>2431</v>
      </c>
      <c r="P1862" t="s">
        <v>2523</v>
      </c>
      <c r="Q1862" t="s">
        <v>2525</v>
      </c>
    </row>
    <row r="1863" spans="1:17" x14ac:dyDescent="0.35">
      <c r="A1863" t="s">
        <v>1652</v>
      </c>
      <c r="B1863" s="3">
        <v>45249</v>
      </c>
      <c r="C1863" t="s">
        <v>2019</v>
      </c>
      <c r="D1863" t="s">
        <v>2027</v>
      </c>
      <c r="E1863" s="8">
        <v>4174</v>
      </c>
      <c r="F1863">
        <v>8</v>
      </c>
      <c r="G1863">
        <v>0</v>
      </c>
      <c r="H1863" s="8">
        <v>33392</v>
      </c>
      <c r="I1863">
        <v>3103.98</v>
      </c>
      <c r="J1863">
        <v>8560.1200000000008</v>
      </c>
      <c r="K1863" s="5">
        <f>IF(SalesData[[#This Row],[Total Revenue]]=0,0,SalesData[[#This Row],[Profit]]/SalesData[[#This Row],[Total Revenue]])</f>
        <v>0.25635241974125539</v>
      </c>
      <c r="L1863" s="5" t="str">
        <f>TEXT(SalesData[[#This Row],[Date]],"mmm")</f>
        <v>Nov</v>
      </c>
      <c r="M1863">
        <f>YEAR(SalesData[[#This Row],[Date]])</f>
        <v>2023</v>
      </c>
      <c r="N1863">
        <f>WEEKNUM(SalesData[[#This Row],[Date]])</f>
        <v>47</v>
      </c>
      <c r="O1863" t="s">
        <v>2335</v>
      </c>
      <c r="P1863" t="s">
        <v>2523</v>
      </c>
      <c r="Q1863" t="s">
        <v>2524</v>
      </c>
    </row>
    <row r="1864" spans="1:17" x14ac:dyDescent="0.35">
      <c r="A1864" t="s">
        <v>201</v>
      </c>
      <c r="B1864" s="3">
        <v>45226</v>
      </c>
      <c r="C1864" t="s">
        <v>2018</v>
      </c>
      <c r="D1864" t="s">
        <v>2026</v>
      </c>
      <c r="E1864" s="8">
        <v>3930</v>
      </c>
      <c r="F1864">
        <v>10</v>
      </c>
      <c r="G1864">
        <v>15</v>
      </c>
      <c r="H1864" s="8">
        <v>33405</v>
      </c>
      <c r="I1864">
        <v>3041.94</v>
      </c>
      <c r="J1864">
        <v>2985.62</v>
      </c>
      <c r="K1864" s="5">
        <f>IF(SalesData[[#This Row],[Total Revenue]]=0,0,SalesData[[#This Row],[Profit]]/SalesData[[#This Row],[Total Revenue]])</f>
        <v>8.9376440652596909E-2</v>
      </c>
      <c r="L1864" s="5" t="str">
        <f>TEXT(SalesData[[#This Row],[Date]],"mmm")</f>
        <v>Oct</v>
      </c>
      <c r="M1864">
        <f>YEAR(SalesData[[#This Row],[Date]])</f>
        <v>2023</v>
      </c>
      <c r="N1864">
        <f>WEEKNUM(SalesData[[#This Row],[Date]])</f>
        <v>43</v>
      </c>
      <c r="O1864" t="s">
        <v>2185</v>
      </c>
      <c r="P1864" t="s">
        <v>2522</v>
      </c>
      <c r="Q1864" t="s">
        <v>2527</v>
      </c>
    </row>
    <row r="1865" spans="1:17" x14ac:dyDescent="0.35">
      <c r="A1865" t="s">
        <v>1627</v>
      </c>
      <c r="B1865" s="3">
        <v>45183</v>
      </c>
      <c r="C1865" t="s">
        <v>2018</v>
      </c>
      <c r="D1865" t="s">
        <v>2026</v>
      </c>
      <c r="E1865" s="8">
        <v>4777</v>
      </c>
      <c r="F1865">
        <v>7</v>
      </c>
      <c r="G1865">
        <v>0</v>
      </c>
      <c r="H1865" s="8">
        <v>33439</v>
      </c>
      <c r="I1865">
        <v>2808.04</v>
      </c>
      <c r="J1865">
        <v>13782.7</v>
      </c>
      <c r="K1865" s="5">
        <f>IF(SalesData[[#This Row],[Total Revenue]]=0,0,SalesData[[#This Row],[Profit]]/SalesData[[#This Row],[Total Revenue]])</f>
        <v>0.41217440712939984</v>
      </c>
      <c r="L1865" s="5" t="str">
        <f>TEXT(SalesData[[#This Row],[Date]],"mmm")</f>
        <v>Sep</v>
      </c>
      <c r="M1865">
        <f>YEAR(SalesData[[#This Row],[Date]])</f>
        <v>2023</v>
      </c>
      <c r="N1865">
        <f>WEEKNUM(SalesData[[#This Row],[Date]])</f>
        <v>37</v>
      </c>
      <c r="O1865" t="s">
        <v>2125</v>
      </c>
      <c r="P1865" t="s">
        <v>2523</v>
      </c>
      <c r="Q1865" t="s">
        <v>2525</v>
      </c>
    </row>
    <row r="1866" spans="1:17" x14ac:dyDescent="0.35">
      <c r="A1866" t="s">
        <v>2001</v>
      </c>
      <c r="B1866" s="3">
        <v>45273</v>
      </c>
      <c r="C1866" t="s">
        <v>2013</v>
      </c>
      <c r="D1866" t="s">
        <v>2023</v>
      </c>
      <c r="E1866" s="8">
        <v>4929</v>
      </c>
      <c r="F1866">
        <v>8</v>
      </c>
      <c r="G1866">
        <v>15</v>
      </c>
      <c r="H1866" s="8">
        <v>33517.199999999997</v>
      </c>
      <c r="I1866">
        <v>3902.54</v>
      </c>
      <c r="J1866">
        <v>2296.9</v>
      </c>
      <c r="K1866" s="5">
        <f>IF(SalesData[[#This Row],[Total Revenue]]=0,0,SalesData[[#This Row],[Profit]]/SalesData[[#This Row],[Total Revenue]])</f>
        <v>6.8528994068716972E-2</v>
      </c>
      <c r="L1866" s="5" t="str">
        <f>TEXT(SalesData[[#This Row],[Date]],"mmm")</f>
        <v>Dec</v>
      </c>
      <c r="M1866">
        <f>YEAR(SalesData[[#This Row],[Date]])</f>
        <v>2023</v>
      </c>
      <c r="N1866">
        <f>WEEKNUM(SalesData[[#This Row],[Date]])</f>
        <v>50</v>
      </c>
      <c r="O1866" t="s">
        <v>2401</v>
      </c>
      <c r="P1866" t="s">
        <v>2523</v>
      </c>
      <c r="Q1866" t="s">
        <v>2525</v>
      </c>
    </row>
    <row r="1867" spans="1:17" x14ac:dyDescent="0.35">
      <c r="A1867" t="s">
        <v>138</v>
      </c>
      <c r="B1867" s="3">
        <v>45287</v>
      </c>
      <c r="C1867" t="s">
        <v>2017</v>
      </c>
      <c r="D1867" t="s">
        <v>2026</v>
      </c>
      <c r="E1867" s="8">
        <v>4931</v>
      </c>
      <c r="F1867">
        <v>8</v>
      </c>
      <c r="G1867">
        <v>15</v>
      </c>
      <c r="H1867" s="8">
        <v>33530.800000000003</v>
      </c>
      <c r="I1867">
        <v>3681.31</v>
      </c>
      <c r="J1867">
        <v>4080.35</v>
      </c>
      <c r="K1867" s="5">
        <f>IF(SalesData[[#This Row],[Total Revenue]]=0,0,SalesData[[#This Row],[Profit]]/SalesData[[#This Row],[Total Revenue]])</f>
        <v>0.12168961074594103</v>
      </c>
      <c r="L1867" s="5" t="str">
        <f>TEXT(SalesData[[#This Row],[Date]],"mmm")</f>
        <v>Dec</v>
      </c>
      <c r="M1867">
        <f>YEAR(SalesData[[#This Row],[Date]])</f>
        <v>2023</v>
      </c>
      <c r="N1867">
        <f>WEEKNUM(SalesData[[#This Row],[Date]])</f>
        <v>52</v>
      </c>
      <c r="O1867" t="s">
        <v>2119</v>
      </c>
      <c r="P1867" t="s">
        <v>2522</v>
      </c>
      <c r="Q1867" t="s">
        <v>2526</v>
      </c>
    </row>
    <row r="1868" spans="1:17" x14ac:dyDescent="0.35">
      <c r="A1868" t="s">
        <v>1817</v>
      </c>
      <c r="B1868" s="3">
        <v>45120</v>
      </c>
      <c r="C1868" t="s">
        <v>2016</v>
      </c>
      <c r="D1868" t="s">
        <v>2025</v>
      </c>
      <c r="E1868" s="8">
        <v>3923</v>
      </c>
      <c r="F1868">
        <v>9</v>
      </c>
      <c r="G1868">
        <v>5</v>
      </c>
      <c r="H1868" s="8">
        <v>33541.65</v>
      </c>
      <c r="I1868">
        <v>2576.89</v>
      </c>
      <c r="J1868">
        <v>10349.67</v>
      </c>
      <c r="K1868" s="5">
        <f>IF(SalesData[[#This Row],[Total Revenue]]=0,0,SalesData[[#This Row],[Profit]]/SalesData[[#This Row],[Total Revenue]])</f>
        <v>0.3085617433847172</v>
      </c>
      <c r="L1868" s="5" t="str">
        <f>TEXT(SalesData[[#This Row],[Date]],"mmm")</f>
        <v>Jul</v>
      </c>
      <c r="M1868">
        <f>YEAR(SalesData[[#This Row],[Date]])</f>
        <v>2023</v>
      </c>
      <c r="N1868">
        <f>WEEKNUM(SalesData[[#This Row],[Date]])</f>
        <v>28</v>
      </c>
      <c r="O1868" t="s">
        <v>2053</v>
      </c>
      <c r="P1868" t="s">
        <v>2522</v>
      </c>
      <c r="Q1868" t="s">
        <v>2525</v>
      </c>
    </row>
    <row r="1869" spans="1:17" x14ac:dyDescent="0.35">
      <c r="A1869" t="s">
        <v>367</v>
      </c>
      <c r="B1869" s="3">
        <v>45157</v>
      </c>
      <c r="C1869" t="s">
        <v>2018</v>
      </c>
      <c r="D1869" t="s">
        <v>2026</v>
      </c>
      <c r="E1869" s="8">
        <v>3365</v>
      </c>
      <c r="F1869">
        <v>10</v>
      </c>
      <c r="G1869">
        <v>0</v>
      </c>
      <c r="H1869" s="8">
        <v>33650</v>
      </c>
      <c r="I1869">
        <v>2124.4</v>
      </c>
      <c r="J1869">
        <v>12405.95</v>
      </c>
      <c r="K1869" s="5">
        <f>IF(SalesData[[#This Row],[Total Revenue]]=0,0,SalesData[[#This Row],[Profit]]/SalesData[[#This Row],[Total Revenue]])</f>
        <v>0.36867607726597329</v>
      </c>
      <c r="L1869" s="5" t="str">
        <f>TEXT(SalesData[[#This Row],[Date]],"mmm")</f>
        <v>Aug</v>
      </c>
      <c r="M1869">
        <f>YEAR(SalesData[[#This Row],[Date]])</f>
        <v>2023</v>
      </c>
      <c r="N1869">
        <f>WEEKNUM(SalesData[[#This Row],[Date]])</f>
        <v>33</v>
      </c>
      <c r="O1869" t="s">
        <v>2280</v>
      </c>
      <c r="P1869" t="s">
        <v>2522</v>
      </c>
      <c r="Q1869" t="s">
        <v>2524</v>
      </c>
    </row>
    <row r="1870" spans="1:17" x14ac:dyDescent="0.35">
      <c r="A1870" t="s">
        <v>1431</v>
      </c>
      <c r="B1870" s="3">
        <v>45289</v>
      </c>
      <c r="C1870" t="s">
        <v>2020</v>
      </c>
      <c r="D1870" t="s">
        <v>2028</v>
      </c>
      <c r="E1870" s="8">
        <v>4431</v>
      </c>
      <c r="F1870">
        <v>8</v>
      </c>
      <c r="G1870">
        <v>5</v>
      </c>
      <c r="H1870" s="8">
        <v>33675.599999999999</v>
      </c>
      <c r="I1870">
        <v>2288.92</v>
      </c>
      <c r="J1870">
        <v>15364.24</v>
      </c>
      <c r="K1870" s="5">
        <f>IF(SalesData[[#This Row],[Total Revenue]]=0,0,SalesData[[#This Row],[Profit]]/SalesData[[#This Row],[Total Revenue]])</f>
        <v>0.45624250198957111</v>
      </c>
      <c r="L1870" s="5" t="str">
        <f>TEXT(SalesData[[#This Row],[Date]],"mmm")</f>
        <v>Dec</v>
      </c>
      <c r="M1870">
        <f>YEAR(SalesData[[#This Row],[Date]])</f>
        <v>2023</v>
      </c>
      <c r="N1870">
        <f>WEEKNUM(SalesData[[#This Row],[Date]])</f>
        <v>52</v>
      </c>
      <c r="O1870" t="s">
        <v>2134</v>
      </c>
      <c r="P1870" t="s">
        <v>2523</v>
      </c>
      <c r="Q1870" t="s">
        <v>2524</v>
      </c>
    </row>
    <row r="1871" spans="1:17" x14ac:dyDescent="0.35">
      <c r="A1871" t="s">
        <v>177</v>
      </c>
      <c r="B1871" s="3">
        <v>45243</v>
      </c>
      <c r="C1871" t="s">
        <v>2015</v>
      </c>
      <c r="D1871" t="s">
        <v>2025</v>
      </c>
      <c r="E1871" s="8">
        <v>4956</v>
      </c>
      <c r="F1871">
        <v>8</v>
      </c>
      <c r="G1871">
        <v>15</v>
      </c>
      <c r="H1871" s="8">
        <v>33700.800000000003</v>
      </c>
      <c r="I1871">
        <v>2743.01</v>
      </c>
      <c r="J1871">
        <v>11756.72</v>
      </c>
      <c r="K1871" s="5">
        <f>IF(SalesData[[#This Row],[Total Revenue]]=0,0,SalesData[[#This Row],[Profit]]/SalesData[[#This Row],[Total Revenue]])</f>
        <v>0.34885581351184536</v>
      </c>
      <c r="L1871" s="5" t="str">
        <f>TEXT(SalesData[[#This Row],[Date]],"mmm")</f>
        <v>Nov</v>
      </c>
      <c r="M1871">
        <f>YEAR(SalesData[[#This Row],[Date]])</f>
        <v>2023</v>
      </c>
      <c r="N1871">
        <f>WEEKNUM(SalesData[[#This Row],[Date]])</f>
        <v>46</v>
      </c>
      <c r="O1871" t="s">
        <v>2128</v>
      </c>
      <c r="P1871" t="s">
        <v>2523</v>
      </c>
      <c r="Q1871" t="s">
        <v>2526</v>
      </c>
    </row>
    <row r="1872" spans="1:17" x14ac:dyDescent="0.35">
      <c r="A1872" t="s">
        <v>51</v>
      </c>
      <c r="B1872" s="3">
        <v>45018</v>
      </c>
      <c r="C1872" t="s">
        <v>2019</v>
      </c>
      <c r="D1872" t="s">
        <v>2027</v>
      </c>
      <c r="E1872" s="8">
        <v>3548</v>
      </c>
      <c r="F1872">
        <v>10</v>
      </c>
      <c r="G1872">
        <v>5</v>
      </c>
      <c r="H1872" s="8">
        <v>33706</v>
      </c>
      <c r="I1872">
        <v>1981.88</v>
      </c>
      <c r="J1872">
        <v>13887.22</v>
      </c>
      <c r="K1872" s="5">
        <f>IF(SalesData[[#This Row],[Total Revenue]]=0,0,SalesData[[#This Row],[Profit]]/SalesData[[#This Row],[Total Revenue]])</f>
        <v>0.41201032457129294</v>
      </c>
      <c r="L1872" s="5" t="str">
        <f>TEXT(SalesData[[#This Row],[Date]],"mmm")</f>
        <v>Apr</v>
      </c>
      <c r="M1872">
        <f>YEAR(SalesData[[#This Row],[Date]])</f>
        <v>2023</v>
      </c>
      <c r="N1872">
        <f>WEEKNUM(SalesData[[#This Row],[Date]])</f>
        <v>14</v>
      </c>
      <c r="O1872" t="s">
        <v>2063</v>
      </c>
      <c r="P1872" t="s">
        <v>2523</v>
      </c>
      <c r="Q1872" t="s">
        <v>2524</v>
      </c>
    </row>
    <row r="1873" spans="1:17" x14ac:dyDescent="0.35">
      <c r="A1873" t="s">
        <v>63</v>
      </c>
      <c r="B1873" s="3">
        <v>45093</v>
      </c>
      <c r="C1873" t="s">
        <v>2014</v>
      </c>
      <c r="D1873" t="s">
        <v>2024</v>
      </c>
      <c r="E1873" s="8">
        <v>4218</v>
      </c>
      <c r="F1873">
        <v>8</v>
      </c>
      <c r="G1873">
        <v>0</v>
      </c>
      <c r="H1873" s="8">
        <v>33744</v>
      </c>
      <c r="I1873">
        <v>2451.2800000000002</v>
      </c>
      <c r="J1873">
        <v>14133.8</v>
      </c>
      <c r="K1873" s="5">
        <f>IF(SalesData[[#This Row],[Total Revenue]]=0,0,SalesData[[#This Row],[Profit]]/SalesData[[#This Row],[Total Revenue]])</f>
        <v>0.41885372214319583</v>
      </c>
      <c r="L1873" s="5" t="str">
        <f>TEXT(SalesData[[#This Row],[Date]],"mmm")</f>
        <v>Jun</v>
      </c>
      <c r="M1873">
        <f>YEAR(SalesData[[#This Row],[Date]])</f>
        <v>2023</v>
      </c>
      <c r="N1873">
        <f>WEEKNUM(SalesData[[#This Row],[Date]])</f>
        <v>24</v>
      </c>
      <c r="O1873" t="s">
        <v>2074</v>
      </c>
      <c r="P1873" t="s">
        <v>2522</v>
      </c>
      <c r="Q1873" t="s">
        <v>2525</v>
      </c>
    </row>
    <row r="1874" spans="1:17" x14ac:dyDescent="0.35">
      <c r="A1874" t="s">
        <v>361</v>
      </c>
      <c r="B1874" s="3">
        <v>45159</v>
      </c>
      <c r="C1874" t="s">
        <v>2014</v>
      </c>
      <c r="D1874" t="s">
        <v>2024</v>
      </c>
      <c r="E1874" s="8">
        <v>3959</v>
      </c>
      <c r="F1874">
        <v>9</v>
      </c>
      <c r="G1874">
        <v>5</v>
      </c>
      <c r="H1874" s="8">
        <v>33849.449999999997</v>
      </c>
      <c r="I1874">
        <v>2969.1</v>
      </c>
      <c r="J1874">
        <v>7127.56</v>
      </c>
      <c r="K1874" s="5">
        <f>IF(SalesData[[#This Row],[Total Revenue]]=0,0,SalesData[[#This Row],[Profit]]/SalesData[[#This Row],[Total Revenue]])</f>
        <v>0.21056649369487543</v>
      </c>
      <c r="L1874" s="5" t="str">
        <f>TEXT(SalesData[[#This Row],[Date]],"mmm")</f>
        <v>Aug</v>
      </c>
      <c r="M1874">
        <f>YEAR(SalesData[[#This Row],[Date]])</f>
        <v>2023</v>
      </c>
      <c r="N1874">
        <f>WEEKNUM(SalesData[[#This Row],[Date]])</f>
        <v>34</v>
      </c>
      <c r="O1874" t="s">
        <v>2277</v>
      </c>
      <c r="P1874" t="s">
        <v>2522</v>
      </c>
      <c r="Q1874" t="s">
        <v>2525</v>
      </c>
    </row>
    <row r="1875" spans="1:17" x14ac:dyDescent="0.35">
      <c r="A1875" t="s">
        <v>1076</v>
      </c>
      <c r="B1875" s="3">
        <v>45170</v>
      </c>
      <c r="C1875" t="s">
        <v>2019</v>
      </c>
      <c r="D1875" t="s">
        <v>2027</v>
      </c>
      <c r="E1875" s="8">
        <v>4429</v>
      </c>
      <c r="F1875">
        <v>9</v>
      </c>
      <c r="G1875">
        <v>15</v>
      </c>
      <c r="H1875" s="8">
        <v>33881.85</v>
      </c>
      <c r="I1875">
        <v>2852.23</v>
      </c>
      <c r="J1875">
        <v>8211.7900000000009</v>
      </c>
      <c r="K1875" s="5">
        <f>IF(SalesData[[#This Row],[Total Revenue]]=0,0,SalesData[[#This Row],[Profit]]/SalesData[[#This Row],[Total Revenue]])</f>
        <v>0.2423654552511153</v>
      </c>
      <c r="L1875" s="5" t="str">
        <f>TEXT(SalesData[[#This Row],[Date]],"mmm")</f>
        <v>Sep</v>
      </c>
      <c r="M1875">
        <f>YEAR(SalesData[[#This Row],[Date]])</f>
        <v>2023</v>
      </c>
      <c r="N1875">
        <f>WEEKNUM(SalesData[[#This Row],[Date]])</f>
        <v>35</v>
      </c>
      <c r="O1875" t="s">
        <v>2055</v>
      </c>
      <c r="P1875" t="s">
        <v>2523</v>
      </c>
      <c r="Q1875" t="s">
        <v>2526</v>
      </c>
    </row>
    <row r="1876" spans="1:17" x14ac:dyDescent="0.35">
      <c r="A1876" t="s">
        <v>1043</v>
      </c>
      <c r="B1876" s="3">
        <v>45039</v>
      </c>
      <c r="C1876" t="s">
        <v>2014</v>
      </c>
      <c r="D1876" t="s">
        <v>2024</v>
      </c>
      <c r="E1876" s="8">
        <v>3568</v>
      </c>
      <c r="F1876">
        <v>10</v>
      </c>
      <c r="G1876">
        <v>5</v>
      </c>
      <c r="H1876" s="8">
        <v>33896</v>
      </c>
      <c r="I1876">
        <v>2324.34</v>
      </c>
      <c r="J1876">
        <v>10652.57</v>
      </c>
      <c r="K1876" s="5">
        <f>IF(SalesData[[#This Row],[Total Revenue]]=0,0,SalesData[[#This Row],[Profit]]/SalesData[[#This Row],[Total Revenue]])</f>
        <v>0.31427218550861458</v>
      </c>
      <c r="L1876" s="5" t="str">
        <f>TEXT(SalesData[[#This Row],[Date]],"mmm")</f>
        <v>Apr</v>
      </c>
      <c r="M1876">
        <f>YEAR(SalesData[[#This Row],[Date]])</f>
        <v>2023</v>
      </c>
      <c r="N1876">
        <f>WEEKNUM(SalesData[[#This Row],[Date]])</f>
        <v>17</v>
      </c>
      <c r="O1876" t="s">
        <v>2294</v>
      </c>
      <c r="P1876" t="s">
        <v>2522</v>
      </c>
      <c r="Q1876" t="s">
        <v>2527</v>
      </c>
    </row>
    <row r="1877" spans="1:17" x14ac:dyDescent="0.35">
      <c r="A1877" t="s">
        <v>668</v>
      </c>
      <c r="B1877" s="3">
        <v>45131</v>
      </c>
      <c r="C1877" t="s">
        <v>2021</v>
      </c>
      <c r="D1877" t="s">
        <v>2028</v>
      </c>
      <c r="E1877" s="8">
        <v>4460</v>
      </c>
      <c r="F1877">
        <v>8</v>
      </c>
      <c r="G1877">
        <v>5</v>
      </c>
      <c r="H1877" s="8">
        <v>33896</v>
      </c>
      <c r="I1877">
        <v>2839.13</v>
      </c>
      <c r="J1877">
        <v>11182.96</v>
      </c>
      <c r="K1877" s="5">
        <f>IF(SalesData[[#This Row],[Total Revenue]]=0,0,SalesData[[#This Row],[Profit]]/SalesData[[#This Row],[Total Revenue]])</f>
        <v>0.32991975454330891</v>
      </c>
      <c r="L1877" s="5" t="str">
        <f>TEXT(SalesData[[#This Row],[Date]],"mmm")</f>
        <v>Jul</v>
      </c>
      <c r="M1877">
        <f>YEAR(SalesData[[#This Row],[Date]])</f>
        <v>2023</v>
      </c>
      <c r="N1877">
        <f>WEEKNUM(SalesData[[#This Row],[Date]])</f>
        <v>30</v>
      </c>
      <c r="O1877" t="s">
        <v>2331</v>
      </c>
      <c r="P1877" t="s">
        <v>2522</v>
      </c>
      <c r="Q1877" t="s">
        <v>2525</v>
      </c>
    </row>
    <row r="1878" spans="1:17" x14ac:dyDescent="0.35">
      <c r="A1878" t="s">
        <v>1692</v>
      </c>
      <c r="B1878" s="3">
        <v>44955</v>
      </c>
      <c r="C1878" t="s">
        <v>2015</v>
      </c>
      <c r="D1878" t="s">
        <v>2025</v>
      </c>
      <c r="E1878" s="8">
        <v>3397</v>
      </c>
      <c r="F1878">
        <v>10</v>
      </c>
      <c r="G1878">
        <v>0</v>
      </c>
      <c r="H1878" s="8">
        <v>33970</v>
      </c>
      <c r="I1878">
        <v>2147.12</v>
      </c>
      <c r="J1878">
        <v>12498.84</v>
      </c>
      <c r="K1878" s="5">
        <f>IF(SalesData[[#This Row],[Total Revenue]]=0,0,SalesData[[#This Row],[Profit]]/SalesData[[#This Row],[Total Revenue]])</f>
        <v>0.36793759199293496</v>
      </c>
      <c r="L1878" s="5" t="str">
        <f>TEXT(SalesData[[#This Row],[Date]],"mmm")</f>
        <v>Jan</v>
      </c>
      <c r="M1878">
        <f>YEAR(SalesData[[#This Row],[Date]])</f>
        <v>2023</v>
      </c>
      <c r="N1878">
        <f>WEEKNUM(SalesData[[#This Row],[Date]])</f>
        <v>5</v>
      </c>
      <c r="O1878" t="s">
        <v>2041</v>
      </c>
      <c r="P1878" t="s">
        <v>2522</v>
      </c>
      <c r="Q1878" t="s">
        <v>2527</v>
      </c>
    </row>
    <row r="1879" spans="1:17" x14ac:dyDescent="0.35">
      <c r="A1879" t="s">
        <v>1468</v>
      </c>
      <c r="B1879" s="3">
        <v>45218</v>
      </c>
      <c r="C1879" t="s">
        <v>2019</v>
      </c>
      <c r="D1879" t="s">
        <v>2027</v>
      </c>
      <c r="E1879" s="8">
        <v>4750</v>
      </c>
      <c r="F1879">
        <v>8</v>
      </c>
      <c r="G1879">
        <v>10</v>
      </c>
      <c r="H1879" s="8">
        <v>34200</v>
      </c>
      <c r="I1879">
        <v>3156.74</v>
      </c>
      <c r="J1879">
        <v>8946.11</v>
      </c>
      <c r="K1879" s="5">
        <f>IF(SalesData[[#This Row],[Total Revenue]]=0,0,SalesData[[#This Row],[Profit]]/SalesData[[#This Row],[Total Revenue]])</f>
        <v>0.26158216374269005</v>
      </c>
      <c r="L1879" s="5" t="str">
        <f>TEXT(SalesData[[#This Row],[Date]],"mmm")</f>
        <v>Oct</v>
      </c>
      <c r="M1879">
        <f>YEAR(SalesData[[#This Row],[Date]])</f>
        <v>2023</v>
      </c>
      <c r="N1879">
        <f>WEEKNUM(SalesData[[#This Row],[Date]])</f>
        <v>42</v>
      </c>
      <c r="O1879" t="s">
        <v>2505</v>
      </c>
      <c r="P1879" t="s">
        <v>2522</v>
      </c>
      <c r="Q1879" t="s">
        <v>2527</v>
      </c>
    </row>
    <row r="1880" spans="1:17" x14ac:dyDescent="0.35">
      <c r="A1880" t="s">
        <v>510</v>
      </c>
      <c r="B1880" s="3">
        <v>45269</v>
      </c>
      <c r="C1880" t="s">
        <v>2018</v>
      </c>
      <c r="D1880" t="s">
        <v>2026</v>
      </c>
      <c r="E1880" s="8">
        <v>3425</v>
      </c>
      <c r="F1880">
        <v>10</v>
      </c>
      <c r="G1880">
        <v>0</v>
      </c>
      <c r="H1880" s="8">
        <v>34250</v>
      </c>
      <c r="I1880">
        <v>2166.6999999999998</v>
      </c>
      <c r="J1880">
        <v>12583</v>
      </c>
      <c r="K1880" s="5">
        <f>IF(SalesData[[#This Row],[Total Revenue]]=0,0,SalesData[[#This Row],[Profit]]/SalesData[[#This Row],[Total Revenue]])</f>
        <v>0.36738686131386861</v>
      </c>
      <c r="L1880" s="5" t="str">
        <f>TEXT(SalesData[[#This Row],[Date]],"mmm")</f>
        <v>Dec</v>
      </c>
      <c r="M1880">
        <f>YEAR(SalesData[[#This Row],[Date]])</f>
        <v>2023</v>
      </c>
      <c r="N1880">
        <f>WEEKNUM(SalesData[[#This Row],[Date]])</f>
        <v>49</v>
      </c>
      <c r="O1880" t="s">
        <v>2336</v>
      </c>
      <c r="P1880" t="s">
        <v>2522</v>
      </c>
      <c r="Q1880" t="s">
        <v>2526</v>
      </c>
    </row>
    <row r="1881" spans="1:17" x14ac:dyDescent="0.35">
      <c r="A1881" t="s">
        <v>1776</v>
      </c>
      <c r="B1881" s="3">
        <v>44960</v>
      </c>
      <c r="C1881" t="s">
        <v>2021</v>
      </c>
      <c r="D1881" t="s">
        <v>2028</v>
      </c>
      <c r="E1881" s="8">
        <v>4509</v>
      </c>
      <c r="F1881">
        <v>8</v>
      </c>
      <c r="G1881">
        <v>5</v>
      </c>
      <c r="H1881" s="8">
        <v>34268.400000000001</v>
      </c>
      <c r="I1881">
        <v>3160.63</v>
      </c>
      <c r="J1881">
        <v>8983.3700000000008</v>
      </c>
      <c r="K1881" s="5">
        <f>IF(SalesData[[#This Row],[Total Revenue]]=0,0,SalesData[[#This Row],[Profit]]/SalesData[[#This Row],[Total Revenue]])</f>
        <v>0.26214734274141777</v>
      </c>
      <c r="L1881" s="5" t="str">
        <f>TEXT(SalesData[[#This Row],[Date]],"mmm")</f>
        <v>Feb</v>
      </c>
      <c r="M1881">
        <f>YEAR(SalesData[[#This Row],[Date]])</f>
        <v>2023</v>
      </c>
      <c r="N1881">
        <f>WEEKNUM(SalesData[[#This Row],[Date]])</f>
        <v>5</v>
      </c>
      <c r="O1881" t="s">
        <v>2129</v>
      </c>
      <c r="P1881" t="s">
        <v>2522</v>
      </c>
      <c r="Q1881" t="s">
        <v>2526</v>
      </c>
    </row>
    <row r="1882" spans="1:17" x14ac:dyDescent="0.35">
      <c r="A1882" t="s">
        <v>1449</v>
      </c>
      <c r="B1882" s="3">
        <v>45151</v>
      </c>
      <c r="C1882" t="s">
        <v>2017</v>
      </c>
      <c r="D1882" t="s">
        <v>2026</v>
      </c>
      <c r="E1882" s="8">
        <v>4529</v>
      </c>
      <c r="F1882">
        <v>8</v>
      </c>
      <c r="G1882">
        <v>5</v>
      </c>
      <c r="H1882" s="8">
        <v>34420.400000000001</v>
      </c>
      <c r="I1882">
        <v>2987.43</v>
      </c>
      <c r="J1882">
        <v>10520.93</v>
      </c>
      <c r="K1882" s="5">
        <f>IF(SalesData[[#This Row],[Total Revenue]]=0,0,SalesData[[#This Row],[Profit]]/SalesData[[#This Row],[Total Revenue]])</f>
        <v>0.30565972504677458</v>
      </c>
      <c r="L1882" s="5" t="str">
        <f>TEXT(SalesData[[#This Row],[Date]],"mmm")</f>
        <v>Aug</v>
      </c>
      <c r="M1882">
        <f>YEAR(SalesData[[#This Row],[Date]])</f>
        <v>2023</v>
      </c>
      <c r="N1882">
        <f>WEEKNUM(SalesData[[#This Row],[Date]])</f>
        <v>33</v>
      </c>
      <c r="O1882" t="s">
        <v>2213</v>
      </c>
      <c r="P1882" t="s">
        <v>2523</v>
      </c>
      <c r="Q1882" t="s">
        <v>2525</v>
      </c>
    </row>
    <row r="1883" spans="1:17" x14ac:dyDescent="0.35">
      <c r="A1883" t="s">
        <v>1318</v>
      </c>
      <c r="B1883" s="3">
        <v>45193</v>
      </c>
      <c r="C1883" t="s">
        <v>2016</v>
      </c>
      <c r="D1883" t="s">
        <v>2025</v>
      </c>
      <c r="E1883" s="8">
        <v>4923</v>
      </c>
      <c r="F1883">
        <v>7</v>
      </c>
      <c r="G1883">
        <v>0</v>
      </c>
      <c r="H1883" s="8">
        <v>34461</v>
      </c>
      <c r="I1883">
        <v>3233.56</v>
      </c>
      <c r="J1883">
        <v>11826.09</v>
      </c>
      <c r="K1883" s="5">
        <f>IF(SalesData[[#This Row],[Total Revenue]]=0,0,SalesData[[#This Row],[Profit]]/SalesData[[#This Row],[Total Revenue]])</f>
        <v>0.34317315225907546</v>
      </c>
      <c r="L1883" s="5" t="str">
        <f>TEXT(SalesData[[#This Row],[Date]],"mmm")</f>
        <v>Sep</v>
      </c>
      <c r="M1883">
        <f>YEAR(SalesData[[#This Row],[Date]])</f>
        <v>2023</v>
      </c>
      <c r="N1883">
        <f>WEEKNUM(SalesData[[#This Row],[Date]])</f>
        <v>39</v>
      </c>
      <c r="O1883" t="s">
        <v>2343</v>
      </c>
      <c r="P1883" t="s">
        <v>2522</v>
      </c>
      <c r="Q1883" t="s">
        <v>2525</v>
      </c>
    </row>
    <row r="1884" spans="1:17" x14ac:dyDescent="0.35">
      <c r="A1884" t="s">
        <v>1208</v>
      </c>
      <c r="B1884" s="3">
        <v>44965</v>
      </c>
      <c r="C1884" t="s">
        <v>2020</v>
      </c>
      <c r="D1884" t="s">
        <v>2028</v>
      </c>
      <c r="E1884" s="8">
        <v>4057</v>
      </c>
      <c r="F1884">
        <v>10</v>
      </c>
      <c r="G1884">
        <v>15</v>
      </c>
      <c r="H1884" s="8">
        <v>34484.5</v>
      </c>
      <c r="I1884">
        <v>2540.12</v>
      </c>
      <c r="J1884">
        <v>9083.26</v>
      </c>
      <c r="K1884" s="5">
        <f>IF(SalesData[[#This Row],[Total Revenue]]=0,0,SalesData[[#This Row],[Profit]]/SalesData[[#This Row],[Total Revenue]])</f>
        <v>0.26340123823746903</v>
      </c>
      <c r="L1884" s="5" t="str">
        <f>TEXT(SalesData[[#This Row],[Date]],"mmm")</f>
        <v>Feb</v>
      </c>
      <c r="M1884">
        <f>YEAR(SalesData[[#This Row],[Date]])</f>
        <v>2023</v>
      </c>
      <c r="N1884">
        <f>WEEKNUM(SalesData[[#This Row],[Date]])</f>
        <v>6</v>
      </c>
      <c r="O1884" t="s">
        <v>2313</v>
      </c>
      <c r="P1884" t="s">
        <v>2522</v>
      </c>
      <c r="Q1884" t="s">
        <v>2527</v>
      </c>
    </row>
    <row r="1885" spans="1:17" x14ac:dyDescent="0.35">
      <c r="A1885" t="s">
        <v>347</v>
      </c>
      <c r="B1885" s="3">
        <v>45156</v>
      </c>
      <c r="C1885" t="s">
        <v>2017</v>
      </c>
      <c r="D1885" t="s">
        <v>2026</v>
      </c>
      <c r="E1885" s="8">
        <v>3631</v>
      </c>
      <c r="F1885">
        <v>10</v>
      </c>
      <c r="G1885">
        <v>5</v>
      </c>
      <c r="H1885" s="8">
        <v>34494.5</v>
      </c>
      <c r="I1885">
        <v>2030.81</v>
      </c>
      <c r="J1885">
        <v>14186.35</v>
      </c>
      <c r="K1885" s="5">
        <f>IF(SalesData[[#This Row],[Total Revenue]]=0,0,SalesData[[#This Row],[Profit]]/SalesData[[#This Row],[Total Revenue]])</f>
        <v>0.41126411456898926</v>
      </c>
      <c r="L1885" s="5" t="str">
        <f>TEXT(SalesData[[#This Row],[Date]],"mmm")</f>
        <v>Aug</v>
      </c>
      <c r="M1885">
        <f>YEAR(SalesData[[#This Row],[Date]])</f>
        <v>2023</v>
      </c>
      <c r="N1885">
        <f>WEEKNUM(SalesData[[#This Row],[Date]])</f>
        <v>33</v>
      </c>
      <c r="O1885" t="s">
        <v>2273</v>
      </c>
      <c r="P1885" t="s">
        <v>2522</v>
      </c>
      <c r="Q1885" t="s">
        <v>2524</v>
      </c>
    </row>
    <row r="1886" spans="1:17" x14ac:dyDescent="0.35">
      <c r="A1886" t="s">
        <v>1356</v>
      </c>
      <c r="B1886" s="3">
        <v>44991</v>
      </c>
      <c r="C1886" t="s">
        <v>2017</v>
      </c>
      <c r="D1886" t="s">
        <v>2026</v>
      </c>
      <c r="E1886" s="8">
        <v>4261</v>
      </c>
      <c r="F1886">
        <v>9</v>
      </c>
      <c r="G1886">
        <v>10</v>
      </c>
      <c r="H1886" s="8">
        <v>34514.1</v>
      </c>
      <c r="I1886">
        <v>2389.34</v>
      </c>
      <c r="J1886">
        <v>13010.07</v>
      </c>
      <c r="K1886" s="5">
        <f>IF(SalesData[[#This Row],[Total Revenue]]=0,0,SalesData[[#This Row],[Profit]]/SalesData[[#This Row],[Total Revenue]])</f>
        <v>0.37694942067155163</v>
      </c>
      <c r="L1886" s="5" t="str">
        <f>TEXT(SalesData[[#This Row],[Date]],"mmm")</f>
        <v>Mar</v>
      </c>
      <c r="M1886">
        <f>YEAR(SalesData[[#This Row],[Date]])</f>
        <v>2023</v>
      </c>
      <c r="N1886">
        <f>WEEKNUM(SalesData[[#This Row],[Date]])</f>
        <v>10</v>
      </c>
      <c r="O1886" t="s">
        <v>2343</v>
      </c>
      <c r="P1886" t="s">
        <v>2523</v>
      </c>
      <c r="Q1886" t="s">
        <v>2525</v>
      </c>
    </row>
    <row r="1887" spans="1:17" x14ac:dyDescent="0.35">
      <c r="A1887" t="s">
        <v>1422</v>
      </c>
      <c r="B1887" s="3">
        <v>45067</v>
      </c>
      <c r="C1887" t="s">
        <v>2022</v>
      </c>
      <c r="D1887" t="s">
        <v>2024</v>
      </c>
      <c r="E1887" s="8">
        <v>4316</v>
      </c>
      <c r="F1887">
        <v>8</v>
      </c>
      <c r="G1887">
        <v>0</v>
      </c>
      <c r="H1887" s="8">
        <v>34528</v>
      </c>
      <c r="I1887">
        <v>2866.88</v>
      </c>
      <c r="J1887">
        <v>11592.97</v>
      </c>
      <c r="K1887" s="5">
        <f>IF(SalesData[[#This Row],[Total Revenue]]=0,0,SalesData[[#This Row],[Profit]]/SalesData[[#This Row],[Total Revenue]])</f>
        <v>0.33575561862835956</v>
      </c>
      <c r="L1887" s="5" t="str">
        <f>TEXT(SalesData[[#This Row],[Date]],"mmm")</f>
        <v>May</v>
      </c>
      <c r="M1887">
        <f>YEAR(SalesData[[#This Row],[Date]])</f>
        <v>2023</v>
      </c>
      <c r="N1887">
        <f>WEEKNUM(SalesData[[#This Row],[Date]])</f>
        <v>21</v>
      </c>
      <c r="O1887" t="s">
        <v>2376</v>
      </c>
      <c r="P1887" t="s">
        <v>2523</v>
      </c>
      <c r="Q1887" t="s">
        <v>2526</v>
      </c>
    </row>
    <row r="1888" spans="1:17" x14ac:dyDescent="0.35">
      <c r="A1888" t="s">
        <v>769</v>
      </c>
      <c r="B1888" s="3">
        <v>45065</v>
      </c>
      <c r="C1888" t="s">
        <v>2016</v>
      </c>
      <c r="D1888" t="s">
        <v>2025</v>
      </c>
      <c r="E1888" s="8">
        <v>4269</v>
      </c>
      <c r="F1888">
        <v>9</v>
      </c>
      <c r="G1888">
        <v>10</v>
      </c>
      <c r="H1888" s="8">
        <v>34578.9</v>
      </c>
      <c r="I1888">
        <v>3041.59</v>
      </c>
      <c r="J1888">
        <v>7204.59</v>
      </c>
      <c r="K1888" s="5">
        <f>IF(SalesData[[#This Row],[Total Revenue]]=0,0,SalesData[[#This Row],[Profit]]/SalesData[[#This Row],[Total Revenue]])</f>
        <v>0.20835220322219619</v>
      </c>
      <c r="L1888" s="5" t="str">
        <f>TEXT(SalesData[[#This Row],[Date]],"mmm")</f>
        <v>May</v>
      </c>
      <c r="M1888">
        <f>YEAR(SalesData[[#This Row],[Date]])</f>
        <v>2023</v>
      </c>
      <c r="N1888">
        <f>WEEKNUM(SalesData[[#This Row],[Date]])</f>
        <v>20</v>
      </c>
      <c r="O1888" t="s">
        <v>2419</v>
      </c>
      <c r="P1888" t="s">
        <v>2523</v>
      </c>
      <c r="Q1888" t="s">
        <v>2525</v>
      </c>
    </row>
    <row r="1889" spans="1:17" x14ac:dyDescent="0.35">
      <c r="A1889" t="s">
        <v>1447</v>
      </c>
      <c r="B1889" s="3">
        <v>45058</v>
      </c>
      <c r="C1889" t="s">
        <v>2022</v>
      </c>
      <c r="D1889" t="s">
        <v>2024</v>
      </c>
      <c r="E1889" s="8">
        <v>4525</v>
      </c>
      <c r="F1889">
        <v>9</v>
      </c>
      <c r="G1889">
        <v>15</v>
      </c>
      <c r="H1889" s="8">
        <v>34616.25</v>
      </c>
      <c r="I1889">
        <v>3345.79</v>
      </c>
      <c r="J1889">
        <v>4504.17</v>
      </c>
      <c r="K1889" s="5">
        <f>IF(SalesData[[#This Row],[Total Revenue]]=0,0,SalesData[[#This Row],[Profit]]/SalesData[[#This Row],[Total Revenue]])</f>
        <v>0.13011721373632326</v>
      </c>
      <c r="L1889" s="5" t="str">
        <f>TEXT(SalesData[[#This Row],[Date]],"mmm")</f>
        <v>May</v>
      </c>
      <c r="M1889">
        <f>YEAR(SalesData[[#This Row],[Date]])</f>
        <v>2023</v>
      </c>
      <c r="N1889">
        <f>WEEKNUM(SalesData[[#This Row],[Date]])</f>
        <v>19</v>
      </c>
      <c r="O1889" t="s">
        <v>2047</v>
      </c>
      <c r="P1889" t="s">
        <v>2523</v>
      </c>
      <c r="Q1889" t="s">
        <v>2527</v>
      </c>
    </row>
    <row r="1890" spans="1:17" x14ac:dyDescent="0.35">
      <c r="A1890" t="s">
        <v>1144</v>
      </c>
      <c r="B1890" s="3">
        <v>45274</v>
      </c>
      <c r="C1890" t="s">
        <v>2014</v>
      </c>
      <c r="D1890" t="s">
        <v>2024</v>
      </c>
      <c r="E1890" s="8">
        <v>4328</v>
      </c>
      <c r="F1890">
        <v>8</v>
      </c>
      <c r="G1890">
        <v>0</v>
      </c>
      <c r="H1890" s="8">
        <v>34624</v>
      </c>
      <c r="I1890">
        <v>2383.0700000000002</v>
      </c>
      <c r="J1890">
        <v>15559.42</v>
      </c>
      <c r="K1890" s="5">
        <f>IF(SalesData[[#This Row],[Total Revenue]]=0,0,SalesData[[#This Row],[Profit]]/SalesData[[#This Row],[Total Revenue]])</f>
        <v>0.44938250924214418</v>
      </c>
      <c r="L1890" s="5" t="str">
        <f>TEXT(SalesData[[#This Row],[Date]],"mmm")</f>
        <v>Dec</v>
      </c>
      <c r="M1890">
        <f>YEAR(SalesData[[#This Row],[Date]])</f>
        <v>2023</v>
      </c>
      <c r="N1890">
        <f>WEEKNUM(SalesData[[#This Row],[Date]])</f>
        <v>50</v>
      </c>
      <c r="O1890" t="s">
        <v>2064</v>
      </c>
      <c r="P1890" t="s">
        <v>2522</v>
      </c>
      <c r="Q1890" t="s">
        <v>2524</v>
      </c>
    </row>
    <row r="1891" spans="1:17" x14ac:dyDescent="0.35">
      <c r="A1891" t="s">
        <v>1625</v>
      </c>
      <c r="B1891" s="3">
        <v>45133</v>
      </c>
      <c r="C1891" t="s">
        <v>2020</v>
      </c>
      <c r="D1891" t="s">
        <v>2028</v>
      </c>
      <c r="E1891" s="8">
        <v>3503</v>
      </c>
      <c r="F1891">
        <v>10</v>
      </c>
      <c r="G1891">
        <v>0</v>
      </c>
      <c r="H1891" s="8">
        <v>35030</v>
      </c>
      <c r="I1891">
        <v>1812.34</v>
      </c>
      <c r="J1891">
        <v>16906.580000000002</v>
      </c>
      <c r="K1891" s="5">
        <f>IF(SalesData[[#This Row],[Total Revenue]]=0,0,SalesData[[#This Row],[Profit]]/SalesData[[#This Row],[Total Revenue]])</f>
        <v>0.48263145874964319</v>
      </c>
      <c r="L1891" s="5" t="str">
        <f>TEXT(SalesData[[#This Row],[Date]],"mmm")</f>
        <v>Jul</v>
      </c>
      <c r="M1891">
        <f>YEAR(SalesData[[#This Row],[Date]])</f>
        <v>2023</v>
      </c>
      <c r="N1891">
        <f>WEEKNUM(SalesData[[#This Row],[Date]])</f>
        <v>30</v>
      </c>
      <c r="O1891" t="s">
        <v>2376</v>
      </c>
      <c r="P1891" t="s">
        <v>2523</v>
      </c>
      <c r="Q1891" t="s">
        <v>2526</v>
      </c>
    </row>
    <row r="1892" spans="1:17" x14ac:dyDescent="0.35">
      <c r="A1892" t="s">
        <v>1674</v>
      </c>
      <c r="B1892" s="3">
        <v>44933</v>
      </c>
      <c r="C1892" t="s">
        <v>2013</v>
      </c>
      <c r="D1892" t="s">
        <v>2023</v>
      </c>
      <c r="E1892" s="8">
        <v>4124</v>
      </c>
      <c r="F1892">
        <v>10</v>
      </c>
      <c r="G1892">
        <v>15</v>
      </c>
      <c r="H1892" s="8">
        <v>35054</v>
      </c>
      <c r="I1892">
        <v>2754.44</v>
      </c>
      <c r="J1892">
        <v>7509.58</v>
      </c>
      <c r="K1892" s="5">
        <f>IF(SalesData[[#This Row],[Total Revenue]]=0,0,SalesData[[#This Row],[Profit]]/SalesData[[#This Row],[Total Revenue]])</f>
        <v>0.21422890397672162</v>
      </c>
      <c r="L1892" s="5" t="str">
        <f>TEXT(SalesData[[#This Row],[Date]],"mmm")</f>
        <v>Jan</v>
      </c>
      <c r="M1892">
        <f>YEAR(SalesData[[#This Row],[Date]])</f>
        <v>2023</v>
      </c>
      <c r="N1892">
        <f>WEEKNUM(SalesData[[#This Row],[Date]])</f>
        <v>1</v>
      </c>
      <c r="O1892" t="s">
        <v>2493</v>
      </c>
      <c r="P1892" t="s">
        <v>2522</v>
      </c>
      <c r="Q1892" t="s">
        <v>2527</v>
      </c>
    </row>
    <row r="1893" spans="1:17" x14ac:dyDescent="0.35">
      <c r="A1893" t="s">
        <v>933</v>
      </c>
      <c r="B1893" s="3">
        <v>45138</v>
      </c>
      <c r="C1893" t="s">
        <v>2020</v>
      </c>
      <c r="D1893" t="s">
        <v>2028</v>
      </c>
      <c r="E1893" s="8">
        <v>4588</v>
      </c>
      <c r="F1893">
        <v>9</v>
      </c>
      <c r="G1893">
        <v>15</v>
      </c>
      <c r="H1893" s="8">
        <v>35098.199999999997</v>
      </c>
      <c r="I1893">
        <v>2939.46</v>
      </c>
      <c r="J1893">
        <v>8643.0400000000009</v>
      </c>
      <c r="K1893" s="5">
        <f>IF(SalesData[[#This Row],[Total Revenue]]=0,0,SalesData[[#This Row],[Profit]]/SalesData[[#This Row],[Total Revenue]])</f>
        <v>0.24625308420374839</v>
      </c>
      <c r="L1893" s="5" t="str">
        <f>TEXT(SalesData[[#This Row],[Date]],"mmm")</f>
        <v>Jul</v>
      </c>
      <c r="M1893">
        <f>YEAR(SalesData[[#This Row],[Date]])</f>
        <v>2023</v>
      </c>
      <c r="N1893">
        <f>WEEKNUM(SalesData[[#This Row],[Date]])</f>
        <v>31</v>
      </c>
      <c r="O1893" t="s">
        <v>2175</v>
      </c>
      <c r="P1893" t="s">
        <v>2522</v>
      </c>
      <c r="Q1893" t="s">
        <v>2527</v>
      </c>
    </row>
    <row r="1894" spans="1:17" x14ac:dyDescent="0.35">
      <c r="A1894" t="s">
        <v>1036</v>
      </c>
      <c r="B1894" s="3">
        <v>45038</v>
      </c>
      <c r="C1894" t="s">
        <v>2020</v>
      </c>
      <c r="D1894" t="s">
        <v>2028</v>
      </c>
      <c r="E1894" s="8">
        <v>4880</v>
      </c>
      <c r="F1894">
        <v>8</v>
      </c>
      <c r="G1894">
        <v>10</v>
      </c>
      <c r="H1894" s="8">
        <v>35136</v>
      </c>
      <c r="I1894">
        <v>2942.3</v>
      </c>
      <c r="J1894">
        <v>11597.59</v>
      </c>
      <c r="K1894" s="5">
        <f>IF(SalesData[[#This Row],[Total Revenue]]=0,0,SalesData[[#This Row],[Profit]]/SalesData[[#This Row],[Total Revenue]])</f>
        <v>0.33007712887067397</v>
      </c>
      <c r="L1894" s="5" t="str">
        <f>TEXT(SalesData[[#This Row],[Date]],"mmm")</f>
        <v>Apr</v>
      </c>
      <c r="M1894">
        <f>YEAR(SalesData[[#This Row],[Date]])</f>
        <v>2023</v>
      </c>
      <c r="N1894">
        <f>WEEKNUM(SalesData[[#This Row],[Date]])</f>
        <v>16</v>
      </c>
      <c r="O1894" t="s">
        <v>2184</v>
      </c>
      <c r="P1894" t="s">
        <v>2522</v>
      </c>
      <c r="Q1894" t="s">
        <v>2527</v>
      </c>
    </row>
    <row r="1895" spans="1:17" x14ac:dyDescent="0.35">
      <c r="A1895" t="s">
        <v>1413</v>
      </c>
      <c r="B1895" s="3">
        <v>45118</v>
      </c>
      <c r="C1895" t="s">
        <v>2019</v>
      </c>
      <c r="D1895" t="s">
        <v>2027</v>
      </c>
      <c r="E1895" s="8">
        <v>4883</v>
      </c>
      <c r="F1895">
        <v>8</v>
      </c>
      <c r="G1895">
        <v>10</v>
      </c>
      <c r="H1895" s="8">
        <v>35157.599999999999</v>
      </c>
      <c r="I1895">
        <v>3068.71</v>
      </c>
      <c r="J1895">
        <v>10607.9</v>
      </c>
      <c r="K1895" s="5">
        <f>IF(SalesData[[#This Row],[Total Revenue]]=0,0,SalesData[[#This Row],[Profit]]/SalesData[[#This Row],[Total Revenue]])</f>
        <v>0.3017242360115594</v>
      </c>
      <c r="L1895" s="5" t="str">
        <f>TEXT(SalesData[[#This Row],[Date]],"mmm")</f>
        <v>Jul</v>
      </c>
      <c r="M1895">
        <f>YEAR(SalesData[[#This Row],[Date]])</f>
        <v>2023</v>
      </c>
      <c r="N1895">
        <f>WEEKNUM(SalesData[[#This Row],[Date]])</f>
        <v>28</v>
      </c>
      <c r="O1895" t="s">
        <v>2132</v>
      </c>
      <c r="P1895" t="s">
        <v>2522</v>
      </c>
      <c r="Q1895" t="s">
        <v>2527</v>
      </c>
    </row>
    <row r="1896" spans="1:17" x14ac:dyDescent="0.35">
      <c r="A1896" t="s">
        <v>994</v>
      </c>
      <c r="B1896" s="3">
        <v>45033</v>
      </c>
      <c r="C1896" t="s">
        <v>2019</v>
      </c>
      <c r="D1896" t="s">
        <v>2027</v>
      </c>
      <c r="E1896" s="8">
        <v>4897</v>
      </c>
      <c r="F1896">
        <v>8</v>
      </c>
      <c r="G1896">
        <v>10</v>
      </c>
      <c r="H1896" s="8">
        <v>35258.400000000001</v>
      </c>
      <c r="I1896">
        <v>2893.5</v>
      </c>
      <c r="J1896">
        <v>12110.39</v>
      </c>
      <c r="K1896" s="5">
        <f>IF(SalesData[[#This Row],[Total Revenue]]=0,0,SalesData[[#This Row],[Profit]]/SalesData[[#This Row],[Total Revenue]])</f>
        <v>0.34347531368411494</v>
      </c>
      <c r="L1896" s="5" t="str">
        <f>TEXT(SalesData[[#This Row],[Date]],"mmm")</f>
        <v>Apr</v>
      </c>
      <c r="M1896">
        <f>YEAR(SalesData[[#This Row],[Date]])</f>
        <v>2023</v>
      </c>
      <c r="N1896">
        <f>WEEKNUM(SalesData[[#This Row],[Date]])</f>
        <v>16</v>
      </c>
      <c r="O1896" t="s">
        <v>2380</v>
      </c>
      <c r="P1896" t="s">
        <v>2523</v>
      </c>
      <c r="Q1896" t="s">
        <v>2524</v>
      </c>
    </row>
    <row r="1897" spans="1:17" x14ac:dyDescent="0.35">
      <c r="A1897" t="s">
        <v>1710</v>
      </c>
      <c r="B1897" s="3">
        <v>45121</v>
      </c>
      <c r="C1897" t="s">
        <v>2014</v>
      </c>
      <c r="D1897" t="s">
        <v>2024</v>
      </c>
      <c r="E1897" s="8">
        <v>4373</v>
      </c>
      <c r="F1897">
        <v>9</v>
      </c>
      <c r="G1897">
        <v>10</v>
      </c>
      <c r="H1897" s="8">
        <v>35421.300000000003</v>
      </c>
      <c r="I1897">
        <v>3276.65</v>
      </c>
      <c r="J1897">
        <v>5931.48</v>
      </c>
      <c r="K1897" s="5">
        <f>IF(SalesData[[#This Row],[Total Revenue]]=0,0,SalesData[[#This Row],[Profit]]/SalesData[[#This Row],[Total Revenue]])</f>
        <v>0.16745517527589329</v>
      </c>
      <c r="L1897" s="5" t="str">
        <f>TEXT(SalesData[[#This Row],[Date]],"mmm")</f>
        <v>Jul</v>
      </c>
      <c r="M1897">
        <f>YEAR(SalesData[[#This Row],[Date]])</f>
        <v>2023</v>
      </c>
      <c r="N1897">
        <f>WEEKNUM(SalesData[[#This Row],[Date]])</f>
        <v>28</v>
      </c>
      <c r="O1897" t="s">
        <v>2083</v>
      </c>
      <c r="P1897" t="s">
        <v>2522</v>
      </c>
      <c r="Q1897" t="s">
        <v>2525</v>
      </c>
    </row>
    <row r="1898" spans="1:17" x14ac:dyDescent="0.35">
      <c r="A1898" t="s">
        <v>757</v>
      </c>
      <c r="B1898" s="3">
        <v>45033</v>
      </c>
      <c r="C1898" t="s">
        <v>2020</v>
      </c>
      <c r="D1898" t="s">
        <v>2028</v>
      </c>
      <c r="E1898" s="8">
        <v>4438</v>
      </c>
      <c r="F1898">
        <v>8</v>
      </c>
      <c r="G1898">
        <v>0</v>
      </c>
      <c r="H1898" s="8">
        <v>35504</v>
      </c>
      <c r="I1898">
        <v>2724.24</v>
      </c>
      <c r="J1898">
        <v>13710.11</v>
      </c>
      <c r="K1898" s="5">
        <f>IF(SalesData[[#This Row],[Total Revenue]]=0,0,SalesData[[#This Row],[Profit]]/SalesData[[#This Row],[Total Revenue]])</f>
        <v>0.38615677106804869</v>
      </c>
      <c r="L1898" s="5" t="str">
        <f>TEXT(SalesData[[#This Row],[Date]],"mmm")</f>
        <v>Apr</v>
      </c>
      <c r="M1898">
        <f>YEAR(SalesData[[#This Row],[Date]])</f>
        <v>2023</v>
      </c>
      <c r="N1898">
        <f>WEEKNUM(SalesData[[#This Row],[Date]])</f>
        <v>16</v>
      </c>
      <c r="O1898" t="s">
        <v>2331</v>
      </c>
      <c r="P1898" t="s">
        <v>2523</v>
      </c>
      <c r="Q1898" t="s">
        <v>2524</v>
      </c>
    </row>
    <row r="1899" spans="1:17" x14ac:dyDescent="0.35">
      <c r="A1899" t="s">
        <v>1196</v>
      </c>
      <c r="B1899" s="3">
        <v>45167</v>
      </c>
      <c r="C1899" t="s">
        <v>2017</v>
      </c>
      <c r="D1899" t="s">
        <v>2026</v>
      </c>
      <c r="E1899" s="8">
        <v>4934</v>
      </c>
      <c r="F1899">
        <v>8</v>
      </c>
      <c r="G1899">
        <v>10</v>
      </c>
      <c r="H1899" s="8">
        <v>35524.800000000003</v>
      </c>
      <c r="I1899">
        <v>2956.25</v>
      </c>
      <c r="J1899">
        <v>11874.79</v>
      </c>
      <c r="K1899" s="5">
        <f>IF(SalesData[[#This Row],[Total Revenue]]=0,0,SalesData[[#This Row],[Profit]]/SalesData[[#This Row],[Total Revenue]])</f>
        <v>0.3342676102328514</v>
      </c>
      <c r="L1899" s="5" t="str">
        <f>TEXT(SalesData[[#This Row],[Date]],"mmm")</f>
        <v>Aug</v>
      </c>
      <c r="M1899">
        <f>YEAR(SalesData[[#This Row],[Date]])</f>
        <v>2023</v>
      </c>
      <c r="N1899">
        <f>WEEKNUM(SalesData[[#This Row],[Date]])</f>
        <v>35</v>
      </c>
      <c r="O1899" t="s">
        <v>2267</v>
      </c>
      <c r="P1899" t="s">
        <v>2522</v>
      </c>
      <c r="Q1899" t="s">
        <v>2527</v>
      </c>
    </row>
    <row r="1900" spans="1:17" x14ac:dyDescent="0.35">
      <c r="A1900" t="s">
        <v>417</v>
      </c>
      <c r="B1900" s="3">
        <v>45082</v>
      </c>
      <c r="C1900" t="s">
        <v>2016</v>
      </c>
      <c r="D1900" t="s">
        <v>2025</v>
      </c>
      <c r="E1900" s="8">
        <v>4677</v>
      </c>
      <c r="F1900">
        <v>8</v>
      </c>
      <c r="G1900">
        <v>5</v>
      </c>
      <c r="H1900" s="8">
        <v>35545.199999999997</v>
      </c>
      <c r="I1900">
        <v>2778.84</v>
      </c>
      <c r="J1900">
        <v>13314.5</v>
      </c>
      <c r="K1900" s="5">
        <f>IF(SalesData[[#This Row],[Total Revenue]]=0,0,SalesData[[#This Row],[Profit]]/SalesData[[#This Row],[Total Revenue]])</f>
        <v>0.37457940875279927</v>
      </c>
      <c r="L1900" s="5" t="str">
        <f>TEXT(SalesData[[#This Row],[Date]],"mmm")</f>
        <v>Jun</v>
      </c>
      <c r="M1900">
        <f>YEAR(SalesData[[#This Row],[Date]])</f>
        <v>2023</v>
      </c>
      <c r="N1900">
        <f>WEEKNUM(SalesData[[#This Row],[Date]])</f>
        <v>23</v>
      </c>
      <c r="O1900" t="s">
        <v>2304</v>
      </c>
      <c r="P1900" t="s">
        <v>2522</v>
      </c>
      <c r="Q1900" t="s">
        <v>2525</v>
      </c>
    </row>
    <row r="1901" spans="1:17" x14ac:dyDescent="0.35">
      <c r="A1901" t="s">
        <v>897</v>
      </c>
      <c r="B1901" s="3">
        <v>45128</v>
      </c>
      <c r="C1901" t="s">
        <v>2013</v>
      </c>
      <c r="D1901" t="s">
        <v>2023</v>
      </c>
      <c r="E1901" s="8">
        <v>4651</v>
      </c>
      <c r="F1901">
        <v>9</v>
      </c>
      <c r="G1901">
        <v>15</v>
      </c>
      <c r="H1901" s="8">
        <v>35580.15</v>
      </c>
      <c r="I1901">
        <v>2935.74</v>
      </c>
      <c r="J1901">
        <v>9158.5300000000007</v>
      </c>
      <c r="K1901" s="5">
        <f>IF(SalesData[[#This Row],[Total Revenue]]=0,0,SalesData[[#This Row],[Profit]]/SalesData[[#This Row],[Total Revenue]])</f>
        <v>0.25740560396738071</v>
      </c>
      <c r="L1901" s="5" t="str">
        <f>TEXT(SalesData[[#This Row],[Date]],"mmm")</f>
        <v>Jul</v>
      </c>
      <c r="M1901">
        <f>YEAR(SalesData[[#This Row],[Date]])</f>
        <v>2023</v>
      </c>
      <c r="N1901">
        <f>WEEKNUM(SalesData[[#This Row],[Date]])</f>
        <v>29</v>
      </c>
      <c r="O1901" t="s">
        <v>2130</v>
      </c>
      <c r="P1901" t="s">
        <v>2523</v>
      </c>
      <c r="Q1901" t="s">
        <v>2524</v>
      </c>
    </row>
    <row r="1902" spans="1:17" x14ac:dyDescent="0.35">
      <c r="A1902" t="s">
        <v>1894</v>
      </c>
      <c r="B1902" s="3">
        <v>45147</v>
      </c>
      <c r="C1902" t="s">
        <v>2017</v>
      </c>
      <c r="D1902" t="s">
        <v>2026</v>
      </c>
      <c r="E1902" s="8">
        <v>3746</v>
      </c>
      <c r="F1902">
        <v>10</v>
      </c>
      <c r="G1902">
        <v>5</v>
      </c>
      <c r="H1902" s="8">
        <v>35587</v>
      </c>
      <c r="I1902">
        <v>2103.77</v>
      </c>
      <c r="J1902">
        <v>14549.35</v>
      </c>
      <c r="K1902" s="5">
        <f>IF(SalesData[[#This Row],[Total Revenue]]=0,0,SalesData[[#This Row],[Profit]]/SalesData[[#This Row],[Total Revenue]])</f>
        <v>0.40883890184617977</v>
      </c>
      <c r="L1902" s="5" t="str">
        <f>TEXT(SalesData[[#This Row],[Date]],"mmm")</f>
        <v>Aug</v>
      </c>
      <c r="M1902">
        <f>YEAR(SalesData[[#This Row],[Date]])</f>
        <v>2023</v>
      </c>
      <c r="N1902">
        <f>WEEKNUM(SalesData[[#This Row],[Date]])</f>
        <v>32</v>
      </c>
      <c r="O1902" t="s">
        <v>2295</v>
      </c>
      <c r="P1902" t="s">
        <v>2522</v>
      </c>
      <c r="Q1902" t="s">
        <v>2527</v>
      </c>
    </row>
    <row r="1903" spans="1:17" x14ac:dyDescent="0.35">
      <c r="A1903" t="s">
        <v>1516</v>
      </c>
      <c r="B1903" s="3">
        <v>44941</v>
      </c>
      <c r="C1903" t="s">
        <v>2018</v>
      </c>
      <c r="D1903" t="s">
        <v>2026</v>
      </c>
      <c r="E1903" s="8">
        <v>4168</v>
      </c>
      <c r="F1903">
        <v>9</v>
      </c>
      <c r="G1903">
        <v>5</v>
      </c>
      <c r="H1903" s="8">
        <v>35636.400000000001</v>
      </c>
      <c r="I1903">
        <v>2676.31</v>
      </c>
      <c r="J1903">
        <v>11549.63</v>
      </c>
      <c r="K1903" s="5">
        <f>IF(SalesData[[#This Row],[Total Revenue]]=0,0,SalesData[[#This Row],[Profit]]/SalesData[[#This Row],[Total Revenue]])</f>
        <v>0.32409642949343925</v>
      </c>
      <c r="L1903" s="5" t="str">
        <f>TEXT(SalesData[[#This Row],[Date]],"mmm")</f>
        <v>Jan</v>
      </c>
      <c r="M1903">
        <f>YEAR(SalesData[[#This Row],[Date]])</f>
        <v>2023</v>
      </c>
      <c r="N1903">
        <f>WEEKNUM(SalesData[[#This Row],[Date]])</f>
        <v>3</v>
      </c>
      <c r="O1903" t="s">
        <v>2462</v>
      </c>
      <c r="P1903" t="s">
        <v>2522</v>
      </c>
      <c r="Q1903" t="s">
        <v>2525</v>
      </c>
    </row>
    <row r="1904" spans="1:17" x14ac:dyDescent="0.35">
      <c r="A1904" t="s">
        <v>1377</v>
      </c>
      <c r="B1904" s="3">
        <v>44938</v>
      </c>
      <c r="C1904" t="s">
        <v>2014</v>
      </c>
      <c r="D1904" t="s">
        <v>2024</v>
      </c>
      <c r="E1904" s="8">
        <v>4175</v>
      </c>
      <c r="F1904">
        <v>9</v>
      </c>
      <c r="G1904">
        <v>5</v>
      </c>
      <c r="H1904" s="8">
        <v>35696.25</v>
      </c>
      <c r="I1904">
        <v>2293.6999999999998</v>
      </c>
      <c r="J1904">
        <v>15052.96</v>
      </c>
      <c r="K1904" s="5">
        <f>IF(SalesData[[#This Row],[Total Revenue]]=0,0,SalesData[[#This Row],[Profit]]/SalesData[[#This Row],[Total Revenue]])</f>
        <v>0.42169583639738067</v>
      </c>
      <c r="L1904" s="5" t="str">
        <f>TEXT(SalesData[[#This Row],[Date]],"mmm")</f>
        <v>Jan</v>
      </c>
      <c r="M1904">
        <f>YEAR(SalesData[[#This Row],[Date]])</f>
        <v>2023</v>
      </c>
      <c r="N1904">
        <f>WEEKNUM(SalesData[[#This Row],[Date]])</f>
        <v>2</v>
      </c>
      <c r="O1904" t="s">
        <v>2454</v>
      </c>
      <c r="P1904" t="s">
        <v>2522</v>
      </c>
      <c r="Q1904" t="s">
        <v>2524</v>
      </c>
    </row>
    <row r="1905" spans="1:17" x14ac:dyDescent="0.35">
      <c r="A1905" t="s">
        <v>783</v>
      </c>
      <c r="B1905" s="3">
        <v>44951</v>
      </c>
      <c r="C1905" t="s">
        <v>2020</v>
      </c>
      <c r="D1905" t="s">
        <v>2028</v>
      </c>
      <c r="E1905" s="8">
        <v>4669</v>
      </c>
      <c r="F1905">
        <v>9</v>
      </c>
      <c r="G1905">
        <v>15</v>
      </c>
      <c r="H1905" s="8">
        <v>35717.85</v>
      </c>
      <c r="I1905">
        <v>3405.87</v>
      </c>
      <c r="J1905">
        <v>5065.03</v>
      </c>
      <c r="K1905" s="5">
        <f>IF(SalesData[[#This Row],[Total Revenue]]=0,0,SalesData[[#This Row],[Profit]]/SalesData[[#This Row],[Total Revenue]])</f>
        <v>0.14180668769256827</v>
      </c>
      <c r="L1905" s="5" t="str">
        <f>TEXT(SalesData[[#This Row],[Date]],"mmm")</f>
        <v>Jan</v>
      </c>
      <c r="M1905">
        <f>YEAR(SalesData[[#This Row],[Date]])</f>
        <v>2023</v>
      </c>
      <c r="N1905">
        <f>WEEKNUM(SalesData[[#This Row],[Date]])</f>
        <v>4</v>
      </c>
      <c r="O1905" t="s">
        <v>2175</v>
      </c>
      <c r="P1905" t="s">
        <v>2522</v>
      </c>
      <c r="Q1905" t="s">
        <v>2525</v>
      </c>
    </row>
    <row r="1906" spans="1:17" x14ac:dyDescent="0.35">
      <c r="A1906" t="s">
        <v>644</v>
      </c>
      <c r="B1906" s="3">
        <v>45160</v>
      </c>
      <c r="C1906" t="s">
        <v>2013</v>
      </c>
      <c r="D1906" t="s">
        <v>2023</v>
      </c>
      <c r="E1906" s="8">
        <v>4410</v>
      </c>
      <c r="F1906">
        <v>9</v>
      </c>
      <c r="G1906">
        <v>10</v>
      </c>
      <c r="H1906" s="8">
        <v>35721</v>
      </c>
      <c r="I1906">
        <v>3327.17</v>
      </c>
      <c r="J1906">
        <v>5776.44</v>
      </c>
      <c r="K1906" s="5">
        <f>IF(SalesData[[#This Row],[Total Revenue]]=0,0,SalesData[[#This Row],[Profit]]/SalesData[[#This Row],[Total Revenue]])</f>
        <v>0.16170991853531536</v>
      </c>
      <c r="L1906" s="5" t="str">
        <f>TEXT(SalesData[[#This Row],[Date]],"mmm")</f>
        <v>Aug</v>
      </c>
      <c r="M1906">
        <f>YEAR(SalesData[[#This Row],[Date]])</f>
        <v>2023</v>
      </c>
      <c r="N1906">
        <f>WEEKNUM(SalesData[[#This Row],[Date]])</f>
        <v>34</v>
      </c>
      <c r="O1906" t="s">
        <v>2151</v>
      </c>
      <c r="P1906" t="s">
        <v>2523</v>
      </c>
      <c r="Q1906" t="s">
        <v>2524</v>
      </c>
    </row>
    <row r="1907" spans="1:17" x14ac:dyDescent="0.35">
      <c r="A1907" t="s">
        <v>1765</v>
      </c>
      <c r="B1907" s="3">
        <v>45271</v>
      </c>
      <c r="C1907" t="s">
        <v>2015</v>
      </c>
      <c r="D1907" t="s">
        <v>2025</v>
      </c>
      <c r="E1907" s="8">
        <v>4683</v>
      </c>
      <c r="F1907">
        <v>9</v>
      </c>
      <c r="G1907">
        <v>15</v>
      </c>
      <c r="H1907" s="8">
        <v>35824.949999999997</v>
      </c>
      <c r="I1907">
        <v>2793.12</v>
      </c>
      <c r="J1907">
        <v>10686.86</v>
      </c>
      <c r="K1907" s="5">
        <f>IF(SalesData[[#This Row],[Total Revenue]]=0,0,SalesData[[#This Row],[Profit]]/SalesData[[#This Row],[Total Revenue]])</f>
        <v>0.29830774362560175</v>
      </c>
      <c r="L1907" s="5" t="str">
        <f>TEXT(SalesData[[#This Row],[Date]],"mmm")</f>
        <v>Dec</v>
      </c>
      <c r="M1907">
        <f>YEAR(SalesData[[#This Row],[Date]])</f>
        <v>2023</v>
      </c>
      <c r="N1907">
        <f>WEEKNUM(SalesData[[#This Row],[Date]])</f>
        <v>50</v>
      </c>
      <c r="O1907" t="s">
        <v>2370</v>
      </c>
      <c r="P1907" t="s">
        <v>2523</v>
      </c>
      <c r="Q1907" t="s">
        <v>2527</v>
      </c>
    </row>
    <row r="1908" spans="1:17" x14ac:dyDescent="0.35">
      <c r="A1908" t="s">
        <v>896</v>
      </c>
      <c r="B1908" s="3">
        <v>45186</v>
      </c>
      <c r="C1908" t="s">
        <v>2018</v>
      </c>
      <c r="D1908" t="s">
        <v>2026</v>
      </c>
      <c r="E1908" s="8">
        <v>3586</v>
      </c>
      <c r="F1908">
        <v>10</v>
      </c>
      <c r="G1908">
        <v>0</v>
      </c>
      <c r="H1908" s="8">
        <v>35860</v>
      </c>
      <c r="I1908">
        <v>2264.29</v>
      </c>
      <c r="J1908">
        <v>13217.06</v>
      </c>
      <c r="K1908" s="5">
        <f>IF(SalesData[[#This Row],[Total Revenue]]=0,0,SalesData[[#This Row],[Profit]]/SalesData[[#This Row],[Total Revenue]])</f>
        <v>0.3685738984941439</v>
      </c>
      <c r="L1908" s="5" t="str">
        <f>TEXT(SalesData[[#This Row],[Date]],"mmm")</f>
        <v>Sep</v>
      </c>
      <c r="M1908">
        <f>YEAR(SalesData[[#This Row],[Date]])</f>
        <v>2023</v>
      </c>
      <c r="N1908">
        <f>WEEKNUM(SalesData[[#This Row],[Date]])</f>
        <v>38</v>
      </c>
      <c r="O1908" t="s">
        <v>2440</v>
      </c>
      <c r="P1908" t="s">
        <v>2523</v>
      </c>
      <c r="Q1908" t="s">
        <v>2525</v>
      </c>
    </row>
    <row r="1909" spans="1:17" x14ac:dyDescent="0.35">
      <c r="A1909" t="s">
        <v>1859</v>
      </c>
      <c r="B1909" s="3">
        <v>44983</v>
      </c>
      <c r="C1909" t="s">
        <v>2015</v>
      </c>
      <c r="D1909" t="s">
        <v>2025</v>
      </c>
      <c r="E1909" s="8">
        <v>4699</v>
      </c>
      <c r="F1909">
        <v>9</v>
      </c>
      <c r="G1909">
        <v>15</v>
      </c>
      <c r="H1909" s="8">
        <v>35947.35</v>
      </c>
      <c r="I1909">
        <v>2386.62</v>
      </c>
      <c r="J1909">
        <v>14467.8</v>
      </c>
      <c r="K1909" s="5">
        <f>IF(SalesData[[#This Row],[Total Revenue]]=0,0,SalesData[[#This Row],[Profit]]/SalesData[[#This Row],[Total Revenue]])</f>
        <v>0.40247194855809953</v>
      </c>
      <c r="L1909" s="5" t="str">
        <f>TEXT(SalesData[[#This Row],[Date]],"mmm")</f>
        <v>Feb</v>
      </c>
      <c r="M1909">
        <f>YEAR(SalesData[[#This Row],[Date]])</f>
        <v>2023</v>
      </c>
      <c r="N1909">
        <f>WEEKNUM(SalesData[[#This Row],[Date]])</f>
        <v>9</v>
      </c>
      <c r="O1909" t="s">
        <v>2507</v>
      </c>
      <c r="P1909" t="s">
        <v>2522</v>
      </c>
      <c r="Q1909" t="s">
        <v>2525</v>
      </c>
    </row>
    <row r="1910" spans="1:17" x14ac:dyDescent="0.35">
      <c r="A1910" t="s">
        <v>882</v>
      </c>
      <c r="B1910" s="3">
        <v>45213</v>
      </c>
      <c r="C1910" t="s">
        <v>2020</v>
      </c>
      <c r="D1910" t="s">
        <v>2028</v>
      </c>
      <c r="E1910" s="8">
        <v>4526</v>
      </c>
      <c r="F1910">
        <v>8</v>
      </c>
      <c r="G1910">
        <v>0</v>
      </c>
      <c r="H1910" s="8">
        <v>36208</v>
      </c>
      <c r="I1910">
        <v>3144.01</v>
      </c>
      <c r="J1910">
        <v>11055.96</v>
      </c>
      <c r="K1910" s="5">
        <f>IF(SalesData[[#This Row],[Total Revenue]]=0,0,SalesData[[#This Row],[Profit]]/SalesData[[#This Row],[Total Revenue]])</f>
        <v>0.30534577993813522</v>
      </c>
      <c r="L1910" s="5" t="str">
        <f>TEXT(SalesData[[#This Row],[Date]],"mmm")</f>
        <v>Oct</v>
      </c>
      <c r="M1910">
        <f>YEAR(SalesData[[#This Row],[Date]])</f>
        <v>2023</v>
      </c>
      <c r="N1910">
        <f>WEEKNUM(SalesData[[#This Row],[Date]])</f>
        <v>41</v>
      </c>
      <c r="O1910" t="s">
        <v>2042</v>
      </c>
      <c r="P1910" t="s">
        <v>2523</v>
      </c>
      <c r="Q1910" t="s">
        <v>2526</v>
      </c>
    </row>
    <row r="1911" spans="1:17" x14ac:dyDescent="0.35">
      <c r="A1911" t="s">
        <v>325</v>
      </c>
      <c r="B1911" s="3">
        <v>45260</v>
      </c>
      <c r="C1911" t="s">
        <v>2017</v>
      </c>
      <c r="D1911" t="s">
        <v>2026</v>
      </c>
      <c r="E1911" s="8">
        <v>4245</v>
      </c>
      <c r="F1911">
        <v>9</v>
      </c>
      <c r="G1911">
        <v>5</v>
      </c>
      <c r="H1911" s="8">
        <v>36294.75</v>
      </c>
      <c r="I1911">
        <v>2383.0100000000002</v>
      </c>
      <c r="J1911">
        <v>14847.62</v>
      </c>
      <c r="K1911" s="5">
        <f>IF(SalesData[[#This Row],[Total Revenue]]=0,0,SalesData[[#This Row],[Profit]]/SalesData[[#This Row],[Total Revenue]])</f>
        <v>0.40908450946762276</v>
      </c>
      <c r="L1911" s="5" t="str">
        <f>TEXT(SalesData[[#This Row],[Date]],"mmm")</f>
        <v>Nov</v>
      </c>
      <c r="M1911">
        <f>YEAR(SalesData[[#This Row],[Date]])</f>
        <v>2023</v>
      </c>
      <c r="N1911">
        <f>WEEKNUM(SalesData[[#This Row],[Date]])</f>
        <v>48</v>
      </c>
      <c r="O1911" t="s">
        <v>2175</v>
      </c>
      <c r="P1911" t="s">
        <v>2523</v>
      </c>
      <c r="Q1911" t="s">
        <v>2524</v>
      </c>
    </row>
    <row r="1912" spans="1:17" x14ac:dyDescent="0.35">
      <c r="A1912" t="s">
        <v>772</v>
      </c>
      <c r="B1912" s="3">
        <v>45257</v>
      </c>
      <c r="C1912" t="s">
        <v>2018</v>
      </c>
      <c r="D1912" t="s">
        <v>2026</v>
      </c>
      <c r="E1912" s="8">
        <v>4059</v>
      </c>
      <c r="F1912">
        <v>10</v>
      </c>
      <c r="G1912">
        <v>10</v>
      </c>
      <c r="H1912" s="8">
        <v>36531</v>
      </c>
      <c r="I1912">
        <v>3008.89</v>
      </c>
      <c r="J1912">
        <v>6442.14</v>
      </c>
      <c r="K1912" s="5">
        <f>IF(SalesData[[#This Row],[Total Revenue]]=0,0,SalesData[[#This Row],[Profit]]/SalesData[[#This Row],[Total Revenue]])</f>
        <v>0.17634721195696806</v>
      </c>
      <c r="L1912" s="5" t="str">
        <f>TEXT(SalesData[[#This Row],[Date]],"mmm")</f>
        <v>Nov</v>
      </c>
      <c r="M1912">
        <f>YEAR(SalesData[[#This Row],[Date]])</f>
        <v>2023</v>
      </c>
      <c r="N1912">
        <f>WEEKNUM(SalesData[[#This Row],[Date]])</f>
        <v>48</v>
      </c>
      <c r="O1912" t="s">
        <v>2220</v>
      </c>
      <c r="P1912" t="s">
        <v>2522</v>
      </c>
      <c r="Q1912" t="s">
        <v>2525</v>
      </c>
    </row>
    <row r="1913" spans="1:17" x14ac:dyDescent="0.35">
      <c r="A1913" t="s">
        <v>1997</v>
      </c>
      <c r="B1913" s="3">
        <v>45263</v>
      </c>
      <c r="C1913" t="s">
        <v>2016</v>
      </c>
      <c r="D1913" t="s">
        <v>2025</v>
      </c>
      <c r="E1913" s="8">
        <v>4524</v>
      </c>
      <c r="F1913">
        <v>9</v>
      </c>
      <c r="G1913">
        <v>10</v>
      </c>
      <c r="H1913" s="8">
        <v>36644.400000000001</v>
      </c>
      <c r="I1913">
        <v>2358.16</v>
      </c>
      <c r="J1913">
        <v>15420.92</v>
      </c>
      <c r="K1913" s="5">
        <f>IF(SalesData[[#This Row],[Total Revenue]]=0,0,SalesData[[#This Row],[Profit]]/SalesData[[#This Row],[Total Revenue]])</f>
        <v>0.42082610166901352</v>
      </c>
      <c r="L1913" s="5" t="str">
        <f>TEXT(SalesData[[#This Row],[Date]],"mmm")</f>
        <v>Dec</v>
      </c>
      <c r="M1913">
        <f>YEAR(SalesData[[#This Row],[Date]])</f>
        <v>2023</v>
      </c>
      <c r="N1913">
        <f>WEEKNUM(SalesData[[#This Row],[Date]])</f>
        <v>49</v>
      </c>
      <c r="O1913" t="s">
        <v>2487</v>
      </c>
      <c r="P1913" t="s">
        <v>2522</v>
      </c>
      <c r="Q1913" t="s">
        <v>2527</v>
      </c>
    </row>
    <row r="1914" spans="1:17" x14ac:dyDescent="0.35">
      <c r="A1914" t="s">
        <v>863</v>
      </c>
      <c r="B1914" s="3">
        <v>45055</v>
      </c>
      <c r="C1914" t="s">
        <v>2016</v>
      </c>
      <c r="D1914" t="s">
        <v>2025</v>
      </c>
      <c r="E1914" s="8">
        <v>3669</v>
      </c>
      <c r="F1914">
        <v>10</v>
      </c>
      <c r="G1914">
        <v>0</v>
      </c>
      <c r="H1914" s="8">
        <v>36690</v>
      </c>
      <c r="I1914">
        <v>2517.9</v>
      </c>
      <c r="J1914">
        <v>11510.97</v>
      </c>
      <c r="K1914" s="5">
        <f>IF(SalesData[[#This Row],[Total Revenue]]=0,0,SalesData[[#This Row],[Profit]]/SalesData[[#This Row],[Total Revenue]])</f>
        <v>0.3137358953393295</v>
      </c>
      <c r="L1914" s="5" t="str">
        <f>TEXT(SalesData[[#This Row],[Date]],"mmm")</f>
        <v>May</v>
      </c>
      <c r="M1914">
        <f>YEAR(SalesData[[#This Row],[Date]])</f>
        <v>2023</v>
      </c>
      <c r="N1914">
        <f>WEEKNUM(SalesData[[#This Row],[Date]])</f>
        <v>19</v>
      </c>
      <c r="O1914" t="s">
        <v>2340</v>
      </c>
      <c r="P1914" t="s">
        <v>2523</v>
      </c>
      <c r="Q1914" t="s">
        <v>2524</v>
      </c>
    </row>
    <row r="1915" spans="1:17" x14ac:dyDescent="0.35">
      <c r="A1915" t="s">
        <v>253</v>
      </c>
      <c r="B1915" s="3">
        <v>45036</v>
      </c>
      <c r="C1915" t="s">
        <v>2015</v>
      </c>
      <c r="D1915" t="s">
        <v>2025</v>
      </c>
      <c r="E1915" s="8">
        <v>3881</v>
      </c>
      <c r="F1915">
        <v>10</v>
      </c>
      <c r="G1915">
        <v>5</v>
      </c>
      <c r="H1915" s="8">
        <v>36869.5</v>
      </c>
      <c r="I1915">
        <v>2288.1999999999998</v>
      </c>
      <c r="J1915">
        <v>13987.48</v>
      </c>
      <c r="K1915" s="5">
        <f>IF(SalesData[[#This Row],[Total Revenue]]=0,0,SalesData[[#This Row],[Profit]]/SalesData[[#This Row],[Total Revenue]])</f>
        <v>0.37937807673008855</v>
      </c>
      <c r="L1915" s="5" t="str">
        <f>TEXT(SalesData[[#This Row],[Date]],"mmm")</f>
        <v>Apr</v>
      </c>
      <c r="M1915">
        <f>YEAR(SalesData[[#This Row],[Date]])</f>
        <v>2023</v>
      </c>
      <c r="N1915">
        <f>WEEKNUM(SalesData[[#This Row],[Date]])</f>
        <v>16</v>
      </c>
      <c r="O1915" t="s">
        <v>2220</v>
      </c>
      <c r="P1915" t="s">
        <v>2522</v>
      </c>
      <c r="Q1915" t="s">
        <v>2527</v>
      </c>
    </row>
    <row r="1916" spans="1:17" x14ac:dyDescent="0.35">
      <c r="A1916" t="s">
        <v>790</v>
      </c>
      <c r="B1916" s="3">
        <v>45017</v>
      </c>
      <c r="C1916" t="s">
        <v>2019</v>
      </c>
      <c r="D1916" t="s">
        <v>2027</v>
      </c>
      <c r="E1916" s="8">
        <v>4845</v>
      </c>
      <c r="F1916">
        <v>9</v>
      </c>
      <c r="G1916">
        <v>15</v>
      </c>
      <c r="H1916" s="8">
        <v>37064.25</v>
      </c>
      <c r="I1916">
        <v>3216.58</v>
      </c>
      <c r="J1916">
        <v>8115.02</v>
      </c>
      <c r="K1916" s="5">
        <f>IF(SalesData[[#This Row],[Total Revenue]]=0,0,SalesData[[#This Row],[Profit]]/SalesData[[#This Row],[Total Revenue]])</f>
        <v>0.21894467040342111</v>
      </c>
      <c r="L1916" s="5" t="str">
        <f>TEXT(SalesData[[#This Row],[Date]],"mmm")</f>
        <v>Apr</v>
      </c>
      <c r="M1916">
        <f>YEAR(SalesData[[#This Row],[Date]])</f>
        <v>2023</v>
      </c>
      <c r="N1916">
        <f>WEEKNUM(SalesData[[#This Row],[Date]])</f>
        <v>13</v>
      </c>
      <c r="O1916" t="s">
        <v>2305</v>
      </c>
      <c r="P1916" t="s">
        <v>2522</v>
      </c>
      <c r="Q1916" t="s">
        <v>2525</v>
      </c>
    </row>
    <row r="1917" spans="1:17" x14ac:dyDescent="0.35">
      <c r="A1917" t="s">
        <v>232</v>
      </c>
      <c r="B1917" s="3">
        <v>45125</v>
      </c>
      <c r="C1917" t="s">
        <v>2013</v>
      </c>
      <c r="D1917" t="s">
        <v>2023</v>
      </c>
      <c r="E1917" s="8">
        <v>4131</v>
      </c>
      <c r="F1917">
        <v>10</v>
      </c>
      <c r="G1917">
        <v>10</v>
      </c>
      <c r="H1917" s="8">
        <v>37179</v>
      </c>
      <c r="I1917">
        <v>2694.16</v>
      </c>
      <c r="J1917">
        <v>10237.4</v>
      </c>
      <c r="K1917" s="5">
        <f>IF(SalesData[[#This Row],[Total Revenue]]=0,0,SalesData[[#This Row],[Profit]]/SalesData[[#This Row],[Total Revenue]])</f>
        <v>0.27535436671239139</v>
      </c>
      <c r="L1917" s="5" t="str">
        <f>TEXT(SalesData[[#This Row],[Date]],"mmm")</f>
        <v>Jul</v>
      </c>
      <c r="M1917">
        <f>YEAR(SalesData[[#This Row],[Date]])</f>
        <v>2023</v>
      </c>
      <c r="N1917">
        <f>WEEKNUM(SalesData[[#This Row],[Date]])</f>
        <v>29</v>
      </c>
      <c r="O1917" t="s">
        <v>2205</v>
      </c>
      <c r="P1917" t="s">
        <v>2522</v>
      </c>
      <c r="Q1917" t="s">
        <v>2527</v>
      </c>
    </row>
    <row r="1918" spans="1:17" x14ac:dyDescent="0.35">
      <c r="A1918" t="s">
        <v>212</v>
      </c>
      <c r="B1918" s="3">
        <v>45086</v>
      </c>
      <c r="C1918" t="s">
        <v>2013</v>
      </c>
      <c r="D1918" t="s">
        <v>2023</v>
      </c>
      <c r="E1918" s="8">
        <v>4876</v>
      </c>
      <c r="F1918">
        <v>9</v>
      </c>
      <c r="G1918">
        <v>15</v>
      </c>
      <c r="H1918" s="8">
        <v>37301.4</v>
      </c>
      <c r="I1918">
        <v>2789.59</v>
      </c>
      <c r="J1918">
        <v>12195.11</v>
      </c>
      <c r="K1918" s="5">
        <f>IF(SalesData[[#This Row],[Total Revenue]]=0,0,SalesData[[#This Row],[Profit]]/SalesData[[#This Row],[Total Revenue]])</f>
        <v>0.32693437779815238</v>
      </c>
      <c r="L1918" s="5" t="str">
        <f>TEXT(SalesData[[#This Row],[Date]],"mmm")</f>
        <v>Jun</v>
      </c>
      <c r="M1918">
        <f>YEAR(SalesData[[#This Row],[Date]])</f>
        <v>2023</v>
      </c>
      <c r="N1918">
        <f>WEEKNUM(SalesData[[#This Row],[Date]])</f>
        <v>23</v>
      </c>
      <c r="O1918" t="s">
        <v>2191</v>
      </c>
      <c r="P1918" t="s">
        <v>2522</v>
      </c>
      <c r="Q1918" t="s">
        <v>2524</v>
      </c>
    </row>
    <row r="1919" spans="1:17" x14ac:dyDescent="0.35">
      <c r="A1919" t="s">
        <v>630</v>
      </c>
      <c r="B1919" s="3">
        <v>45109</v>
      </c>
      <c r="C1919" t="s">
        <v>2022</v>
      </c>
      <c r="D1919" t="s">
        <v>2024</v>
      </c>
      <c r="E1919" s="8">
        <v>4913</v>
      </c>
      <c r="F1919">
        <v>8</v>
      </c>
      <c r="G1919">
        <v>5</v>
      </c>
      <c r="H1919" s="8">
        <v>37338.800000000003</v>
      </c>
      <c r="I1919">
        <v>2839.36</v>
      </c>
      <c r="J1919">
        <v>14623.92</v>
      </c>
      <c r="K1919" s="5">
        <f>IF(SalesData[[#This Row],[Total Revenue]]=0,0,SalesData[[#This Row],[Profit]]/SalesData[[#This Row],[Total Revenue]])</f>
        <v>0.39165479340525133</v>
      </c>
      <c r="L1919" s="5" t="str">
        <f>TEXT(SalesData[[#This Row],[Date]],"mmm")</f>
        <v>Jul</v>
      </c>
      <c r="M1919">
        <f>YEAR(SalesData[[#This Row],[Date]])</f>
        <v>2023</v>
      </c>
      <c r="N1919">
        <f>WEEKNUM(SalesData[[#This Row],[Date]])</f>
        <v>27</v>
      </c>
      <c r="O1919" t="s">
        <v>2326</v>
      </c>
      <c r="P1919" t="s">
        <v>2522</v>
      </c>
      <c r="Q1919" t="s">
        <v>2526</v>
      </c>
    </row>
    <row r="1920" spans="1:17" x14ac:dyDescent="0.35">
      <c r="A1920" t="s">
        <v>332</v>
      </c>
      <c r="B1920" s="3">
        <v>45087</v>
      </c>
      <c r="C1920" t="s">
        <v>2015</v>
      </c>
      <c r="D1920" t="s">
        <v>2025</v>
      </c>
      <c r="E1920" s="8">
        <v>3736</v>
      </c>
      <c r="F1920">
        <v>10</v>
      </c>
      <c r="G1920">
        <v>0</v>
      </c>
      <c r="H1920" s="8">
        <v>37360</v>
      </c>
      <c r="I1920">
        <v>1883.19</v>
      </c>
      <c r="J1920">
        <v>18528.14</v>
      </c>
      <c r="K1920" s="5">
        <f>IF(SalesData[[#This Row],[Total Revenue]]=0,0,SalesData[[#This Row],[Profit]]/SalesData[[#This Row],[Total Revenue]])</f>
        <v>0.49593522483940039</v>
      </c>
      <c r="L1920" s="5" t="str">
        <f>TEXT(SalesData[[#This Row],[Date]],"mmm")</f>
        <v>Jun</v>
      </c>
      <c r="M1920">
        <f>YEAR(SalesData[[#This Row],[Date]])</f>
        <v>2023</v>
      </c>
      <c r="N1920">
        <f>WEEKNUM(SalesData[[#This Row],[Date]])</f>
        <v>23</v>
      </c>
      <c r="O1920" t="s">
        <v>2215</v>
      </c>
      <c r="P1920" t="s">
        <v>2523</v>
      </c>
      <c r="Q1920" t="s">
        <v>2526</v>
      </c>
    </row>
    <row r="1921" spans="1:17" x14ac:dyDescent="0.35">
      <c r="A1921" t="s">
        <v>1374</v>
      </c>
      <c r="B1921" s="3">
        <v>45019</v>
      </c>
      <c r="C1921" t="s">
        <v>2014</v>
      </c>
      <c r="D1921" t="s">
        <v>2024</v>
      </c>
      <c r="E1921" s="8">
        <v>4618</v>
      </c>
      <c r="F1921">
        <v>9</v>
      </c>
      <c r="G1921">
        <v>10</v>
      </c>
      <c r="H1921" s="8">
        <v>37405.800000000003</v>
      </c>
      <c r="I1921">
        <v>3180.88</v>
      </c>
      <c r="J1921">
        <v>8777.85</v>
      </c>
      <c r="K1921" s="5">
        <f>IF(SalesData[[#This Row],[Total Revenue]]=0,0,SalesData[[#This Row],[Profit]]/SalesData[[#This Row],[Total Revenue]])</f>
        <v>0.23466547968496862</v>
      </c>
      <c r="L1921" s="5" t="str">
        <f>TEXT(SalesData[[#This Row],[Date]],"mmm")</f>
        <v>Apr</v>
      </c>
      <c r="M1921">
        <f>YEAR(SalesData[[#This Row],[Date]])</f>
        <v>2023</v>
      </c>
      <c r="N1921">
        <f>WEEKNUM(SalesData[[#This Row],[Date]])</f>
        <v>14</v>
      </c>
      <c r="O1921" t="s">
        <v>2480</v>
      </c>
      <c r="P1921" t="s">
        <v>2522</v>
      </c>
      <c r="Q1921" t="s">
        <v>2524</v>
      </c>
    </row>
    <row r="1922" spans="1:17" x14ac:dyDescent="0.35">
      <c r="A1922" t="s">
        <v>104</v>
      </c>
      <c r="B1922" s="3">
        <v>44992</v>
      </c>
      <c r="C1922" t="s">
        <v>2016</v>
      </c>
      <c r="D1922" t="s">
        <v>2025</v>
      </c>
      <c r="E1922" s="8">
        <v>4943</v>
      </c>
      <c r="F1922">
        <v>8</v>
      </c>
      <c r="G1922">
        <v>5</v>
      </c>
      <c r="H1922" s="8">
        <v>37566.800000000003</v>
      </c>
      <c r="I1922">
        <v>3175.21</v>
      </c>
      <c r="J1922">
        <v>12165.12</v>
      </c>
      <c r="K1922" s="5">
        <f>IF(SalesData[[#This Row],[Total Revenue]]=0,0,SalesData[[#This Row],[Profit]]/SalesData[[#This Row],[Total Revenue]])</f>
        <v>0.32382635731550197</v>
      </c>
      <c r="L1922" s="5" t="str">
        <f>TEXT(SalesData[[#This Row],[Date]],"mmm")</f>
        <v>Mar</v>
      </c>
      <c r="M1922">
        <f>YEAR(SalesData[[#This Row],[Date]])</f>
        <v>2023</v>
      </c>
      <c r="N1922">
        <f>WEEKNUM(SalesData[[#This Row],[Date]])</f>
        <v>10</v>
      </c>
      <c r="O1922" t="s">
        <v>2051</v>
      </c>
      <c r="P1922" t="s">
        <v>2523</v>
      </c>
      <c r="Q1922" t="s">
        <v>2524</v>
      </c>
    </row>
    <row r="1923" spans="1:17" x14ac:dyDescent="0.35">
      <c r="A1923" t="s">
        <v>968</v>
      </c>
      <c r="B1923" s="3">
        <v>44952</v>
      </c>
      <c r="C1923" t="s">
        <v>2020</v>
      </c>
      <c r="D1923" t="s">
        <v>2028</v>
      </c>
      <c r="E1923" s="8">
        <v>4398</v>
      </c>
      <c r="F1923">
        <v>9</v>
      </c>
      <c r="G1923">
        <v>5</v>
      </c>
      <c r="H1923" s="8">
        <v>37602.9</v>
      </c>
      <c r="I1923">
        <v>2698.45</v>
      </c>
      <c r="J1923">
        <v>13316.86</v>
      </c>
      <c r="K1923" s="5">
        <f>IF(SalesData[[#This Row],[Total Revenue]]=0,0,SalesData[[#This Row],[Profit]]/SalesData[[#This Row],[Total Revenue]])</f>
        <v>0.35414449417465144</v>
      </c>
      <c r="L1923" s="5" t="str">
        <f>TEXT(SalesData[[#This Row],[Date]],"mmm")</f>
        <v>Jan</v>
      </c>
      <c r="M1923">
        <f>YEAR(SalesData[[#This Row],[Date]])</f>
        <v>2023</v>
      </c>
      <c r="N1923">
        <f>WEEKNUM(SalesData[[#This Row],[Date]])</f>
        <v>4</v>
      </c>
      <c r="O1923" t="s">
        <v>2251</v>
      </c>
      <c r="P1923" t="s">
        <v>2522</v>
      </c>
      <c r="Q1923" t="s">
        <v>2527</v>
      </c>
    </row>
    <row r="1924" spans="1:17" x14ac:dyDescent="0.35">
      <c r="A1924" t="s">
        <v>1951</v>
      </c>
      <c r="B1924" s="3">
        <v>45217</v>
      </c>
      <c r="C1924" t="s">
        <v>2019</v>
      </c>
      <c r="D1924" t="s">
        <v>2027</v>
      </c>
      <c r="E1924" s="8">
        <v>4720</v>
      </c>
      <c r="F1924">
        <v>8</v>
      </c>
      <c r="G1924">
        <v>0</v>
      </c>
      <c r="H1924" s="8">
        <v>37760</v>
      </c>
      <c r="I1924">
        <v>3094.62</v>
      </c>
      <c r="J1924">
        <v>13003</v>
      </c>
      <c r="K1924" s="5">
        <f>IF(SalesData[[#This Row],[Total Revenue]]=0,0,SalesData[[#This Row],[Profit]]/SalesData[[#This Row],[Total Revenue]])</f>
        <v>0.3443591101694915</v>
      </c>
      <c r="L1924" s="5" t="str">
        <f>TEXT(SalesData[[#This Row],[Date]],"mmm")</f>
        <v>Oct</v>
      </c>
      <c r="M1924">
        <f>YEAR(SalesData[[#This Row],[Date]])</f>
        <v>2023</v>
      </c>
      <c r="N1924">
        <f>WEEKNUM(SalesData[[#This Row],[Date]])</f>
        <v>42</v>
      </c>
      <c r="O1924" t="s">
        <v>2521</v>
      </c>
      <c r="P1924" t="s">
        <v>2523</v>
      </c>
      <c r="Q1924" t="s">
        <v>2524</v>
      </c>
    </row>
    <row r="1925" spans="1:17" x14ac:dyDescent="0.35">
      <c r="A1925" t="s">
        <v>591</v>
      </c>
      <c r="B1925" s="3">
        <v>44933</v>
      </c>
      <c r="C1925" t="s">
        <v>2013</v>
      </c>
      <c r="D1925" t="s">
        <v>2023</v>
      </c>
      <c r="E1925" s="8">
        <v>4721</v>
      </c>
      <c r="F1925">
        <v>8</v>
      </c>
      <c r="G1925">
        <v>0</v>
      </c>
      <c r="H1925" s="8">
        <v>37768</v>
      </c>
      <c r="I1925">
        <v>3475.31</v>
      </c>
      <c r="J1925">
        <v>9965.52</v>
      </c>
      <c r="K1925" s="5">
        <f>IF(SalesData[[#This Row],[Total Revenue]]=0,0,SalesData[[#This Row],[Profit]]/SalesData[[#This Row],[Total Revenue]])</f>
        <v>0.26386147002753657</v>
      </c>
      <c r="L1925" s="5" t="str">
        <f>TEXT(SalesData[[#This Row],[Date]],"mmm")</f>
        <v>Jan</v>
      </c>
      <c r="M1925">
        <f>YEAR(SalesData[[#This Row],[Date]])</f>
        <v>2023</v>
      </c>
      <c r="N1925">
        <f>WEEKNUM(SalesData[[#This Row],[Date]])</f>
        <v>1</v>
      </c>
      <c r="O1925" t="s">
        <v>2117</v>
      </c>
      <c r="P1925" t="s">
        <v>2523</v>
      </c>
      <c r="Q1925" t="s">
        <v>2526</v>
      </c>
    </row>
    <row r="1926" spans="1:17" x14ac:dyDescent="0.35">
      <c r="A1926" t="s">
        <v>1878</v>
      </c>
      <c r="B1926" s="3">
        <v>45206</v>
      </c>
      <c r="C1926" t="s">
        <v>2013</v>
      </c>
      <c r="D1926" t="s">
        <v>2023</v>
      </c>
      <c r="E1926" s="8">
        <v>4199</v>
      </c>
      <c r="F1926">
        <v>9</v>
      </c>
      <c r="G1926">
        <v>0</v>
      </c>
      <c r="H1926" s="8">
        <v>37791</v>
      </c>
      <c r="I1926">
        <v>2712.45</v>
      </c>
      <c r="J1926">
        <v>13378.93</v>
      </c>
      <c r="K1926" s="5">
        <f>IF(SalesData[[#This Row],[Total Revenue]]=0,0,SalesData[[#This Row],[Profit]]/SalesData[[#This Row],[Total Revenue]])</f>
        <v>0.35402423857532217</v>
      </c>
      <c r="L1926" s="5" t="str">
        <f>TEXT(SalesData[[#This Row],[Date]],"mmm")</f>
        <v>Oct</v>
      </c>
      <c r="M1926">
        <f>YEAR(SalesData[[#This Row],[Date]])</f>
        <v>2023</v>
      </c>
      <c r="N1926">
        <f>WEEKNUM(SalesData[[#This Row],[Date]])</f>
        <v>40</v>
      </c>
      <c r="O1926" t="s">
        <v>2273</v>
      </c>
      <c r="P1926" t="s">
        <v>2523</v>
      </c>
      <c r="Q1926" t="s">
        <v>2524</v>
      </c>
    </row>
    <row r="1927" spans="1:17" x14ac:dyDescent="0.35">
      <c r="A1927" t="s">
        <v>1205</v>
      </c>
      <c r="B1927" s="3">
        <v>45112</v>
      </c>
      <c r="C1927" t="s">
        <v>2018</v>
      </c>
      <c r="D1927" t="s">
        <v>2026</v>
      </c>
      <c r="E1927" s="8">
        <v>4205</v>
      </c>
      <c r="F1927">
        <v>9</v>
      </c>
      <c r="G1927">
        <v>0</v>
      </c>
      <c r="H1927" s="8">
        <v>37845</v>
      </c>
      <c r="I1927">
        <v>3250.7</v>
      </c>
      <c r="J1927">
        <v>8588.66</v>
      </c>
      <c r="K1927" s="5">
        <f>IF(SalesData[[#This Row],[Total Revenue]]=0,0,SalesData[[#This Row],[Profit]]/SalesData[[#This Row],[Total Revenue]])</f>
        <v>0.22694305720702868</v>
      </c>
      <c r="L1927" s="5" t="str">
        <f>TEXT(SalesData[[#This Row],[Date]],"mmm")</f>
        <v>Jul</v>
      </c>
      <c r="M1927">
        <f>YEAR(SalesData[[#This Row],[Date]])</f>
        <v>2023</v>
      </c>
      <c r="N1927">
        <f>WEEKNUM(SalesData[[#This Row],[Date]])</f>
        <v>27</v>
      </c>
      <c r="O1927" t="s">
        <v>2414</v>
      </c>
      <c r="P1927" t="s">
        <v>2522</v>
      </c>
      <c r="Q1927" t="s">
        <v>2527</v>
      </c>
    </row>
    <row r="1928" spans="1:17" x14ac:dyDescent="0.35">
      <c r="A1928" t="s">
        <v>587</v>
      </c>
      <c r="B1928" s="3">
        <v>45182</v>
      </c>
      <c r="C1928" t="s">
        <v>2019</v>
      </c>
      <c r="D1928" t="s">
        <v>2027</v>
      </c>
      <c r="E1928" s="8">
        <v>4438</v>
      </c>
      <c r="F1928">
        <v>9</v>
      </c>
      <c r="G1928">
        <v>5</v>
      </c>
      <c r="H1928" s="8">
        <v>37944.9</v>
      </c>
      <c r="I1928">
        <v>3176.02</v>
      </c>
      <c r="J1928">
        <v>9360.69</v>
      </c>
      <c r="K1928" s="5">
        <f>IF(SalesData[[#This Row],[Total Revenue]]=0,0,SalesData[[#This Row],[Profit]]/SalesData[[#This Row],[Total Revenue]])</f>
        <v>0.24669165026129994</v>
      </c>
      <c r="L1928" s="5" t="str">
        <f>TEXT(SalesData[[#This Row],[Date]],"mmm")</f>
        <v>Sep</v>
      </c>
      <c r="M1928">
        <f>YEAR(SalesData[[#This Row],[Date]])</f>
        <v>2023</v>
      </c>
      <c r="N1928">
        <f>WEEKNUM(SalesData[[#This Row],[Date]])</f>
        <v>37</v>
      </c>
      <c r="O1928" t="s">
        <v>2235</v>
      </c>
      <c r="P1928" t="s">
        <v>2522</v>
      </c>
      <c r="Q1928" t="s">
        <v>2525</v>
      </c>
    </row>
    <row r="1929" spans="1:17" x14ac:dyDescent="0.35">
      <c r="A1929" t="s">
        <v>1111</v>
      </c>
      <c r="B1929" s="3">
        <v>45030</v>
      </c>
      <c r="C1929" t="s">
        <v>2013</v>
      </c>
      <c r="D1929" t="s">
        <v>2023</v>
      </c>
      <c r="E1929" s="8">
        <v>4999</v>
      </c>
      <c r="F1929">
        <v>8</v>
      </c>
      <c r="G1929">
        <v>5</v>
      </c>
      <c r="H1929" s="8">
        <v>37992.400000000001</v>
      </c>
      <c r="I1929">
        <v>3302.23</v>
      </c>
      <c r="J1929">
        <v>11574.56</v>
      </c>
      <c r="K1929" s="5">
        <f>IF(SalesData[[#This Row],[Total Revenue]]=0,0,SalesData[[#This Row],[Profit]]/SalesData[[#This Row],[Total Revenue]])</f>
        <v>0.30465461513355302</v>
      </c>
      <c r="L1929" s="5" t="str">
        <f>TEXT(SalesData[[#This Row],[Date]],"mmm")</f>
        <v>Apr</v>
      </c>
      <c r="M1929">
        <f>YEAR(SalesData[[#This Row],[Date]])</f>
        <v>2023</v>
      </c>
      <c r="N1929">
        <f>WEEKNUM(SalesData[[#This Row],[Date]])</f>
        <v>15</v>
      </c>
      <c r="O1929" t="s">
        <v>2102</v>
      </c>
      <c r="P1929" t="s">
        <v>2522</v>
      </c>
      <c r="Q1929" t="s">
        <v>2524</v>
      </c>
    </row>
    <row r="1930" spans="1:17" x14ac:dyDescent="0.35">
      <c r="A1930" t="s">
        <v>682</v>
      </c>
      <c r="B1930" s="3">
        <v>45179</v>
      </c>
      <c r="C1930" t="s">
        <v>2017</v>
      </c>
      <c r="D1930" t="s">
        <v>2026</v>
      </c>
      <c r="E1930" s="8">
        <v>4450</v>
      </c>
      <c r="F1930">
        <v>9</v>
      </c>
      <c r="G1930">
        <v>5</v>
      </c>
      <c r="H1930" s="8">
        <v>38047.5</v>
      </c>
      <c r="I1930">
        <v>2819.31</v>
      </c>
      <c r="J1930">
        <v>12673.73</v>
      </c>
      <c r="K1930" s="5">
        <f>IF(SalesData[[#This Row],[Total Revenue]]=0,0,SalesData[[#This Row],[Profit]]/SalesData[[#This Row],[Total Revenue]])</f>
        <v>0.33310283198633284</v>
      </c>
      <c r="L1930" s="5" t="str">
        <f>TEXT(SalesData[[#This Row],[Date]],"mmm")</f>
        <v>Sep</v>
      </c>
      <c r="M1930">
        <f>YEAR(SalesData[[#This Row],[Date]])</f>
        <v>2023</v>
      </c>
      <c r="N1930">
        <f>WEEKNUM(SalesData[[#This Row],[Date]])</f>
        <v>37</v>
      </c>
      <c r="O1930" t="s">
        <v>2397</v>
      </c>
      <c r="P1930" t="s">
        <v>2523</v>
      </c>
      <c r="Q1930" t="s">
        <v>2526</v>
      </c>
    </row>
    <row r="1931" spans="1:17" x14ac:dyDescent="0.35">
      <c r="A1931" t="s">
        <v>701</v>
      </c>
      <c r="B1931" s="3">
        <v>45226</v>
      </c>
      <c r="C1931" t="s">
        <v>2013</v>
      </c>
      <c r="D1931" t="s">
        <v>2023</v>
      </c>
      <c r="E1931" s="8">
        <v>4712</v>
      </c>
      <c r="F1931">
        <v>9</v>
      </c>
      <c r="G1931">
        <v>10</v>
      </c>
      <c r="H1931" s="8">
        <v>38167.199999999997</v>
      </c>
      <c r="I1931">
        <v>2821.73</v>
      </c>
      <c r="J1931">
        <v>12771.65</v>
      </c>
      <c r="K1931" s="5">
        <f>IF(SalesData[[#This Row],[Total Revenue]]=0,0,SalesData[[#This Row],[Profit]]/SalesData[[#This Row],[Total Revenue]])</f>
        <v>0.334623708314993</v>
      </c>
      <c r="L1931" s="5" t="str">
        <f>TEXT(SalesData[[#This Row],[Date]],"mmm")</f>
        <v>Oct</v>
      </c>
      <c r="M1931">
        <f>YEAR(SalesData[[#This Row],[Date]])</f>
        <v>2023</v>
      </c>
      <c r="N1931">
        <f>WEEKNUM(SalesData[[#This Row],[Date]])</f>
        <v>43</v>
      </c>
      <c r="O1931" t="s">
        <v>2351</v>
      </c>
      <c r="P1931" t="s">
        <v>2522</v>
      </c>
      <c r="Q1931" t="s">
        <v>2526</v>
      </c>
    </row>
    <row r="1932" spans="1:17" x14ac:dyDescent="0.35">
      <c r="A1932" t="s">
        <v>819</v>
      </c>
      <c r="B1932" s="3">
        <v>45158</v>
      </c>
      <c r="C1932" t="s">
        <v>2015</v>
      </c>
      <c r="D1932" t="s">
        <v>2025</v>
      </c>
      <c r="E1932" s="8">
        <v>4712</v>
      </c>
      <c r="F1932">
        <v>9</v>
      </c>
      <c r="G1932">
        <v>10</v>
      </c>
      <c r="H1932" s="8">
        <v>38167.199999999997</v>
      </c>
      <c r="I1932">
        <v>3194.79</v>
      </c>
      <c r="J1932">
        <v>9414.1299999999992</v>
      </c>
      <c r="K1932" s="5">
        <f>IF(SalesData[[#This Row],[Total Revenue]]=0,0,SalesData[[#This Row],[Profit]]/SalesData[[#This Row],[Total Revenue]])</f>
        <v>0.2466549812404368</v>
      </c>
      <c r="L1932" s="5" t="str">
        <f>TEXT(SalesData[[#This Row],[Date]],"mmm")</f>
        <v>Aug</v>
      </c>
      <c r="M1932">
        <f>YEAR(SalesData[[#This Row],[Date]])</f>
        <v>2023</v>
      </c>
      <c r="N1932">
        <f>WEEKNUM(SalesData[[#This Row],[Date]])</f>
        <v>34</v>
      </c>
      <c r="O1932" t="s">
        <v>2427</v>
      </c>
      <c r="P1932" t="s">
        <v>2523</v>
      </c>
      <c r="Q1932" t="s">
        <v>2526</v>
      </c>
    </row>
    <row r="1933" spans="1:17" x14ac:dyDescent="0.35">
      <c r="A1933" t="s">
        <v>49</v>
      </c>
      <c r="B1933" s="3">
        <v>44949</v>
      </c>
      <c r="C1933" t="s">
        <v>2021</v>
      </c>
      <c r="D1933" t="s">
        <v>2028</v>
      </c>
      <c r="E1933" s="8">
        <v>4783</v>
      </c>
      <c r="F1933">
        <v>8</v>
      </c>
      <c r="G1933">
        <v>0</v>
      </c>
      <c r="H1933" s="8">
        <v>38264</v>
      </c>
      <c r="I1933">
        <v>2552.98</v>
      </c>
      <c r="J1933">
        <v>17840.14</v>
      </c>
      <c r="K1933" s="5">
        <f>IF(SalesData[[#This Row],[Total Revenue]]=0,0,SalesData[[#This Row],[Profit]]/SalesData[[#This Row],[Total Revenue]])</f>
        <v>0.4662382395985783</v>
      </c>
      <c r="L1933" s="5" t="str">
        <f>TEXT(SalesData[[#This Row],[Date]],"mmm")</f>
        <v>Jan</v>
      </c>
      <c r="M1933">
        <f>YEAR(SalesData[[#This Row],[Date]])</f>
        <v>2023</v>
      </c>
      <c r="N1933">
        <f>WEEKNUM(SalesData[[#This Row],[Date]])</f>
        <v>4</v>
      </c>
      <c r="O1933" t="s">
        <v>2061</v>
      </c>
      <c r="P1933" t="s">
        <v>2523</v>
      </c>
      <c r="Q1933" t="s">
        <v>2526</v>
      </c>
    </row>
    <row r="1934" spans="1:17" x14ac:dyDescent="0.35">
      <c r="A1934" t="s">
        <v>1019</v>
      </c>
      <c r="B1934" s="3">
        <v>45280</v>
      </c>
      <c r="C1934" t="s">
        <v>2022</v>
      </c>
      <c r="D1934" t="s">
        <v>2024</v>
      </c>
      <c r="E1934" s="8">
        <v>4792</v>
      </c>
      <c r="F1934">
        <v>8</v>
      </c>
      <c r="G1934">
        <v>0</v>
      </c>
      <c r="H1934" s="8">
        <v>38336</v>
      </c>
      <c r="I1934">
        <v>2934.26</v>
      </c>
      <c r="J1934">
        <v>14861.88</v>
      </c>
      <c r="K1934" s="5">
        <f>IF(SalesData[[#This Row],[Total Revenue]]=0,0,SalesData[[#This Row],[Profit]]/SalesData[[#This Row],[Total Revenue]])</f>
        <v>0.38767424874791317</v>
      </c>
      <c r="L1934" s="5" t="str">
        <f>TEXT(SalesData[[#This Row],[Date]],"mmm")</f>
        <v>Dec</v>
      </c>
      <c r="M1934">
        <f>YEAR(SalesData[[#This Row],[Date]])</f>
        <v>2023</v>
      </c>
      <c r="N1934">
        <f>WEEKNUM(SalesData[[#This Row],[Date]])</f>
        <v>51</v>
      </c>
      <c r="O1934" t="s">
        <v>2380</v>
      </c>
      <c r="P1934" t="s">
        <v>2522</v>
      </c>
      <c r="Q1934" t="s">
        <v>2527</v>
      </c>
    </row>
    <row r="1935" spans="1:17" x14ac:dyDescent="0.35">
      <c r="A1935" t="s">
        <v>29</v>
      </c>
      <c r="B1935" s="3">
        <v>45279</v>
      </c>
      <c r="C1935" t="s">
        <v>2015</v>
      </c>
      <c r="D1935" t="s">
        <v>2025</v>
      </c>
      <c r="E1935" s="8">
        <v>4267</v>
      </c>
      <c r="F1935">
        <v>9</v>
      </c>
      <c r="G1935">
        <v>0</v>
      </c>
      <c r="H1935" s="8">
        <v>38403</v>
      </c>
      <c r="I1935">
        <v>3113.2</v>
      </c>
      <c r="J1935">
        <v>10384.16</v>
      </c>
      <c r="K1935" s="5">
        <f>IF(SalesData[[#This Row],[Total Revenue]]=0,0,SalesData[[#This Row],[Profit]]/SalesData[[#This Row],[Total Revenue]])</f>
        <v>0.27039970835611798</v>
      </c>
      <c r="L1935" s="5" t="str">
        <f>TEXT(SalesData[[#This Row],[Date]],"mmm")</f>
        <v>Dec</v>
      </c>
      <c r="M1935">
        <f>YEAR(SalesData[[#This Row],[Date]])</f>
        <v>2023</v>
      </c>
      <c r="N1935">
        <f>WEEKNUM(SalesData[[#This Row],[Date]])</f>
        <v>51</v>
      </c>
      <c r="O1935" t="s">
        <v>2045</v>
      </c>
      <c r="P1935" t="s">
        <v>2522</v>
      </c>
      <c r="Q1935" t="s">
        <v>2524</v>
      </c>
    </row>
    <row r="1936" spans="1:17" x14ac:dyDescent="0.35">
      <c r="A1936" t="s">
        <v>1860</v>
      </c>
      <c r="B1936" s="3">
        <v>45235</v>
      </c>
      <c r="C1936" t="s">
        <v>2015</v>
      </c>
      <c r="D1936" t="s">
        <v>2025</v>
      </c>
      <c r="E1936" s="8">
        <v>4509</v>
      </c>
      <c r="F1936">
        <v>9</v>
      </c>
      <c r="G1936">
        <v>5</v>
      </c>
      <c r="H1936" s="8">
        <v>38551.949999999997</v>
      </c>
      <c r="I1936">
        <v>2622.8</v>
      </c>
      <c r="J1936">
        <v>14946.77</v>
      </c>
      <c r="K1936" s="5">
        <f>IF(SalesData[[#This Row],[Total Revenue]]=0,0,SalesData[[#This Row],[Profit]]/SalesData[[#This Row],[Total Revenue]])</f>
        <v>0.38770464269641358</v>
      </c>
      <c r="L1936" s="5" t="str">
        <f>TEXT(SalesData[[#This Row],[Date]],"mmm")</f>
        <v>Nov</v>
      </c>
      <c r="M1936">
        <f>YEAR(SalesData[[#This Row],[Date]])</f>
        <v>2023</v>
      </c>
      <c r="N1936">
        <f>WEEKNUM(SalesData[[#This Row],[Date]])</f>
        <v>45</v>
      </c>
      <c r="O1936" t="s">
        <v>2173</v>
      </c>
      <c r="P1936" t="s">
        <v>2523</v>
      </c>
      <c r="Q1936" t="s">
        <v>2525</v>
      </c>
    </row>
    <row r="1937" spans="1:17" x14ac:dyDescent="0.35">
      <c r="A1937" t="s">
        <v>1352</v>
      </c>
      <c r="B1937" s="3">
        <v>45026</v>
      </c>
      <c r="C1937" t="s">
        <v>2018</v>
      </c>
      <c r="D1937" t="s">
        <v>2026</v>
      </c>
      <c r="E1937" s="8">
        <v>4835</v>
      </c>
      <c r="F1937">
        <v>8</v>
      </c>
      <c r="G1937">
        <v>0</v>
      </c>
      <c r="H1937" s="8">
        <v>38680</v>
      </c>
      <c r="I1937">
        <v>3214.29</v>
      </c>
      <c r="J1937">
        <v>12965.69</v>
      </c>
      <c r="K1937" s="5">
        <f>IF(SalesData[[#This Row],[Total Revenue]]=0,0,SalesData[[#This Row],[Profit]]/SalesData[[#This Row],[Total Revenue]])</f>
        <v>0.3352039813857291</v>
      </c>
      <c r="L1937" s="5" t="str">
        <f>TEXT(SalesData[[#This Row],[Date]],"mmm")</f>
        <v>Apr</v>
      </c>
      <c r="M1937">
        <f>YEAR(SalesData[[#This Row],[Date]])</f>
        <v>2023</v>
      </c>
      <c r="N1937">
        <f>WEEKNUM(SalesData[[#This Row],[Date]])</f>
        <v>15</v>
      </c>
      <c r="O1937" t="s">
        <v>2436</v>
      </c>
      <c r="P1937" t="s">
        <v>2522</v>
      </c>
      <c r="Q1937" t="s">
        <v>2525</v>
      </c>
    </row>
    <row r="1938" spans="1:17" x14ac:dyDescent="0.35">
      <c r="A1938" t="s">
        <v>1071</v>
      </c>
      <c r="B1938" s="3">
        <v>45115</v>
      </c>
      <c r="C1938" t="s">
        <v>2015</v>
      </c>
      <c r="D1938" t="s">
        <v>2025</v>
      </c>
      <c r="E1938" s="8">
        <v>4301</v>
      </c>
      <c r="F1938">
        <v>9</v>
      </c>
      <c r="G1938">
        <v>0</v>
      </c>
      <c r="H1938" s="8">
        <v>38709</v>
      </c>
      <c r="I1938">
        <v>2457.9</v>
      </c>
      <c r="J1938">
        <v>16587.86</v>
      </c>
      <c r="K1938" s="5">
        <f>IF(SalesData[[#This Row],[Total Revenue]]=0,0,SalesData[[#This Row],[Profit]]/SalesData[[#This Row],[Total Revenue]])</f>
        <v>0.42852721589294479</v>
      </c>
      <c r="L1938" s="5" t="str">
        <f>TEXT(SalesData[[#This Row],[Date]],"mmm")</f>
        <v>Jul</v>
      </c>
      <c r="M1938">
        <f>YEAR(SalesData[[#This Row],[Date]])</f>
        <v>2023</v>
      </c>
      <c r="N1938">
        <f>WEEKNUM(SalesData[[#This Row],[Date]])</f>
        <v>27</v>
      </c>
      <c r="O1938" t="s">
        <v>2173</v>
      </c>
      <c r="P1938" t="s">
        <v>2522</v>
      </c>
      <c r="Q1938" t="s">
        <v>2524</v>
      </c>
    </row>
    <row r="1939" spans="1:17" x14ac:dyDescent="0.35">
      <c r="A1939" t="s">
        <v>387</v>
      </c>
      <c r="B1939" s="3">
        <v>45252</v>
      </c>
      <c r="C1939" t="s">
        <v>2017</v>
      </c>
      <c r="D1939" t="s">
        <v>2026</v>
      </c>
      <c r="E1939" s="8">
        <v>4840</v>
      </c>
      <c r="F1939">
        <v>8</v>
      </c>
      <c r="G1939">
        <v>0</v>
      </c>
      <c r="H1939" s="8">
        <v>38720</v>
      </c>
      <c r="I1939">
        <v>3008.03</v>
      </c>
      <c r="J1939">
        <v>14655.74</v>
      </c>
      <c r="K1939" s="5">
        <f>IF(SalesData[[#This Row],[Total Revenue]]=0,0,SalesData[[#This Row],[Profit]]/SalesData[[#This Row],[Total Revenue]])</f>
        <v>0.37850568181818184</v>
      </c>
      <c r="L1939" s="5" t="str">
        <f>TEXT(SalesData[[#This Row],[Date]],"mmm")</f>
        <v>Nov</v>
      </c>
      <c r="M1939">
        <f>YEAR(SalesData[[#This Row],[Date]])</f>
        <v>2023</v>
      </c>
      <c r="N1939">
        <f>WEEKNUM(SalesData[[#This Row],[Date]])</f>
        <v>47</v>
      </c>
      <c r="O1939" t="s">
        <v>2292</v>
      </c>
      <c r="P1939" t="s">
        <v>2522</v>
      </c>
      <c r="Q1939" t="s">
        <v>2526</v>
      </c>
    </row>
    <row r="1940" spans="1:17" x14ac:dyDescent="0.35">
      <c r="A1940" t="s">
        <v>427</v>
      </c>
      <c r="B1940" s="3">
        <v>44966</v>
      </c>
      <c r="C1940" t="s">
        <v>2016</v>
      </c>
      <c r="D1940" t="s">
        <v>2025</v>
      </c>
      <c r="E1940" s="8">
        <v>4305</v>
      </c>
      <c r="F1940">
        <v>10</v>
      </c>
      <c r="G1940">
        <v>10</v>
      </c>
      <c r="H1940" s="8">
        <v>38745</v>
      </c>
      <c r="I1940">
        <v>2952.12</v>
      </c>
      <c r="J1940">
        <v>9223.7900000000009</v>
      </c>
      <c r="K1940" s="5">
        <f>IF(SalesData[[#This Row],[Total Revenue]]=0,0,SalesData[[#This Row],[Profit]]/SalesData[[#This Row],[Total Revenue]])</f>
        <v>0.23806400825913024</v>
      </c>
      <c r="L1940" s="5" t="str">
        <f>TEXT(SalesData[[#This Row],[Date]],"mmm")</f>
        <v>Feb</v>
      </c>
      <c r="M1940">
        <f>YEAR(SalesData[[#This Row],[Date]])</f>
        <v>2023</v>
      </c>
      <c r="N1940">
        <f>WEEKNUM(SalesData[[#This Row],[Date]])</f>
        <v>6</v>
      </c>
      <c r="O1940" t="s">
        <v>2217</v>
      </c>
      <c r="P1940" t="s">
        <v>2522</v>
      </c>
      <c r="Q1940" t="s">
        <v>2524</v>
      </c>
    </row>
    <row r="1941" spans="1:17" x14ac:dyDescent="0.35">
      <c r="A1941" t="s">
        <v>121</v>
      </c>
      <c r="B1941" s="3">
        <v>44954</v>
      </c>
      <c r="C1941" t="s">
        <v>2015</v>
      </c>
      <c r="D1941" t="s">
        <v>2025</v>
      </c>
      <c r="E1941" s="8">
        <v>4532</v>
      </c>
      <c r="F1941">
        <v>9</v>
      </c>
      <c r="G1941">
        <v>5</v>
      </c>
      <c r="H1941" s="8">
        <v>38748.6</v>
      </c>
      <c r="I1941">
        <v>2982.35</v>
      </c>
      <c r="J1941">
        <v>11907.41</v>
      </c>
      <c r="K1941" s="5">
        <f>IF(SalesData[[#This Row],[Total Revenue]]=0,0,SalesData[[#This Row],[Profit]]/SalesData[[#This Row],[Total Revenue]])</f>
        <v>0.30729910241918418</v>
      </c>
      <c r="L1941" s="5" t="str">
        <f>TEXT(SalesData[[#This Row],[Date]],"mmm")</f>
        <v>Jan</v>
      </c>
      <c r="M1941">
        <f>YEAR(SalesData[[#This Row],[Date]])</f>
        <v>2023</v>
      </c>
      <c r="N1941">
        <f>WEEKNUM(SalesData[[#This Row],[Date]])</f>
        <v>4</v>
      </c>
      <c r="O1941" t="s">
        <v>2126</v>
      </c>
      <c r="P1941" t="s">
        <v>2522</v>
      </c>
      <c r="Q1941" t="s">
        <v>2524</v>
      </c>
    </row>
    <row r="1942" spans="1:17" x14ac:dyDescent="0.35">
      <c r="A1942" t="s">
        <v>1565</v>
      </c>
      <c r="B1942" s="3">
        <v>45168</v>
      </c>
      <c r="C1942" t="s">
        <v>2022</v>
      </c>
      <c r="D1942" t="s">
        <v>2024</v>
      </c>
      <c r="E1942" s="8">
        <v>4325</v>
      </c>
      <c r="F1942">
        <v>9</v>
      </c>
      <c r="G1942">
        <v>0</v>
      </c>
      <c r="H1942" s="8">
        <v>38925</v>
      </c>
      <c r="I1942">
        <v>2760.49</v>
      </c>
      <c r="J1942">
        <v>14080.62</v>
      </c>
      <c r="K1942" s="5">
        <f>IF(SalesData[[#This Row],[Total Revenue]]=0,0,SalesData[[#This Row],[Profit]]/SalesData[[#This Row],[Total Revenue]])</f>
        <v>0.36173718689788054</v>
      </c>
      <c r="L1942" s="5" t="str">
        <f>TEXT(SalesData[[#This Row],[Date]],"mmm")</f>
        <v>Aug</v>
      </c>
      <c r="M1942">
        <f>YEAR(SalesData[[#This Row],[Date]])</f>
        <v>2023</v>
      </c>
      <c r="N1942">
        <f>WEEKNUM(SalesData[[#This Row],[Date]])</f>
        <v>35</v>
      </c>
      <c r="O1942" t="s">
        <v>2325</v>
      </c>
      <c r="P1942" t="s">
        <v>2523</v>
      </c>
      <c r="Q1942" t="s">
        <v>2526</v>
      </c>
    </row>
    <row r="1943" spans="1:17" x14ac:dyDescent="0.35">
      <c r="A1943" t="s">
        <v>1993</v>
      </c>
      <c r="B1943" s="3">
        <v>45179</v>
      </c>
      <c r="C1943" t="s">
        <v>2020</v>
      </c>
      <c r="D1943" t="s">
        <v>2028</v>
      </c>
      <c r="E1943" s="8">
        <v>4580</v>
      </c>
      <c r="F1943">
        <v>10</v>
      </c>
      <c r="G1943">
        <v>15</v>
      </c>
      <c r="H1943" s="8">
        <v>38930</v>
      </c>
      <c r="I1943">
        <v>3646.03</v>
      </c>
      <c r="J1943">
        <v>2469.66</v>
      </c>
      <c r="K1943" s="5">
        <f>IF(SalesData[[#This Row],[Total Revenue]]=0,0,SalesData[[#This Row],[Profit]]/SalesData[[#This Row],[Total Revenue]])</f>
        <v>6.3438479321859739E-2</v>
      </c>
      <c r="L1943" s="5" t="str">
        <f>TEXT(SalesData[[#This Row],[Date]],"mmm")</f>
        <v>Sep</v>
      </c>
      <c r="M1943">
        <f>YEAR(SalesData[[#This Row],[Date]])</f>
        <v>2023</v>
      </c>
      <c r="N1943">
        <f>WEEKNUM(SalesData[[#This Row],[Date]])</f>
        <v>37</v>
      </c>
      <c r="O1943" t="s">
        <v>2477</v>
      </c>
      <c r="P1943" t="s">
        <v>2523</v>
      </c>
      <c r="Q1943" t="s">
        <v>2526</v>
      </c>
    </row>
    <row r="1944" spans="1:17" x14ac:dyDescent="0.35">
      <c r="A1944" t="s">
        <v>1662</v>
      </c>
      <c r="B1944" s="3">
        <v>44929</v>
      </c>
      <c r="C1944" t="s">
        <v>2020</v>
      </c>
      <c r="D1944" t="s">
        <v>2028</v>
      </c>
      <c r="E1944" s="8">
        <v>3919</v>
      </c>
      <c r="F1944">
        <v>10</v>
      </c>
      <c r="G1944">
        <v>0</v>
      </c>
      <c r="H1944" s="8">
        <v>39190</v>
      </c>
      <c r="I1944">
        <v>2241.39</v>
      </c>
      <c r="J1944">
        <v>16776.14</v>
      </c>
      <c r="K1944" s="5">
        <f>IF(SalesData[[#This Row],[Total Revenue]]=0,0,SalesData[[#This Row],[Profit]]/SalesData[[#This Row],[Total Revenue]])</f>
        <v>0.42807195713192142</v>
      </c>
      <c r="L1944" s="5" t="str">
        <f>TEXT(SalesData[[#This Row],[Date]],"mmm")</f>
        <v>Jan</v>
      </c>
      <c r="M1944">
        <f>YEAR(SalesData[[#This Row],[Date]])</f>
        <v>2023</v>
      </c>
      <c r="N1944">
        <f>WEEKNUM(SalesData[[#This Row],[Date]])</f>
        <v>1</v>
      </c>
      <c r="O1944" t="s">
        <v>2138</v>
      </c>
      <c r="P1944" t="s">
        <v>2522</v>
      </c>
      <c r="Q1944" t="s">
        <v>2527</v>
      </c>
    </row>
    <row r="1945" spans="1:17" x14ac:dyDescent="0.35">
      <c r="A1945" t="s">
        <v>382</v>
      </c>
      <c r="B1945" s="3">
        <v>45057</v>
      </c>
      <c r="C1945" t="s">
        <v>2014</v>
      </c>
      <c r="D1945" t="s">
        <v>2024</v>
      </c>
      <c r="E1945" s="8">
        <v>4840</v>
      </c>
      <c r="F1945">
        <v>9</v>
      </c>
      <c r="G1945">
        <v>10</v>
      </c>
      <c r="H1945" s="8">
        <v>39204</v>
      </c>
      <c r="I1945">
        <v>2489.85</v>
      </c>
      <c r="J1945">
        <v>16795.349999999999</v>
      </c>
      <c r="K1945" s="5">
        <f>IF(SalesData[[#This Row],[Total Revenue]]=0,0,SalesData[[#This Row],[Profit]]/SalesData[[#This Row],[Total Revenue]])</f>
        <v>0.42840909090909085</v>
      </c>
      <c r="L1945" s="5" t="str">
        <f>TEXT(SalesData[[#This Row],[Date]],"mmm")</f>
        <v>May</v>
      </c>
      <c r="M1945">
        <f>YEAR(SalesData[[#This Row],[Date]])</f>
        <v>2023</v>
      </c>
      <c r="N1945">
        <f>WEEKNUM(SalesData[[#This Row],[Date]])</f>
        <v>19</v>
      </c>
      <c r="O1945" t="s">
        <v>2288</v>
      </c>
      <c r="P1945" t="s">
        <v>2522</v>
      </c>
      <c r="Q1945" t="s">
        <v>2525</v>
      </c>
    </row>
    <row r="1946" spans="1:17" x14ac:dyDescent="0.35">
      <c r="A1946" t="s">
        <v>730</v>
      </c>
      <c r="B1946" s="3">
        <v>45230</v>
      </c>
      <c r="C1946" t="s">
        <v>2015</v>
      </c>
      <c r="D1946" t="s">
        <v>2025</v>
      </c>
      <c r="E1946" s="8">
        <v>4850</v>
      </c>
      <c r="F1946">
        <v>9</v>
      </c>
      <c r="G1946">
        <v>10</v>
      </c>
      <c r="H1946" s="8">
        <v>39285</v>
      </c>
      <c r="I1946">
        <v>3294.32</v>
      </c>
      <c r="J1946">
        <v>9636.1</v>
      </c>
      <c r="K1946" s="5">
        <f>IF(SalesData[[#This Row],[Total Revenue]]=0,0,SalesData[[#This Row],[Profit]]/SalesData[[#This Row],[Total Revenue]])</f>
        <v>0.2452870052182767</v>
      </c>
      <c r="L1946" s="5" t="str">
        <f>TEXT(SalesData[[#This Row],[Date]],"mmm")</f>
        <v>Oct</v>
      </c>
      <c r="M1946">
        <f>YEAR(SalesData[[#This Row],[Date]])</f>
        <v>2023</v>
      </c>
      <c r="N1946">
        <f>WEEKNUM(SalesData[[#This Row],[Date]])</f>
        <v>44</v>
      </c>
      <c r="O1946" t="s">
        <v>2276</v>
      </c>
      <c r="P1946" t="s">
        <v>2523</v>
      </c>
      <c r="Q1946" t="s">
        <v>2527</v>
      </c>
    </row>
    <row r="1947" spans="1:17" x14ac:dyDescent="0.35">
      <c r="A1947" t="s">
        <v>585</v>
      </c>
      <c r="B1947" s="3">
        <v>44986</v>
      </c>
      <c r="C1947" t="s">
        <v>2016</v>
      </c>
      <c r="D1947" t="s">
        <v>2025</v>
      </c>
      <c r="E1947" s="8">
        <v>4875</v>
      </c>
      <c r="F1947">
        <v>9</v>
      </c>
      <c r="G1947">
        <v>10</v>
      </c>
      <c r="H1947" s="8">
        <v>39487.5</v>
      </c>
      <c r="I1947">
        <v>3725.04</v>
      </c>
      <c r="J1947">
        <v>5962.14</v>
      </c>
      <c r="K1947" s="5">
        <f>IF(SalesData[[#This Row],[Total Revenue]]=0,0,SalesData[[#This Row],[Profit]]/SalesData[[#This Row],[Total Revenue]])</f>
        <v>0.15098803418803419</v>
      </c>
      <c r="L1947" s="5" t="str">
        <f>TEXT(SalesData[[#This Row],[Date]],"mmm")</f>
        <v>Mar</v>
      </c>
      <c r="M1947">
        <f>YEAR(SalesData[[#This Row],[Date]])</f>
        <v>2023</v>
      </c>
      <c r="N1947">
        <f>WEEKNUM(SalesData[[#This Row],[Date]])</f>
        <v>9</v>
      </c>
      <c r="O1947" t="s">
        <v>2270</v>
      </c>
      <c r="P1947" t="s">
        <v>2522</v>
      </c>
      <c r="Q1947" t="s">
        <v>2527</v>
      </c>
    </row>
    <row r="1948" spans="1:17" x14ac:dyDescent="0.35">
      <c r="A1948" t="s">
        <v>1694</v>
      </c>
      <c r="B1948" s="3">
        <v>45080</v>
      </c>
      <c r="C1948" t="s">
        <v>2022</v>
      </c>
      <c r="D1948" t="s">
        <v>2024</v>
      </c>
      <c r="E1948" s="8">
        <v>4941</v>
      </c>
      <c r="F1948">
        <v>8</v>
      </c>
      <c r="G1948">
        <v>0</v>
      </c>
      <c r="H1948" s="8">
        <v>39528</v>
      </c>
      <c r="I1948">
        <v>2482.9899999999998</v>
      </c>
      <c r="J1948">
        <v>19664.11</v>
      </c>
      <c r="K1948" s="5">
        <f>IF(SalesData[[#This Row],[Total Revenue]]=0,0,SalesData[[#This Row],[Profit]]/SalesData[[#This Row],[Total Revenue]])</f>
        <v>0.49747293058085407</v>
      </c>
      <c r="L1948" s="5" t="str">
        <f>TEXT(SalesData[[#This Row],[Date]],"mmm")</f>
        <v>Jun</v>
      </c>
      <c r="M1948">
        <f>YEAR(SalesData[[#This Row],[Date]])</f>
        <v>2023</v>
      </c>
      <c r="N1948">
        <f>WEEKNUM(SalesData[[#This Row],[Date]])</f>
        <v>22</v>
      </c>
      <c r="O1948" t="s">
        <v>2364</v>
      </c>
      <c r="P1948" t="s">
        <v>2523</v>
      </c>
      <c r="Q1948" t="s">
        <v>2524</v>
      </c>
    </row>
    <row r="1949" spans="1:17" x14ac:dyDescent="0.35">
      <c r="A1949" t="s">
        <v>1163</v>
      </c>
      <c r="B1949" s="3">
        <v>45219</v>
      </c>
      <c r="C1949" t="s">
        <v>2013</v>
      </c>
      <c r="D1949" t="s">
        <v>2023</v>
      </c>
      <c r="E1949" s="8">
        <v>3957</v>
      </c>
      <c r="F1949">
        <v>10</v>
      </c>
      <c r="G1949">
        <v>0</v>
      </c>
      <c r="H1949" s="8">
        <v>39570</v>
      </c>
      <c r="I1949">
        <v>2775.47</v>
      </c>
      <c r="J1949">
        <v>11815.3</v>
      </c>
      <c r="K1949" s="5">
        <f>IF(SalesData[[#This Row],[Total Revenue]]=0,0,SalesData[[#This Row],[Profit]]/SalesData[[#This Row],[Total Revenue]])</f>
        <v>0.29859236795552185</v>
      </c>
      <c r="L1949" s="5" t="str">
        <f>TEXT(SalesData[[#This Row],[Date]],"mmm")</f>
        <v>Oct</v>
      </c>
      <c r="M1949">
        <f>YEAR(SalesData[[#This Row],[Date]])</f>
        <v>2023</v>
      </c>
      <c r="N1949">
        <f>WEEKNUM(SalesData[[#This Row],[Date]])</f>
        <v>42</v>
      </c>
      <c r="O1949" t="s">
        <v>2266</v>
      </c>
      <c r="P1949" t="s">
        <v>2523</v>
      </c>
      <c r="Q1949" t="s">
        <v>2526</v>
      </c>
    </row>
    <row r="1950" spans="1:17" x14ac:dyDescent="0.35">
      <c r="A1950" t="s">
        <v>45</v>
      </c>
      <c r="B1950" s="3">
        <v>44959</v>
      </c>
      <c r="C1950" t="s">
        <v>2014</v>
      </c>
      <c r="D1950" t="s">
        <v>2024</v>
      </c>
      <c r="E1950" s="8">
        <v>4954</v>
      </c>
      <c r="F1950">
        <v>8</v>
      </c>
      <c r="G1950">
        <v>0</v>
      </c>
      <c r="H1950" s="8">
        <v>39632</v>
      </c>
      <c r="I1950">
        <v>2535.12</v>
      </c>
      <c r="J1950">
        <v>19351.009999999998</v>
      </c>
      <c r="K1950" s="5">
        <f>IF(SalesData[[#This Row],[Total Revenue]]=0,0,SalesData[[#This Row],[Profit]]/SalesData[[#This Row],[Total Revenue]])</f>
        <v>0.48826730924505446</v>
      </c>
      <c r="L1950" s="5" t="str">
        <f>TEXT(SalesData[[#This Row],[Date]],"mmm")</f>
        <v>Feb</v>
      </c>
      <c r="M1950">
        <f>YEAR(SalesData[[#This Row],[Date]])</f>
        <v>2023</v>
      </c>
      <c r="N1950">
        <f>WEEKNUM(SalesData[[#This Row],[Date]])</f>
        <v>5</v>
      </c>
      <c r="O1950" t="s">
        <v>2058</v>
      </c>
      <c r="P1950" t="s">
        <v>2522</v>
      </c>
      <c r="Q1950" t="s">
        <v>2525</v>
      </c>
    </row>
    <row r="1951" spans="1:17" x14ac:dyDescent="0.35">
      <c r="A1951" t="s">
        <v>888</v>
      </c>
      <c r="B1951" s="3">
        <v>45197</v>
      </c>
      <c r="C1951" t="s">
        <v>2014</v>
      </c>
      <c r="D1951" t="s">
        <v>2024</v>
      </c>
      <c r="E1951" s="8">
        <v>4897</v>
      </c>
      <c r="F1951">
        <v>9</v>
      </c>
      <c r="G1951">
        <v>10</v>
      </c>
      <c r="H1951" s="8">
        <v>39665.699999999997</v>
      </c>
      <c r="I1951">
        <v>3057.98</v>
      </c>
      <c r="J1951">
        <v>12143.84</v>
      </c>
      <c r="K1951" s="5">
        <f>IF(SalesData[[#This Row],[Total Revenue]]=0,0,SalesData[[#This Row],[Profit]]/SalesData[[#This Row],[Total Revenue]])</f>
        <v>0.30615468780331623</v>
      </c>
      <c r="L1951" s="5" t="str">
        <f>TEXT(SalesData[[#This Row],[Date]],"mmm")</f>
        <v>Sep</v>
      </c>
      <c r="M1951">
        <f>YEAR(SalesData[[#This Row],[Date]])</f>
        <v>2023</v>
      </c>
      <c r="N1951">
        <f>WEEKNUM(SalesData[[#This Row],[Date]])</f>
        <v>39</v>
      </c>
      <c r="O1951" t="s">
        <v>2081</v>
      </c>
      <c r="P1951" t="s">
        <v>2523</v>
      </c>
      <c r="Q1951" t="s">
        <v>2527</v>
      </c>
    </row>
    <row r="1952" spans="1:17" x14ac:dyDescent="0.35">
      <c r="A1952" t="s">
        <v>483</v>
      </c>
      <c r="B1952" s="3">
        <v>45208</v>
      </c>
      <c r="C1952" t="s">
        <v>2015</v>
      </c>
      <c r="D1952" t="s">
        <v>2025</v>
      </c>
      <c r="E1952" s="8">
        <v>4665</v>
      </c>
      <c r="F1952">
        <v>9</v>
      </c>
      <c r="G1952">
        <v>5</v>
      </c>
      <c r="H1952" s="8">
        <v>39885.75</v>
      </c>
      <c r="I1952">
        <v>3641.22</v>
      </c>
      <c r="J1952">
        <v>7114.8</v>
      </c>
      <c r="K1952" s="5">
        <f>IF(SalesData[[#This Row],[Total Revenue]]=0,0,SalesData[[#This Row],[Profit]]/SalesData[[#This Row],[Total Revenue]])</f>
        <v>0.17837949643669732</v>
      </c>
      <c r="L1952" s="5" t="str">
        <f>TEXT(SalesData[[#This Row],[Date]],"mmm")</f>
        <v>Oct</v>
      </c>
      <c r="M1952">
        <f>YEAR(SalesData[[#This Row],[Date]])</f>
        <v>2023</v>
      </c>
      <c r="N1952">
        <f>WEEKNUM(SalesData[[#This Row],[Date]])</f>
        <v>41</v>
      </c>
      <c r="O1952" t="s">
        <v>2329</v>
      </c>
      <c r="P1952" t="s">
        <v>2523</v>
      </c>
      <c r="Q1952" t="s">
        <v>2526</v>
      </c>
    </row>
    <row r="1953" spans="1:17" x14ac:dyDescent="0.35">
      <c r="A1953" t="s">
        <v>548</v>
      </c>
      <c r="B1953" s="3">
        <v>45038</v>
      </c>
      <c r="C1953" t="s">
        <v>2013</v>
      </c>
      <c r="D1953" t="s">
        <v>2023</v>
      </c>
      <c r="E1953" s="8">
        <v>4207</v>
      </c>
      <c r="F1953">
        <v>10</v>
      </c>
      <c r="G1953">
        <v>5</v>
      </c>
      <c r="H1953" s="8">
        <v>39966.5</v>
      </c>
      <c r="I1953">
        <v>3078.49</v>
      </c>
      <c r="J1953">
        <v>9181.64</v>
      </c>
      <c r="K1953" s="5">
        <f>IF(SalesData[[#This Row],[Total Revenue]]=0,0,SalesData[[#This Row],[Profit]]/SalesData[[#This Row],[Total Revenue]])</f>
        <v>0.2297334017239438</v>
      </c>
      <c r="L1953" s="5" t="str">
        <f>TEXT(SalesData[[#This Row],[Date]],"mmm")</f>
        <v>Apr</v>
      </c>
      <c r="M1953">
        <f>YEAR(SalesData[[#This Row],[Date]])</f>
        <v>2023</v>
      </c>
      <c r="N1953">
        <f>WEEKNUM(SalesData[[#This Row],[Date]])</f>
        <v>16</v>
      </c>
      <c r="O1953" t="s">
        <v>2353</v>
      </c>
      <c r="P1953" t="s">
        <v>2522</v>
      </c>
      <c r="Q1953" t="s">
        <v>2525</v>
      </c>
    </row>
    <row r="1954" spans="1:17" x14ac:dyDescent="0.35">
      <c r="A1954" t="s">
        <v>627</v>
      </c>
      <c r="B1954" s="3">
        <v>44937</v>
      </c>
      <c r="C1954" t="s">
        <v>2019</v>
      </c>
      <c r="D1954" t="s">
        <v>2027</v>
      </c>
      <c r="E1954" s="8">
        <v>4708</v>
      </c>
      <c r="F1954">
        <v>10</v>
      </c>
      <c r="G1954">
        <v>15</v>
      </c>
      <c r="H1954" s="8">
        <v>40018</v>
      </c>
      <c r="I1954">
        <v>3321.97</v>
      </c>
      <c r="J1954">
        <v>6798.33</v>
      </c>
      <c r="K1954" s="5">
        <f>IF(SalesData[[#This Row],[Total Revenue]]=0,0,SalesData[[#This Row],[Profit]]/SalesData[[#This Row],[Total Revenue]])</f>
        <v>0.16988180318856513</v>
      </c>
      <c r="L1954" s="5" t="str">
        <f>TEXT(SalesData[[#This Row],[Date]],"mmm")</f>
        <v>Jan</v>
      </c>
      <c r="M1954">
        <f>YEAR(SalesData[[#This Row],[Date]])</f>
        <v>2023</v>
      </c>
      <c r="N1954">
        <f>WEEKNUM(SalesData[[#This Row],[Date]])</f>
        <v>2</v>
      </c>
      <c r="O1954" t="s">
        <v>2036</v>
      </c>
      <c r="P1954" t="s">
        <v>2523</v>
      </c>
      <c r="Q1954" t="s">
        <v>2525</v>
      </c>
    </row>
    <row r="1955" spans="1:17" x14ac:dyDescent="0.35">
      <c r="A1955" t="s">
        <v>317</v>
      </c>
      <c r="B1955" s="3">
        <v>45267</v>
      </c>
      <c r="C1955" t="s">
        <v>2014</v>
      </c>
      <c r="D1955" t="s">
        <v>2024</v>
      </c>
      <c r="E1955" s="8">
        <v>4462</v>
      </c>
      <c r="F1955">
        <v>10</v>
      </c>
      <c r="G1955">
        <v>10</v>
      </c>
      <c r="H1955" s="8">
        <v>40158</v>
      </c>
      <c r="I1955">
        <v>3258.01</v>
      </c>
      <c r="J1955">
        <v>7577.86</v>
      </c>
      <c r="K1955" s="5">
        <f>IF(SalesData[[#This Row],[Total Revenue]]=0,0,SalesData[[#This Row],[Profit]]/SalesData[[#This Row],[Total Revenue]])</f>
        <v>0.18870113053438917</v>
      </c>
      <c r="L1955" s="5" t="str">
        <f>TEXT(SalesData[[#This Row],[Date]],"mmm")</f>
        <v>Dec</v>
      </c>
      <c r="M1955">
        <f>YEAR(SalesData[[#This Row],[Date]])</f>
        <v>2023</v>
      </c>
      <c r="N1955">
        <f>WEEKNUM(SalesData[[#This Row],[Date]])</f>
        <v>49</v>
      </c>
      <c r="O1955" t="s">
        <v>2097</v>
      </c>
      <c r="P1955" t="s">
        <v>2523</v>
      </c>
      <c r="Q1955" t="s">
        <v>2527</v>
      </c>
    </row>
    <row r="1956" spans="1:17" x14ac:dyDescent="0.35">
      <c r="A1956" t="s">
        <v>915</v>
      </c>
      <c r="B1956" s="3">
        <v>45210</v>
      </c>
      <c r="C1956" t="s">
        <v>2014</v>
      </c>
      <c r="D1956" t="s">
        <v>2024</v>
      </c>
      <c r="E1956" s="8">
        <v>4959</v>
      </c>
      <c r="F1956">
        <v>9</v>
      </c>
      <c r="G1956">
        <v>10</v>
      </c>
      <c r="H1956" s="8">
        <v>40167.9</v>
      </c>
      <c r="I1956">
        <v>3045.39</v>
      </c>
      <c r="J1956">
        <v>12759.4</v>
      </c>
      <c r="K1956" s="5">
        <f>IF(SalesData[[#This Row],[Total Revenue]]=0,0,SalesData[[#This Row],[Profit]]/SalesData[[#This Row],[Total Revenue]])</f>
        <v>0.31765165716903299</v>
      </c>
      <c r="L1956" s="5" t="str">
        <f>TEXT(SalesData[[#This Row],[Date]],"mmm")</f>
        <v>Oct</v>
      </c>
      <c r="M1956">
        <f>YEAR(SalesData[[#This Row],[Date]])</f>
        <v>2023</v>
      </c>
      <c r="N1956">
        <f>WEEKNUM(SalesData[[#This Row],[Date]])</f>
        <v>41</v>
      </c>
      <c r="O1956" t="s">
        <v>2268</v>
      </c>
      <c r="P1956" t="s">
        <v>2523</v>
      </c>
      <c r="Q1956" t="s">
        <v>2526</v>
      </c>
    </row>
    <row r="1957" spans="1:17" x14ac:dyDescent="0.35">
      <c r="A1957" t="s">
        <v>1106</v>
      </c>
      <c r="B1957" s="3">
        <v>45084</v>
      </c>
      <c r="C1957" t="s">
        <v>2020</v>
      </c>
      <c r="D1957" t="s">
        <v>2028</v>
      </c>
      <c r="E1957" s="8">
        <v>4018</v>
      </c>
      <c r="F1957">
        <v>10</v>
      </c>
      <c r="G1957">
        <v>0</v>
      </c>
      <c r="H1957" s="8">
        <v>40180</v>
      </c>
      <c r="I1957">
        <v>2625.98</v>
      </c>
      <c r="J1957">
        <v>13920.15</v>
      </c>
      <c r="K1957" s="5">
        <f>IF(SalesData[[#This Row],[Total Revenue]]=0,0,SalesData[[#This Row],[Profit]]/SalesData[[#This Row],[Total Revenue]])</f>
        <v>0.34644474863115976</v>
      </c>
      <c r="L1957" s="5" t="str">
        <f>TEXT(SalesData[[#This Row],[Date]],"mmm")</f>
        <v>Jun</v>
      </c>
      <c r="M1957">
        <f>YEAR(SalesData[[#This Row],[Date]])</f>
        <v>2023</v>
      </c>
      <c r="N1957">
        <f>WEEKNUM(SalesData[[#This Row],[Date]])</f>
        <v>23</v>
      </c>
      <c r="O1957" t="s">
        <v>2254</v>
      </c>
      <c r="P1957" t="s">
        <v>2522</v>
      </c>
      <c r="Q1957" t="s">
        <v>2527</v>
      </c>
    </row>
    <row r="1958" spans="1:17" x14ac:dyDescent="0.35">
      <c r="A1958" t="s">
        <v>157</v>
      </c>
      <c r="B1958" s="3">
        <v>45158</v>
      </c>
      <c r="C1958" t="s">
        <v>2014</v>
      </c>
      <c r="D1958" t="s">
        <v>2024</v>
      </c>
      <c r="E1958" s="8">
        <v>4231</v>
      </c>
      <c r="F1958">
        <v>10</v>
      </c>
      <c r="G1958">
        <v>5</v>
      </c>
      <c r="H1958" s="8">
        <v>40194.5</v>
      </c>
      <c r="I1958">
        <v>3060.66</v>
      </c>
      <c r="J1958">
        <v>9587.8700000000008</v>
      </c>
      <c r="K1958" s="5">
        <f>IF(SalesData[[#This Row],[Total Revenue]]=0,0,SalesData[[#This Row],[Profit]]/SalesData[[#This Row],[Total Revenue]])</f>
        <v>0.23853686449638634</v>
      </c>
      <c r="L1958" s="5" t="str">
        <f>TEXT(SalesData[[#This Row],[Date]],"mmm")</f>
        <v>Aug</v>
      </c>
      <c r="M1958">
        <f>YEAR(SalesData[[#This Row],[Date]])</f>
        <v>2023</v>
      </c>
      <c r="N1958">
        <f>WEEKNUM(SalesData[[#This Row],[Date]])</f>
        <v>34</v>
      </c>
      <c r="O1958" t="s">
        <v>2099</v>
      </c>
      <c r="P1958" t="s">
        <v>2523</v>
      </c>
      <c r="Q1958" t="s">
        <v>2527</v>
      </c>
    </row>
    <row r="1959" spans="1:17" x14ac:dyDescent="0.35">
      <c r="A1959" t="s">
        <v>937</v>
      </c>
      <c r="B1959" s="3">
        <v>45043</v>
      </c>
      <c r="C1959" t="s">
        <v>2021</v>
      </c>
      <c r="D1959" t="s">
        <v>2028</v>
      </c>
      <c r="E1959" s="8">
        <v>4997</v>
      </c>
      <c r="F1959">
        <v>9</v>
      </c>
      <c r="G1959">
        <v>10</v>
      </c>
      <c r="H1959" s="8">
        <v>40475.699999999997</v>
      </c>
      <c r="I1959">
        <v>3253.56</v>
      </c>
      <c r="J1959">
        <v>11193.67</v>
      </c>
      <c r="K1959" s="5">
        <f>IF(SalesData[[#This Row],[Total Revenue]]=0,0,SalesData[[#This Row],[Profit]]/SalesData[[#This Row],[Total Revenue]])</f>
        <v>0.27655284528741941</v>
      </c>
      <c r="L1959" s="5" t="str">
        <f>TEXT(SalesData[[#This Row],[Date]],"mmm")</f>
        <v>Apr</v>
      </c>
      <c r="M1959">
        <f>YEAR(SalesData[[#This Row],[Date]])</f>
        <v>2023</v>
      </c>
      <c r="N1959">
        <f>WEEKNUM(SalesData[[#This Row],[Date]])</f>
        <v>17</v>
      </c>
      <c r="O1959" t="s">
        <v>2446</v>
      </c>
      <c r="P1959" t="s">
        <v>2523</v>
      </c>
      <c r="Q1959" t="s">
        <v>2525</v>
      </c>
    </row>
    <row r="1960" spans="1:17" x14ac:dyDescent="0.35">
      <c r="A1960" t="s">
        <v>1976</v>
      </c>
      <c r="B1960" s="3">
        <v>44968</v>
      </c>
      <c r="C1960" t="s">
        <v>2021</v>
      </c>
      <c r="D1960" t="s">
        <v>2028</v>
      </c>
      <c r="E1960" s="8">
        <v>4775</v>
      </c>
      <c r="F1960">
        <v>9</v>
      </c>
      <c r="G1960">
        <v>5</v>
      </c>
      <c r="H1960" s="8">
        <v>40826.25</v>
      </c>
      <c r="I1960">
        <v>3045.76</v>
      </c>
      <c r="J1960">
        <v>13414.44</v>
      </c>
      <c r="K1960" s="5">
        <f>IF(SalesData[[#This Row],[Total Revenue]]=0,0,SalesData[[#This Row],[Profit]]/SalesData[[#This Row],[Total Revenue]])</f>
        <v>0.32857389547166349</v>
      </c>
      <c r="L1960" s="5" t="str">
        <f>TEXT(SalesData[[#This Row],[Date]],"mmm")</f>
        <v>Feb</v>
      </c>
      <c r="M1960">
        <f>YEAR(SalesData[[#This Row],[Date]])</f>
        <v>2023</v>
      </c>
      <c r="N1960">
        <f>WEEKNUM(SalesData[[#This Row],[Date]])</f>
        <v>6</v>
      </c>
      <c r="O1960" t="s">
        <v>2252</v>
      </c>
      <c r="P1960" t="s">
        <v>2522</v>
      </c>
      <c r="Q1960" t="s">
        <v>2525</v>
      </c>
    </row>
    <row r="1961" spans="1:17" x14ac:dyDescent="0.35">
      <c r="A1961" t="s">
        <v>721</v>
      </c>
      <c r="B1961" s="3">
        <v>45096</v>
      </c>
      <c r="C1961" t="s">
        <v>2020</v>
      </c>
      <c r="D1961" t="s">
        <v>2028</v>
      </c>
      <c r="E1961" s="8">
        <v>4570</v>
      </c>
      <c r="F1961">
        <v>10</v>
      </c>
      <c r="G1961">
        <v>10</v>
      </c>
      <c r="H1961" s="8">
        <v>41130</v>
      </c>
      <c r="I1961">
        <v>2391.4299999999998</v>
      </c>
      <c r="J1961">
        <v>17215.689999999999</v>
      </c>
      <c r="K1961" s="5">
        <f>IF(SalesData[[#This Row],[Total Revenue]]=0,0,SalesData[[#This Row],[Profit]]/SalesData[[#This Row],[Total Revenue]])</f>
        <v>0.41856771213226351</v>
      </c>
      <c r="L1961" s="5" t="str">
        <f>TEXT(SalesData[[#This Row],[Date]],"mmm")</f>
        <v>Jun</v>
      </c>
      <c r="M1961">
        <f>YEAR(SalesData[[#This Row],[Date]])</f>
        <v>2023</v>
      </c>
      <c r="N1961">
        <f>WEEKNUM(SalesData[[#This Row],[Date]])</f>
        <v>25</v>
      </c>
      <c r="O1961" t="s">
        <v>2398</v>
      </c>
      <c r="P1961" t="s">
        <v>2522</v>
      </c>
      <c r="Q1961" t="s">
        <v>2527</v>
      </c>
    </row>
    <row r="1962" spans="1:17" x14ac:dyDescent="0.35">
      <c r="A1962" t="s">
        <v>507</v>
      </c>
      <c r="B1962" s="3">
        <v>45013</v>
      </c>
      <c r="C1962" t="s">
        <v>2013</v>
      </c>
      <c r="D1962" t="s">
        <v>2023</v>
      </c>
      <c r="E1962" s="8">
        <v>4812</v>
      </c>
      <c r="F1962">
        <v>9</v>
      </c>
      <c r="G1962">
        <v>5</v>
      </c>
      <c r="H1962" s="8">
        <v>41142.6</v>
      </c>
      <c r="I1962">
        <v>2658.31</v>
      </c>
      <c r="J1962">
        <v>17217.77</v>
      </c>
      <c r="K1962" s="5">
        <f>IF(SalesData[[#This Row],[Total Revenue]]=0,0,SalesData[[#This Row],[Profit]]/SalesData[[#This Row],[Total Revenue]])</f>
        <v>0.41849008084078304</v>
      </c>
      <c r="L1962" s="5" t="str">
        <f>TEXT(SalesData[[#This Row],[Date]],"mmm")</f>
        <v>Mar</v>
      </c>
      <c r="M1962">
        <f>YEAR(SalesData[[#This Row],[Date]])</f>
        <v>2023</v>
      </c>
      <c r="N1962">
        <f>WEEKNUM(SalesData[[#This Row],[Date]])</f>
        <v>13</v>
      </c>
      <c r="O1962" t="s">
        <v>2040</v>
      </c>
      <c r="P1962" t="s">
        <v>2522</v>
      </c>
      <c r="Q1962" t="s">
        <v>2524</v>
      </c>
    </row>
    <row r="1963" spans="1:17" x14ac:dyDescent="0.35">
      <c r="A1963" t="s">
        <v>311</v>
      </c>
      <c r="B1963" s="3">
        <v>45013</v>
      </c>
      <c r="C1963" t="s">
        <v>2018</v>
      </c>
      <c r="D1963" t="s">
        <v>2026</v>
      </c>
      <c r="E1963" s="8">
        <v>4351</v>
      </c>
      <c r="F1963">
        <v>10</v>
      </c>
      <c r="G1963">
        <v>5</v>
      </c>
      <c r="H1963" s="8">
        <v>41334.5</v>
      </c>
      <c r="I1963">
        <v>2759.88</v>
      </c>
      <c r="J1963">
        <v>13735.67</v>
      </c>
      <c r="K1963" s="5">
        <f>IF(SalesData[[#This Row],[Total Revenue]]=0,0,SalesData[[#This Row],[Profit]]/SalesData[[#This Row],[Total Revenue]])</f>
        <v>0.33230521719145023</v>
      </c>
      <c r="L1963" s="5" t="str">
        <f>TEXT(SalesData[[#This Row],[Date]],"mmm")</f>
        <v>Mar</v>
      </c>
      <c r="M1963">
        <f>YEAR(SalesData[[#This Row],[Date]])</f>
        <v>2023</v>
      </c>
      <c r="N1963">
        <f>WEEKNUM(SalesData[[#This Row],[Date]])</f>
        <v>13</v>
      </c>
      <c r="O1963" t="s">
        <v>2252</v>
      </c>
      <c r="P1963" t="s">
        <v>2523</v>
      </c>
      <c r="Q1963" t="s">
        <v>2526</v>
      </c>
    </row>
    <row r="1964" spans="1:17" x14ac:dyDescent="0.35">
      <c r="A1964" t="s">
        <v>170</v>
      </c>
      <c r="B1964" s="3">
        <v>45242</v>
      </c>
      <c r="C1964" t="s">
        <v>2017</v>
      </c>
      <c r="D1964" t="s">
        <v>2026</v>
      </c>
      <c r="E1964" s="8">
        <v>4595</v>
      </c>
      <c r="F1964">
        <v>10</v>
      </c>
      <c r="G1964">
        <v>10</v>
      </c>
      <c r="H1964" s="8">
        <v>41355</v>
      </c>
      <c r="I1964">
        <v>3511.42</v>
      </c>
      <c r="J1964">
        <v>6240.81</v>
      </c>
      <c r="K1964" s="5">
        <f>IF(SalesData[[#This Row],[Total Revenue]]=0,0,SalesData[[#This Row],[Profit]]/SalesData[[#This Row],[Total Revenue]])</f>
        <v>0.15090823358723252</v>
      </c>
      <c r="L1964" s="5" t="str">
        <f>TEXT(SalesData[[#This Row],[Date]],"mmm")</f>
        <v>Nov</v>
      </c>
      <c r="M1964">
        <f>YEAR(SalesData[[#This Row],[Date]])</f>
        <v>2023</v>
      </c>
      <c r="N1964">
        <f>WEEKNUM(SalesData[[#This Row],[Date]])</f>
        <v>46</v>
      </c>
      <c r="O1964" t="s">
        <v>2030</v>
      </c>
      <c r="P1964" t="s">
        <v>2523</v>
      </c>
      <c r="Q1964" t="s">
        <v>2527</v>
      </c>
    </row>
    <row r="1965" spans="1:17" x14ac:dyDescent="0.35">
      <c r="A1965" t="s">
        <v>1800</v>
      </c>
      <c r="B1965" s="3">
        <v>45107</v>
      </c>
      <c r="C1965" t="s">
        <v>2014</v>
      </c>
      <c r="D1965" t="s">
        <v>2024</v>
      </c>
      <c r="E1965" s="8">
        <v>4847</v>
      </c>
      <c r="F1965">
        <v>9</v>
      </c>
      <c r="G1965">
        <v>5</v>
      </c>
      <c r="H1965" s="8">
        <v>41441.85</v>
      </c>
      <c r="I1965">
        <v>3705.99</v>
      </c>
      <c r="J1965">
        <v>8087.9</v>
      </c>
      <c r="K1965" s="5">
        <f>IF(SalesData[[#This Row],[Total Revenue]]=0,0,SalesData[[#This Row],[Profit]]/SalesData[[#This Row],[Total Revenue]])</f>
        <v>0.19516261942939322</v>
      </c>
      <c r="L1965" s="5" t="str">
        <f>TEXT(SalesData[[#This Row],[Date]],"mmm")</f>
        <v>Jun</v>
      </c>
      <c r="M1965">
        <f>YEAR(SalesData[[#This Row],[Date]])</f>
        <v>2023</v>
      </c>
      <c r="N1965">
        <f>WEEKNUM(SalesData[[#This Row],[Date]])</f>
        <v>26</v>
      </c>
      <c r="O1965" t="s">
        <v>2234</v>
      </c>
      <c r="P1965" t="s">
        <v>2522</v>
      </c>
      <c r="Q1965" t="s">
        <v>2526</v>
      </c>
    </row>
    <row r="1966" spans="1:17" x14ac:dyDescent="0.35">
      <c r="A1966" t="s">
        <v>1195</v>
      </c>
      <c r="B1966" s="3">
        <v>45282</v>
      </c>
      <c r="C1966" t="s">
        <v>2014</v>
      </c>
      <c r="D1966" t="s">
        <v>2024</v>
      </c>
      <c r="E1966" s="8">
        <v>4892</v>
      </c>
      <c r="F1966">
        <v>10</v>
      </c>
      <c r="G1966">
        <v>15</v>
      </c>
      <c r="H1966" s="8">
        <v>41582</v>
      </c>
      <c r="I1966">
        <v>3029.45</v>
      </c>
      <c r="J1966">
        <v>11287.5</v>
      </c>
      <c r="K1966" s="5">
        <f>IF(SalesData[[#This Row],[Total Revenue]]=0,0,SalesData[[#This Row],[Profit]]/SalesData[[#This Row],[Total Revenue]])</f>
        <v>0.27145158963012844</v>
      </c>
      <c r="L1966" s="5" t="str">
        <f>TEXT(SalesData[[#This Row],[Date]],"mmm")</f>
        <v>Dec</v>
      </c>
      <c r="M1966">
        <f>YEAR(SalesData[[#This Row],[Date]])</f>
        <v>2023</v>
      </c>
      <c r="N1966">
        <f>WEEKNUM(SalesData[[#This Row],[Date]])</f>
        <v>51</v>
      </c>
      <c r="O1966" t="s">
        <v>2050</v>
      </c>
      <c r="P1966" t="s">
        <v>2522</v>
      </c>
      <c r="Q1966" t="s">
        <v>2527</v>
      </c>
    </row>
    <row r="1967" spans="1:17" x14ac:dyDescent="0.35">
      <c r="A1967" t="s">
        <v>1830</v>
      </c>
      <c r="B1967" s="3">
        <v>45130</v>
      </c>
      <c r="C1967" t="s">
        <v>2020</v>
      </c>
      <c r="D1967" t="s">
        <v>2028</v>
      </c>
      <c r="E1967" s="8">
        <v>4897</v>
      </c>
      <c r="F1967">
        <v>10</v>
      </c>
      <c r="G1967">
        <v>15</v>
      </c>
      <c r="H1967" s="8">
        <v>41624.5</v>
      </c>
      <c r="I1967">
        <v>3061.17</v>
      </c>
      <c r="J1967">
        <v>11012.82</v>
      </c>
      <c r="K1967" s="5">
        <f>IF(SalesData[[#This Row],[Total Revenue]]=0,0,SalesData[[#This Row],[Profit]]/SalesData[[#This Row],[Total Revenue]])</f>
        <v>0.26457543033549952</v>
      </c>
      <c r="L1967" s="5" t="str">
        <f>TEXT(SalesData[[#This Row],[Date]],"mmm")</f>
        <v>Jul</v>
      </c>
      <c r="M1967">
        <f>YEAR(SalesData[[#This Row],[Date]])</f>
        <v>2023</v>
      </c>
      <c r="N1967">
        <f>WEEKNUM(SalesData[[#This Row],[Date]])</f>
        <v>30</v>
      </c>
      <c r="O1967" t="s">
        <v>2289</v>
      </c>
      <c r="P1967" t="s">
        <v>2523</v>
      </c>
      <c r="Q1967" t="s">
        <v>2524</v>
      </c>
    </row>
    <row r="1968" spans="1:17" x14ac:dyDescent="0.35">
      <c r="A1968" t="s">
        <v>1831</v>
      </c>
      <c r="B1968" s="3">
        <v>45130</v>
      </c>
      <c r="C1968" t="s">
        <v>2016</v>
      </c>
      <c r="D1968" t="s">
        <v>2025</v>
      </c>
      <c r="E1968" s="8">
        <v>4625</v>
      </c>
      <c r="F1968">
        <v>10</v>
      </c>
      <c r="G1968">
        <v>10</v>
      </c>
      <c r="H1968" s="8">
        <v>41625</v>
      </c>
      <c r="I1968">
        <v>2866.92</v>
      </c>
      <c r="J1968">
        <v>12955.8</v>
      </c>
      <c r="K1968" s="5">
        <f>IF(SalesData[[#This Row],[Total Revenue]]=0,0,SalesData[[#This Row],[Profit]]/SalesData[[#This Row],[Total Revenue]])</f>
        <v>0.31125045045045041</v>
      </c>
      <c r="L1968" s="5" t="str">
        <f>TEXT(SalesData[[#This Row],[Date]],"mmm")</f>
        <v>Jul</v>
      </c>
      <c r="M1968">
        <f>YEAR(SalesData[[#This Row],[Date]])</f>
        <v>2023</v>
      </c>
      <c r="N1968">
        <f>WEEKNUM(SalesData[[#This Row],[Date]])</f>
        <v>30</v>
      </c>
      <c r="O1968" t="s">
        <v>2241</v>
      </c>
      <c r="P1968" t="s">
        <v>2523</v>
      </c>
      <c r="Q1968" t="s">
        <v>2524</v>
      </c>
    </row>
    <row r="1969" spans="1:17" x14ac:dyDescent="0.35">
      <c r="A1969" t="s">
        <v>1601</v>
      </c>
      <c r="B1969" s="3">
        <v>45096</v>
      </c>
      <c r="C1969" t="s">
        <v>2020</v>
      </c>
      <c r="D1969" t="s">
        <v>2028</v>
      </c>
      <c r="E1969" s="8">
        <v>4383</v>
      </c>
      <c r="F1969">
        <v>10</v>
      </c>
      <c r="G1969">
        <v>5</v>
      </c>
      <c r="H1969" s="8">
        <v>41638.5</v>
      </c>
      <c r="I1969">
        <v>2807.69</v>
      </c>
      <c r="J1969">
        <v>13561.62</v>
      </c>
      <c r="K1969" s="5">
        <f>IF(SalesData[[#This Row],[Total Revenue]]=0,0,SalesData[[#This Row],[Profit]]/SalesData[[#This Row],[Total Revenue]])</f>
        <v>0.32569905255953024</v>
      </c>
      <c r="L1969" s="5" t="str">
        <f>TEXT(SalesData[[#This Row],[Date]],"mmm")</f>
        <v>Jun</v>
      </c>
      <c r="M1969">
        <f>YEAR(SalesData[[#This Row],[Date]])</f>
        <v>2023</v>
      </c>
      <c r="N1969">
        <f>WEEKNUM(SalesData[[#This Row],[Date]])</f>
        <v>25</v>
      </c>
      <c r="O1969" t="s">
        <v>2227</v>
      </c>
      <c r="P1969" t="s">
        <v>2522</v>
      </c>
      <c r="Q1969" t="s">
        <v>2526</v>
      </c>
    </row>
    <row r="1970" spans="1:17" x14ac:dyDescent="0.35">
      <c r="A1970" t="s">
        <v>125</v>
      </c>
      <c r="B1970" s="3">
        <v>45227</v>
      </c>
      <c r="C1970" t="s">
        <v>2020</v>
      </c>
      <c r="D1970" t="s">
        <v>2028</v>
      </c>
      <c r="E1970" s="8">
        <v>4177</v>
      </c>
      <c r="F1970">
        <v>10</v>
      </c>
      <c r="G1970">
        <v>0</v>
      </c>
      <c r="H1970" s="8">
        <v>41770</v>
      </c>
      <c r="I1970">
        <v>3034.28</v>
      </c>
      <c r="J1970">
        <v>11427.17</v>
      </c>
      <c r="K1970" s="5">
        <f>IF(SalesData[[#This Row],[Total Revenue]]=0,0,SalesData[[#This Row],[Profit]]/SalesData[[#This Row],[Total Revenue]])</f>
        <v>0.27357361742877662</v>
      </c>
      <c r="L1970" s="5" t="str">
        <f>TEXT(SalesData[[#This Row],[Date]],"mmm")</f>
        <v>Oct</v>
      </c>
      <c r="M1970">
        <f>YEAR(SalesData[[#This Row],[Date]])</f>
        <v>2023</v>
      </c>
      <c r="N1970">
        <f>WEEKNUM(SalesData[[#This Row],[Date]])</f>
        <v>43</v>
      </c>
      <c r="O1970" t="s">
        <v>2129</v>
      </c>
      <c r="P1970" t="s">
        <v>2522</v>
      </c>
      <c r="Q1970" t="s">
        <v>2525</v>
      </c>
    </row>
    <row r="1971" spans="1:17" x14ac:dyDescent="0.35">
      <c r="A1971" t="s">
        <v>1105</v>
      </c>
      <c r="B1971" s="3">
        <v>44927</v>
      </c>
      <c r="C1971" t="s">
        <v>2015</v>
      </c>
      <c r="D1971" t="s">
        <v>2025</v>
      </c>
      <c r="E1971" s="8">
        <v>4642</v>
      </c>
      <c r="F1971">
        <v>10</v>
      </c>
      <c r="G1971">
        <v>10</v>
      </c>
      <c r="H1971" s="8">
        <v>41778</v>
      </c>
      <c r="I1971">
        <v>2805.3</v>
      </c>
      <c r="J1971">
        <v>13724.99</v>
      </c>
      <c r="K1971" s="5">
        <f>IF(SalesData[[#This Row],[Total Revenue]]=0,0,SalesData[[#This Row],[Profit]]/SalesData[[#This Row],[Total Revenue]])</f>
        <v>0.32852194935133322</v>
      </c>
      <c r="L1971" s="5" t="str">
        <f>TEXT(SalesData[[#This Row],[Date]],"mmm")</f>
        <v>Jan</v>
      </c>
      <c r="M1971">
        <f>YEAR(SalesData[[#This Row],[Date]])</f>
        <v>2023</v>
      </c>
      <c r="N1971">
        <f>WEEKNUM(SalesData[[#This Row],[Date]])</f>
        <v>1</v>
      </c>
      <c r="O1971" t="s">
        <v>2316</v>
      </c>
      <c r="P1971" t="s">
        <v>2523</v>
      </c>
      <c r="Q1971" t="s">
        <v>2524</v>
      </c>
    </row>
    <row r="1972" spans="1:17" x14ac:dyDescent="0.35">
      <c r="A1972" t="s">
        <v>1937</v>
      </c>
      <c r="B1972" s="3">
        <v>45025</v>
      </c>
      <c r="C1972" t="s">
        <v>2021</v>
      </c>
      <c r="D1972" t="s">
        <v>2028</v>
      </c>
      <c r="E1972" s="8">
        <v>4182</v>
      </c>
      <c r="F1972">
        <v>10</v>
      </c>
      <c r="G1972">
        <v>0</v>
      </c>
      <c r="H1972" s="8">
        <v>41820</v>
      </c>
      <c r="I1972">
        <v>2610.23</v>
      </c>
      <c r="J1972">
        <v>15717.74</v>
      </c>
      <c r="K1972" s="5">
        <f>IF(SalesData[[#This Row],[Total Revenue]]=0,0,SalesData[[#This Row],[Profit]]/SalesData[[#This Row],[Total Revenue]])</f>
        <v>0.37584265901482544</v>
      </c>
      <c r="L1972" s="5" t="str">
        <f>TEXT(SalesData[[#This Row],[Date]],"mmm")</f>
        <v>Apr</v>
      </c>
      <c r="M1972">
        <f>YEAR(SalesData[[#This Row],[Date]])</f>
        <v>2023</v>
      </c>
      <c r="N1972">
        <f>WEEKNUM(SalesData[[#This Row],[Date]])</f>
        <v>15</v>
      </c>
      <c r="O1972" t="s">
        <v>2410</v>
      </c>
      <c r="P1972" t="s">
        <v>2522</v>
      </c>
      <c r="Q1972" t="s">
        <v>2526</v>
      </c>
    </row>
    <row r="1973" spans="1:17" x14ac:dyDescent="0.35">
      <c r="A1973" t="s">
        <v>993</v>
      </c>
      <c r="B1973" s="3">
        <v>45069</v>
      </c>
      <c r="C1973" t="s">
        <v>2022</v>
      </c>
      <c r="D1973" t="s">
        <v>2024</v>
      </c>
      <c r="E1973" s="8">
        <v>4667</v>
      </c>
      <c r="F1973">
        <v>10</v>
      </c>
      <c r="G1973">
        <v>10</v>
      </c>
      <c r="H1973" s="8">
        <v>42003</v>
      </c>
      <c r="I1973">
        <v>2843.66</v>
      </c>
      <c r="J1973">
        <v>13566.44</v>
      </c>
      <c r="K1973" s="5">
        <f>IF(SalesData[[#This Row],[Total Revenue]]=0,0,SalesData[[#This Row],[Profit]]/SalesData[[#This Row],[Total Revenue]])</f>
        <v>0.32298740566150036</v>
      </c>
      <c r="L1973" s="5" t="str">
        <f>TEXT(SalesData[[#This Row],[Date]],"mmm")</f>
        <v>May</v>
      </c>
      <c r="M1973">
        <f>YEAR(SalesData[[#This Row],[Date]])</f>
        <v>2023</v>
      </c>
      <c r="N1973">
        <f>WEEKNUM(SalesData[[#This Row],[Date]])</f>
        <v>21</v>
      </c>
      <c r="O1973" t="s">
        <v>2454</v>
      </c>
      <c r="P1973" t="s">
        <v>2522</v>
      </c>
      <c r="Q1973" t="s">
        <v>2527</v>
      </c>
    </row>
    <row r="1974" spans="1:17" x14ac:dyDescent="0.35">
      <c r="A1974" t="s">
        <v>1688</v>
      </c>
      <c r="B1974" s="3">
        <v>45031</v>
      </c>
      <c r="C1974" t="s">
        <v>2014</v>
      </c>
      <c r="D1974" t="s">
        <v>2024</v>
      </c>
      <c r="E1974" s="8">
        <v>4213</v>
      </c>
      <c r="F1974">
        <v>10</v>
      </c>
      <c r="G1974">
        <v>0</v>
      </c>
      <c r="H1974" s="8">
        <v>42130</v>
      </c>
      <c r="I1974">
        <v>3089.38</v>
      </c>
      <c r="J1974">
        <v>11236.23</v>
      </c>
      <c r="K1974" s="5">
        <f>IF(SalesData[[#This Row],[Total Revenue]]=0,0,SalesData[[#This Row],[Profit]]/SalesData[[#This Row],[Total Revenue]])</f>
        <v>0.26670377403275575</v>
      </c>
      <c r="L1974" s="5" t="str">
        <f>TEXT(SalesData[[#This Row],[Date]],"mmm")</f>
        <v>Apr</v>
      </c>
      <c r="M1974">
        <f>YEAR(SalesData[[#This Row],[Date]])</f>
        <v>2023</v>
      </c>
      <c r="N1974">
        <f>WEEKNUM(SalesData[[#This Row],[Date]])</f>
        <v>15</v>
      </c>
      <c r="O1974" t="s">
        <v>2222</v>
      </c>
      <c r="P1974" t="s">
        <v>2523</v>
      </c>
      <c r="Q1974" t="s">
        <v>2524</v>
      </c>
    </row>
    <row r="1975" spans="1:17" x14ac:dyDescent="0.35">
      <c r="A1975" t="s">
        <v>1188</v>
      </c>
      <c r="B1975" s="3">
        <v>45221</v>
      </c>
      <c r="C1975" t="s">
        <v>2019</v>
      </c>
      <c r="D1975" t="s">
        <v>2027</v>
      </c>
      <c r="E1975" s="8">
        <v>4229</v>
      </c>
      <c r="F1975">
        <v>10</v>
      </c>
      <c r="G1975">
        <v>0</v>
      </c>
      <c r="H1975" s="8">
        <v>42290</v>
      </c>
      <c r="I1975">
        <v>2646.78</v>
      </c>
      <c r="J1975">
        <v>15822.21</v>
      </c>
      <c r="K1975" s="5">
        <f>IF(SalesData[[#This Row],[Total Revenue]]=0,0,SalesData[[#This Row],[Profit]]/SalesData[[#This Row],[Total Revenue]])</f>
        <v>0.37413596594939702</v>
      </c>
      <c r="L1975" s="5" t="str">
        <f>TEXT(SalesData[[#This Row],[Date]],"mmm")</f>
        <v>Oct</v>
      </c>
      <c r="M1975">
        <f>YEAR(SalesData[[#This Row],[Date]])</f>
        <v>2023</v>
      </c>
      <c r="N1975">
        <f>WEEKNUM(SalesData[[#This Row],[Date]])</f>
        <v>43</v>
      </c>
      <c r="O1975" t="s">
        <v>2222</v>
      </c>
      <c r="P1975" t="s">
        <v>2522</v>
      </c>
      <c r="Q1975" t="s">
        <v>2526</v>
      </c>
    </row>
    <row r="1976" spans="1:17" x14ac:dyDescent="0.35">
      <c r="A1976" t="s">
        <v>1577</v>
      </c>
      <c r="B1976" s="3">
        <v>45279</v>
      </c>
      <c r="C1976" t="s">
        <v>2017</v>
      </c>
      <c r="D1976" t="s">
        <v>2026</v>
      </c>
      <c r="E1976" s="8">
        <v>4509</v>
      </c>
      <c r="F1976">
        <v>10</v>
      </c>
      <c r="G1976">
        <v>5</v>
      </c>
      <c r="H1976" s="8">
        <v>42835.5</v>
      </c>
      <c r="I1976">
        <v>2742.05</v>
      </c>
      <c r="J1976">
        <v>15414.99</v>
      </c>
      <c r="K1976" s="5">
        <f>IF(SalesData[[#This Row],[Total Revenue]]=0,0,SalesData[[#This Row],[Profit]]/SalesData[[#This Row],[Total Revenue]])</f>
        <v>0.3598648317400287</v>
      </c>
      <c r="L1976" s="5" t="str">
        <f>TEXT(SalesData[[#This Row],[Date]],"mmm")</f>
        <v>Dec</v>
      </c>
      <c r="M1976">
        <f>YEAR(SalesData[[#This Row],[Date]])</f>
        <v>2023</v>
      </c>
      <c r="N1976">
        <f>WEEKNUM(SalesData[[#This Row],[Date]])</f>
        <v>51</v>
      </c>
      <c r="O1976" t="s">
        <v>2189</v>
      </c>
      <c r="P1976" t="s">
        <v>2523</v>
      </c>
      <c r="Q1976" t="s">
        <v>2525</v>
      </c>
    </row>
    <row r="1977" spans="1:17" x14ac:dyDescent="0.35">
      <c r="A1977" t="s">
        <v>269</v>
      </c>
      <c r="B1977" s="3">
        <v>45103</v>
      </c>
      <c r="C1977" t="s">
        <v>2017</v>
      </c>
      <c r="D1977" t="s">
        <v>2026</v>
      </c>
      <c r="E1977" s="8">
        <v>4780</v>
      </c>
      <c r="F1977">
        <v>10</v>
      </c>
      <c r="G1977">
        <v>10</v>
      </c>
      <c r="H1977" s="8">
        <v>43020</v>
      </c>
      <c r="I1977">
        <v>3340.41</v>
      </c>
      <c r="J1977">
        <v>9615.89</v>
      </c>
      <c r="K1977" s="5">
        <f>IF(SalesData[[#This Row],[Total Revenue]]=0,0,SalesData[[#This Row],[Profit]]/SalesData[[#This Row],[Total Revenue]])</f>
        <v>0.22352138540213853</v>
      </c>
      <c r="L1977" s="5" t="str">
        <f>TEXT(SalesData[[#This Row],[Date]],"mmm")</f>
        <v>Jun</v>
      </c>
      <c r="M1977">
        <f>YEAR(SalesData[[#This Row],[Date]])</f>
        <v>2023</v>
      </c>
      <c r="N1977">
        <f>WEEKNUM(SalesData[[#This Row],[Date]])</f>
        <v>26</v>
      </c>
      <c r="O1977" t="s">
        <v>2204</v>
      </c>
      <c r="P1977" t="s">
        <v>2523</v>
      </c>
      <c r="Q1977" t="s">
        <v>2524</v>
      </c>
    </row>
    <row r="1978" spans="1:17" x14ac:dyDescent="0.35">
      <c r="A1978" t="s">
        <v>126</v>
      </c>
      <c r="B1978" s="3">
        <v>45244</v>
      </c>
      <c r="C1978" t="s">
        <v>2013</v>
      </c>
      <c r="D1978" t="s">
        <v>2023</v>
      </c>
      <c r="E1978" s="8">
        <v>4320</v>
      </c>
      <c r="F1978">
        <v>10</v>
      </c>
      <c r="G1978">
        <v>0</v>
      </c>
      <c r="H1978" s="8">
        <v>43200</v>
      </c>
      <c r="I1978">
        <v>3209.94</v>
      </c>
      <c r="J1978">
        <v>11100.6</v>
      </c>
      <c r="K1978" s="5">
        <f>IF(SalesData[[#This Row],[Total Revenue]]=0,0,SalesData[[#This Row],[Profit]]/SalesData[[#This Row],[Total Revenue]])</f>
        <v>0.25695833333333334</v>
      </c>
      <c r="L1978" s="5" t="str">
        <f>TEXT(SalesData[[#This Row],[Date]],"mmm")</f>
        <v>Nov</v>
      </c>
      <c r="M1978">
        <f>YEAR(SalesData[[#This Row],[Date]])</f>
        <v>2023</v>
      </c>
      <c r="N1978">
        <f>WEEKNUM(SalesData[[#This Row],[Date]])</f>
        <v>46</v>
      </c>
      <c r="O1978" t="s">
        <v>2130</v>
      </c>
      <c r="P1978" t="s">
        <v>2523</v>
      </c>
      <c r="Q1978" t="s">
        <v>2524</v>
      </c>
    </row>
    <row r="1979" spans="1:17" x14ac:dyDescent="0.35">
      <c r="A1979" t="s">
        <v>1256</v>
      </c>
      <c r="B1979" s="3">
        <v>45009</v>
      </c>
      <c r="C1979" t="s">
        <v>2015</v>
      </c>
      <c r="D1979" t="s">
        <v>2025</v>
      </c>
      <c r="E1979" s="8">
        <v>4345</v>
      </c>
      <c r="F1979">
        <v>10</v>
      </c>
      <c r="G1979">
        <v>0</v>
      </c>
      <c r="H1979" s="8">
        <v>43450</v>
      </c>
      <c r="I1979">
        <v>2349.39</v>
      </c>
      <c r="J1979">
        <v>19956.13</v>
      </c>
      <c r="K1979" s="5">
        <f>IF(SalesData[[#This Row],[Total Revenue]]=0,0,SalesData[[#This Row],[Profit]]/SalesData[[#This Row],[Total Revenue]])</f>
        <v>0.45928952819332569</v>
      </c>
      <c r="L1979" s="5" t="str">
        <f>TEXT(SalesData[[#This Row],[Date]],"mmm")</f>
        <v>Mar</v>
      </c>
      <c r="M1979">
        <f>YEAR(SalesData[[#This Row],[Date]])</f>
        <v>2023</v>
      </c>
      <c r="N1979">
        <f>WEEKNUM(SalesData[[#This Row],[Date]])</f>
        <v>12</v>
      </c>
      <c r="O1979" t="s">
        <v>2491</v>
      </c>
      <c r="P1979" t="s">
        <v>2523</v>
      </c>
      <c r="Q1979" t="s">
        <v>2527</v>
      </c>
    </row>
    <row r="1980" spans="1:17" x14ac:dyDescent="0.35">
      <c r="A1980" t="s">
        <v>1570</v>
      </c>
      <c r="B1980" s="3">
        <v>45060</v>
      </c>
      <c r="C1980" t="s">
        <v>2022</v>
      </c>
      <c r="D1980" t="s">
        <v>2024</v>
      </c>
      <c r="E1980" s="8">
        <v>4584</v>
      </c>
      <c r="F1980">
        <v>10</v>
      </c>
      <c r="G1980">
        <v>5</v>
      </c>
      <c r="H1980" s="8">
        <v>43548</v>
      </c>
      <c r="I1980">
        <v>2493.98</v>
      </c>
      <c r="J1980">
        <v>18608.169999999998</v>
      </c>
      <c r="K1980" s="5">
        <f>IF(SalesData[[#This Row],[Total Revenue]]=0,0,SalesData[[#This Row],[Profit]]/SalesData[[#This Row],[Total Revenue]])</f>
        <v>0.42730251676311193</v>
      </c>
      <c r="L1980" s="5" t="str">
        <f>TEXT(SalesData[[#This Row],[Date]],"mmm")</f>
        <v>May</v>
      </c>
      <c r="M1980">
        <f>YEAR(SalesData[[#This Row],[Date]])</f>
        <v>2023</v>
      </c>
      <c r="N1980">
        <f>WEEKNUM(SalesData[[#This Row],[Date]])</f>
        <v>20</v>
      </c>
      <c r="O1980" t="s">
        <v>2192</v>
      </c>
      <c r="P1980" t="s">
        <v>2523</v>
      </c>
      <c r="Q1980" t="s">
        <v>2525</v>
      </c>
    </row>
    <row r="1981" spans="1:17" x14ac:dyDescent="0.35">
      <c r="A1981" t="s">
        <v>1129</v>
      </c>
      <c r="B1981" s="3">
        <v>45009</v>
      </c>
      <c r="C1981" t="s">
        <v>2022</v>
      </c>
      <c r="D1981" t="s">
        <v>2024</v>
      </c>
      <c r="E1981" s="8">
        <v>4589</v>
      </c>
      <c r="F1981">
        <v>10</v>
      </c>
      <c r="G1981">
        <v>5</v>
      </c>
      <c r="H1981" s="8">
        <v>43595.5</v>
      </c>
      <c r="I1981">
        <v>2732.33</v>
      </c>
      <c r="J1981">
        <v>16272.23</v>
      </c>
      <c r="K1981" s="5">
        <f>IF(SalesData[[#This Row],[Total Revenue]]=0,0,SalesData[[#This Row],[Profit]]/SalesData[[#This Row],[Total Revenue]])</f>
        <v>0.37325480840912478</v>
      </c>
      <c r="L1981" s="5" t="str">
        <f>TEXT(SalesData[[#This Row],[Date]],"mmm")</f>
        <v>Mar</v>
      </c>
      <c r="M1981">
        <f>YEAR(SalesData[[#This Row],[Date]])</f>
        <v>2023</v>
      </c>
      <c r="N1981">
        <f>WEEKNUM(SalesData[[#This Row],[Date]])</f>
        <v>12</v>
      </c>
      <c r="O1981" t="s">
        <v>2226</v>
      </c>
      <c r="P1981" t="s">
        <v>2522</v>
      </c>
      <c r="Q1981" t="s">
        <v>2527</v>
      </c>
    </row>
    <row r="1982" spans="1:17" x14ac:dyDescent="0.35">
      <c r="A1982" t="s">
        <v>1217</v>
      </c>
      <c r="B1982" s="3">
        <v>45121</v>
      </c>
      <c r="C1982" t="s">
        <v>2014</v>
      </c>
      <c r="D1982" t="s">
        <v>2024</v>
      </c>
      <c r="E1982" s="8">
        <v>4845</v>
      </c>
      <c r="F1982">
        <v>10</v>
      </c>
      <c r="G1982">
        <v>10</v>
      </c>
      <c r="H1982" s="8">
        <v>43605</v>
      </c>
      <c r="I1982">
        <v>3001.21</v>
      </c>
      <c r="J1982">
        <v>13592.85</v>
      </c>
      <c r="K1982" s="5">
        <f>IF(SalesData[[#This Row],[Total Revenue]]=0,0,SalesData[[#This Row],[Profit]]/SalesData[[#This Row],[Total Revenue]])</f>
        <v>0.31172686618507051</v>
      </c>
      <c r="L1982" s="5" t="str">
        <f>TEXT(SalesData[[#This Row],[Date]],"mmm")</f>
        <v>Jul</v>
      </c>
      <c r="M1982">
        <f>YEAR(SalesData[[#This Row],[Date]])</f>
        <v>2023</v>
      </c>
      <c r="N1982">
        <f>WEEKNUM(SalesData[[#This Row],[Date]])</f>
        <v>28</v>
      </c>
      <c r="O1982" t="s">
        <v>2295</v>
      </c>
      <c r="P1982" t="s">
        <v>2522</v>
      </c>
      <c r="Q1982" t="s">
        <v>2525</v>
      </c>
    </row>
    <row r="1983" spans="1:17" x14ac:dyDescent="0.35">
      <c r="A1983" t="s">
        <v>741</v>
      </c>
      <c r="B1983" s="3">
        <v>45142</v>
      </c>
      <c r="C1983" t="s">
        <v>2013</v>
      </c>
      <c r="D1983" t="s">
        <v>2023</v>
      </c>
      <c r="E1983" s="8">
        <v>4846</v>
      </c>
      <c r="F1983">
        <v>9</v>
      </c>
      <c r="G1983">
        <v>0</v>
      </c>
      <c r="H1983" s="8">
        <v>43614</v>
      </c>
      <c r="I1983">
        <v>2796.39</v>
      </c>
      <c r="J1983">
        <v>18446.47</v>
      </c>
      <c r="K1983" s="5">
        <f>IF(SalesData[[#This Row],[Total Revenue]]=0,0,SalesData[[#This Row],[Profit]]/SalesData[[#This Row],[Total Revenue]])</f>
        <v>0.42294836520383366</v>
      </c>
      <c r="L1983" s="5" t="str">
        <f>TEXT(SalesData[[#This Row],[Date]],"mmm")</f>
        <v>Aug</v>
      </c>
      <c r="M1983">
        <f>YEAR(SalesData[[#This Row],[Date]])</f>
        <v>2023</v>
      </c>
      <c r="N1983">
        <f>WEEKNUM(SalesData[[#This Row],[Date]])</f>
        <v>31</v>
      </c>
      <c r="O1983" t="s">
        <v>2043</v>
      </c>
      <c r="P1983" t="s">
        <v>2522</v>
      </c>
      <c r="Q1983" t="s">
        <v>2526</v>
      </c>
    </row>
    <row r="1984" spans="1:17" x14ac:dyDescent="0.35">
      <c r="A1984" t="s">
        <v>2004</v>
      </c>
      <c r="B1984" s="3">
        <v>45280</v>
      </c>
      <c r="C1984" t="s">
        <v>2013</v>
      </c>
      <c r="D1984" t="s">
        <v>2023</v>
      </c>
      <c r="E1984" s="8">
        <v>4366</v>
      </c>
      <c r="F1984">
        <v>10</v>
      </c>
      <c r="G1984">
        <v>0</v>
      </c>
      <c r="H1984" s="8">
        <v>43660</v>
      </c>
      <c r="I1984">
        <v>2213.13</v>
      </c>
      <c r="J1984">
        <v>21528.65</v>
      </c>
      <c r="K1984" s="5">
        <f>IF(SalesData[[#This Row],[Total Revenue]]=0,0,SalesData[[#This Row],[Profit]]/SalesData[[#This Row],[Total Revenue]])</f>
        <v>0.49309780119102159</v>
      </c>
      <c r="L1984" s="5" t="str">
        <f>TEXT(SalesData[[#This Row],[Date]],"mmm")</f>
        <v>Dec</v>
      </c>
      <c r="M1984">
        <f>YEAR(SalesData[[#This Row],[Date]])</f>
        <v>2023</v>
      </c>
      <c r="N1984">
        <f>WEEKNUM(SalesData[[#This Row],[Date]])</f>
        <v>51</v>
      </c>
      <c r="O1984" t="s">
        <v>2173</v>
      </c>
      <c r="P1984" t="s">
        <v>2522</v>
      </c>
      <c r="Q1984" t="s">
        <v>2527</v>
      </c>
    </row>
    <row r="1985" spans="1:17" x14ac:dyDescent="0.35">
      <c r="A1985" t="s">
        <v>199</v>
      </c>
      <c r="B1985" s="3">
        <v>45218</v>
      </c>
      <c r="C1985" t="s">
        <v>2018</v>
      </c>
      <c r="D1985" t="s">
        <v>2026</v>
      </c>
      <c r="E1985" s="8">
        <v>4370</v>
      </c>
      <c r="F1985">
        <v>10</v>
      </c>
      <c r="G1985">
        <v>0</v>
      </c>
      <c r="H1985" s="8">
        <v>43700</v>
      </c>
      <c r="I1985">
        <v>3359.38</v>
      </c>
      <c r="J1985">
        <v>10106.23</v>
      </c>
      <c r="K1985" s="5">
        <f>IF(SalesData[[#This Row],[Total Revenue]]=0,0,SalesData[[#This Row],[Profit]]/SalesData[[#This Row],[Total Revenue]])</f>
        <v>0.23126384439359265</v>
      </c>
      <c r="L1985" s="5" t="str">
        <f>TEXT(SalesData[[#This Row],[Date]],"mmm")</f>
        <v>Oct</v>
      </c>
      <c r="M1985">
        <f>YEAR(SalesData[[#This Row],[Date]])</f>
        <v>2023</v>
      </c>
      <c r="N1985">
        <f>WEEKNUM(SalesData[[#This Row],[Date]])</f>
        <v>42</v>
      </c>
      <c r="O1985" t="s">
        <v>2183</v>
      </c>
      <c r="P1985" t="s">
        <v>2522</v>
      </c>
      <c r="Q1985" t="s">
        <v>2526</v>
      </c>
    </row>
    <row r="1986" spans="1:17" x14ac:dyDescent="0.35">
      <c r="A1986" t="s">
        <v>889</v>
      </c>
      <c r="B1986" s="3">
        <v>44931</v>
      </c>
      <c r="C1986" t="s">
        <v>2013</v>
      </c>
      <c r="D1986" t="s">
        <v>2023</v>
      </c>
      <c r="E1986" s="8">
        <v>4899</v>
      </c>
      <c r="F1986">
        <v>9</v>
      </c>
      <c r="G1986">
        <v>0</v>
      </c>
      <c r="H1986" s="8">
        <v>44091</v>
      </c>
      <c r="I1986">
        <v>2970.66</v>
      </c>
      <c r="J1986">
        <v>17355.04</v>
      </c>
      <c r="K1986" s="5">
        <f>IF(SalesData[[#This Row],[Total Revenue]]=0,0,SalesData[[#This Row],[Profit]]/SalesData[[#This Row],[Total Revenue]])</f>
        <v>0.39361865233267562</v>
      </c>
      <c r="L1986" s="5" t="str">
        <f>TEXT(SalesData[[#This Row],[Date]],"mmm")</f>
        <v>Jan</v>
      </c>
      <c r="M1986">
        <f>YEAR(SalesData[[#This Row],[Date]])</f>
        <v>2023</v>
      </c>
      <c r="N1986">
        <f>WEEKNUM(SalesData[[#This Row],[Date]])</f>
        <v>1</v>
      </c>
      <c r="O1986" t="s">
        <v>2365</v>
      </c>
      <c r="P1986" t="s">
        <v>2522</v>
      </c>
      <c r="Q1986" t="s">
        <v>2525</v>
      </c>
    </row>
    <row r="1987" spans="1:17" x14ac:dyDescent="0.35">
      <c r="A1987" t="s">
        <v>178</v>
      </c>
      <c r="B1987" s="3">
        <v>45061</v>
      </c>
      <c r="C1987" t="s">
        <v>2016</v>
      </c>
      <c r="D1987" t="s">
        <v>2025</v>
      </c>
      <c r="E1987" s="8">
        <v>4418</v>
      </c>
      <c r="F1987">
        <v>10</v>
      </c>
      <c r="G1987">
        <v>0</v>
      </c>
      <c r="H1987" s="8">
        <v>44180</v>
      </c>
      <c r="I1987">
        <v>2332.77</v>
      </c>
      <c r="J1987">
        <v>20852.32</v>
      </c>
      <c r="K1987" s="5">
        <f>IF(SalesData[[#This Row],[Total Revenue]]=0,0,SalesData[[#This Row],[Profit]]/SalesData[[#This Row],[Total Revenue]])</f>
        <v>0.47198551380715253</v>
      </c>
      <c r="L1987" s="5" t="str">
        <f>TEXT(SalesData[[#This Row],[Date]],"mmm")</f>
        <v>May</v>
      </c>
      <c r="M1987">
        <f>YEAR(SalesData[[#This Row],[Date]])</f>
        <v>2023</v>
      </c>
      <c r="N1987">
        <f>WEEKNUM(SalesData[[#This Row],[Date]])</f>
        <v>20</v>
      </c>
      <c r="O1987" t="s">
        <v>2172</v>
      </c>
      <c r="P1987" t="s">
        <v>2522</v>
      </c>
      <c r="Q1987" t="s">
        <v>2524</v>
      </c>
    </row>
    <row r="1988" spans="1:17" x14ac:dyDescent="0.35">
      <c r="A1988" t="s">
        <v>646</v>
      </c>
      <c r="B1988" s="3">
        <v>45180</v>
      </c>
      <c r="C1988" t="s">
        <v>2017</v>
      </c>
      <c r="D1988" t="s">
        <v>2026</v>
      </c>
      <c r="E1988" s="8">
        <v>4432</v>
      </c>
      <c r="F1988">
        <v>10</v>
      </c>
      <c r="G1988">
        <v>0</v>
      </c>
      <c r="H1988" s="8">
        <v>44320</v>
      </c>
      <c r="I1988">
        <v>2754.37</v>
      </c>
      <c r="J1988">
        <v>16776.330000000002</v>
      </c>
      <c r="K1988" s="5">
        <f>IF(SalesData[[#This Row],[Total Revenue]]=0,0,SalesData[[#This Row],[Profit]]/SalesData[[#This Row],[Total Revenue]])</f>
        <v>0.37852730144404334</v>
      </c>
      <c r="L1988" s="5" t="str">
        <f>TEXT(SalesData[[#This Row],[Date]],"mmm")</f>
        <v>Sep</v>
      </c>
      <c r="M1988">
        <f>YEAR(SalesData[[#This Row],[Date]])</f>
        <v>2023</v>
      </c>
      <c r="N1988">
        <f>WEEKNUM(SalesData[[#This Row],[Date]])</f>
        <v>37</v>
      </c>
      <c r="O1988" t="s">
        <v>2199</v>
      </c>
      <c r="P1988" t="s">
        <v>2522</v>
      </c>
      <c r="Q1988" t="s">
        <v>2524</v>
      </c>
    </row>
    <row r="1989" spans="1:17" x14ac:dyDescent="0.35">
      <c r="A1989" t="s">
        <v>1025</v>
      </c>
      <c r="B1989" s="3">
        <v>45043</v>
      </c>
      <c r="C1989" t="s">
        <v>2020</v>
      </c>
      <c r="D1989" t="s">
        <v>2028</v>
      </c>
      <c r="E1989" s="8">
        <v>4948</v>
      </c>
      <c r="F1989">
        <v>10</v>
      </c>
      <c r="G1989">
        <v>10</v>
      </c>
      <c r="H1989" s="8">
        <v>44532</v>
      </c>
      <c r="I1989">
        <v>2669.52</v>
      </c>
      <c r="J1989">
        <v>17836.8</v>
      </c>
      <c r="K1989" s="5">
        <f>IF(SalesData[[#This Row],[Total Revenue]]=0,0,SalesData[[#This Row],[Profit]]/SalesData[[#This Row],[Total Revenue]])</f>
        <v>0.40053893829156562</v>
      </c>
      <c r="L1989" s="5" t="str">
        <f>TEXT(SalesData[[#This Row],[Date]],"mmm")</f>
        <v>Apr</v>
      </c>
      <c r="M1989">
        <f>YEAR(SalesData[[#This Row],[Date]])</f>
        <v>2023</v>
      </c>
      <c r="N1989">
        <f>WEEKNUM(SalesData[[#This Row],[Date]])</f>
        <v>17</v>
      </c>
      <c r="O1989" t="s">
        <v>2047</v>
      </c>
      <c r="P1989" t="s">
        <v>2522</v>
      </c>
      <c r="Q1989" t="s">
        <v>2524</v>
      </c>
    </row>
    <row r="1990" spans="1:17" x14ac:dyDescent="0.35">
      <c r="A1990" t="s">
        <v>185</v>
      </c>
      <c r="B1990" s="3">
        <v>45091</v>
      </c>
      <c r="C1990" t="s">
        <v>2020</v>
      </c>
      <c r="D1990" t="s">
        <v>2028</v>
      </c>
      <c r="E1990" s="8">
        <v>4966</v>
      </c>
      <c r="F1990">
        <v>10</v>
      </c>
      <c r="G1990">
        <v>10</v>
      </c>
      <c r="H1990" s="8">
        <v>44694</v>
      </c>
      <c r="I1990">
        <v>3359.64</v>
      </c>
      <c r="J1990">
        <v>11097.56</v>
      </c>
      <c r="K1990" s="5">
        <f>IF(SalesData[[#This Row],[Total Revenue]]=0,0,SalesData[[#This Row],[Profit]]/SalesData[[#This Row],[Total Revenue]])</f>
        <v>0.24830089049984336</v>
      </c>
      <c r="L1990" s="5" t="str">
        <f>TEXT(SalesData[[#This Row],[Date]],"mmm")</f>
        <v>Jun</v>
      </c>
      <c r="M1990">
        <f>YEAR(SalesData[[#This Row],[Date]])</f>
        <v>2023</v>
      </c>
      <c r="N1990">
        <f>WEEKNUM(SalesData[[#This Row],[Date]])</f>
        <v>24</v>
      </c>
      <c r="O1990" t="s">
        <v>2060</v>
      </c>
      <c r="P1990" t="s">
        <v>2523</v>
      </c>
      <c r="Q1990" t="s">
        <v>2525</v>
      </c>
    </row>
    <row r="1991" spans="1:17" x14ac:dyDescent="0.35">
      <c r="A1991" t="s">
        <v>46</v>
      </c>
      <c r="B1991" s="3">
        <v>45107</v>
      </c>
      <c r="C1991" t="s">
        <v>2017</v>
      </c>
      <c r="D1991" t="s">
        <v>2026</v>
      </c>
      <c r="E1991" s="8">
        <v>4586</v>
      </c>
      <c r="F1991">
        <v>10</v>
      </c>
      <c r="G1991">
        <v>0</v>
      </c>
      <c r="H1991" s="8">
        <v>45860</v>
      </c>
      <c r="I1991">
        <v>3073.09</v>
      </c>
      <c r="J1991">
        <v>15129.13</v>
      </c>
      <c r="K1991" s="5">
        <f>IF(SalesData[[#This Row],[Total Revenue]]=0,0,SalesData[[#This Row],[Profit]]/SalesData[[#This Row],[Total Revenue]])</f>
        <v>0.32989816833842128</v>
      </c>
      <c r="L1991" s="5" t="str">
        <f>TEXT(SalesData[[#This Row],[Date]],"mmm")</f>
        <v>Jun</v>
      </c>
      <c r="M1991">
        <f>YEAR(SalesData[[#This Row],[Date]])</f>
        <v>2023</v>
      </c>
      <c r="N1991">
        <f>WEEKNUM(SalesData[[#This Row],[Date]])</f>
        <v>26</v>
      </c>
      <c r="O1991" t="s">
        <v>2030</v>
      </c>
      <c r="P1991" t="s">
        <v>2523</v>
      </c>
      <c r="Q1991" t="s">
        <v>2525</v>
      </c>
    </row>
    <row r="1992" spans="1:17" x14ac:dyDescent="0.35">
      <c r="A1992" t="s">
        <v>1943</v>
      </c>
      <c r="B1992" s="3">
        <v>45096</v>
      </c>
      <c r="C1992" t="s">
        <v>2014</v>
      </c>
      <c r="D1992" t="s">
        <v>2024</v>
      </c>
      <c r="E1992" s="8">
        <v>4651</v>
      </c>
      <c r="F1992">
        <v>10</v>
      </c>
      <c r="G1992">
        <v>0</v>
      </c>
      <c r="H1992" s="8">
        <v>46510</v>
      </c>
      <c r="I1992">
        <v>2565.1999999999998</v>
      </c>
      <c r="J1992">
        <v>20857.990000000002</v>
      </c>
      <c r="K1992" s="5">
        <f>IF(SalesData[[#This Row],[Total Revenue]]=0,0,SalesData[[#This Row],[Profit]]/SalesData[[#This Row],[Total Revenue]])</f>
        <v>0.44846248118684157</v>
      </c>
      <c r="L1992" s="5" t="str">
        <f>TEXT(SalesData[[#This Row],[Date]],"mmm")</f>
        <v>Jun</v>
      </c>
      <c r="M1992">
        <f>YEAR(SalesData[[#This Row],[Date]])</f>
        <v>2023</v>
      </c>
      <c r="N1992">
        <f>WEEKNUM(SalesData[[#This Row],[Date]])</f>
        <v>25</v>
      </c>
      <c r="O1992" t="s">
        <v>2285</v>
      </c>
      <c r="P1992" t="s">
        <v>2522</v>
      </c>
      <c r="Q1992" t="s">
        <v>2524</v>
      </c>
    </row>
    <row r="1993" spans="1:17" x14ac:dyDescent="0.35">
      <c r="A1993" t="s">
        <v>1950</v>
      </c>
      <c r="B1993" s="3">
        <v>45164</v>
      </c>
      <c r="C1993" t="s">
        <v>2021</v>
      </c>
      <c r="D1993" t="s">
        <v>2028</v>
      </c>
      <c r="E1993" s="8">
        <v>4905</v>
      </c>
      <c r="F1993">
        <v>10</v>
      </c>
      <c r="G1993">
        <v>5</v>
      </c>
      <c r="H1993" s="8">
        <v>46597.5</v>
      </c>
      <c r="I1993">
        <v>3775.74</v>
      </c>
      <c r="J1993">
        <v>8840.09</v>
      </c>
      <c r="K1993" s="5">
        <f>IF(SalesData[[#This Row],[Total Revenue]]=0,0,SalesData[[#This Row],[Profit]]/SalesData[[#This Row],[Total Revenue]])</f>
        <v>0.18971167981114867</v>
      </c>
      <c r="L1993" s="5" t="str">
        <f>TEXT(SalesData[[#This Row],[Date]],"mmm")</f>
        <v>Aug</v>
      </c>
      <c r="M1993">
        <f>YEAR(SalesData[[#This Row],[Date]])</f>
        <v>2023</v>
      </c>
      <c r="N1993">
        <f>WEEKNUM(SalesData[[#This Row],[Date]])</f>
        <v>34</v>
      </c>
      <c r="O1993" t="s">
        <v>2374</v>
      </c>
      <c r="P1993" t="s">
        <v>2522</v>
      </c>
      <c r="Q1993" t="s">
        <v>2527</v>
      </c>
    </row>
    <row r="1994" spans="1:17" x14ac:dyDescent="0.35">
      <c r="A1994" t="s">
        <v>913</v>
      </c>
      <c r="B1994" s="3">
        <v>45240</v>
      </c>
      <c r="C1994" t="s">
        <v>2015</v>
      </c>
      <c r="D1994" t="s">
        <v>2025</v>
      </c>
      <c r="E1994" s="8">
        <v>4931</v>
      </c>
      <c r="F1994">
        <v>10</v>
      </c>
      <c r="G1994">
        <v>5</v>
      </c>
      <c r="H1994" s="8">
        <v>46844.5</v>
      </c>
      <c r="I1994">
        <v>2983.74</v>
      </c>
      <c r="J1994">
        <v>17007.080000000002</v>
      </c>
      <c r="K1994" s="5">
        <f>IF(SalesData[[#This Row],[Total Revenue]]=0,0,SalesData[[#This Row],[Profit]]/SalesData[[#This Row],[Total Revenue]])</f>
        <v>0.36305393375956624</v>
      </c>
      <c r="L1994" s="5" t="str">
        <f>TEXT(SalesData[[#This Row],[Date]],"mmm")</f>
        <v>Nov</v>
      </c>
      <c r="M1994">
        <f>YEAR(SalesData[[#This Row],[Date]])</f>
        <v>2023</v>
      </c>
      <c r="N1994">
        <f>WEEKNUM(SalesData[[#This Row],[Date]])</f>
        <v>45</v>
      </c>
      <c r="O1994" t="s">
        <v>2303</v>
      </c>
      <c r="P1994" t="s">
        <v>2522</v>
      </c>
      <c r="Q1994" t="s">
        <v>2524</v>
      </c>
    </row>
    <row r="1995" spans="1:17" x14ac:dyDescent="0.35">
      <c r="A1995" t="s">
        <v>1551</v>
      </c>
      <c r="B1995" s="3">
        <v>44969</v>
      </c>
      <c r="C1995" t="s">
        <v>2020</v>
      </c>
      <c r="D1995" t="s">
        <v>2028</v>
      </c>
      <c r="E1995" s="8">
        <v>4963</v>
      </c>
      <c r="F1995">
        <v>10</v>
      </c>
      <c r="G1995">
        <v>5</v>
      </c>
      <c r="H1995" s="8">
        <v>47148.5</v>
      </c>
      <c r="I1995">
        <v>3094.24</v>
      </c>
      <c r="J1995">
        <v>16206.13</v>
      </c>
      <c r="K1995" s="5">
        <f>IF(SalesData[[#This Row],[Total Revenue]]=0,0,SalesData[[#This Row],[Profit]]/SalesData[[#This Row],[Total Revenue]])</f>
        <v>0.34372525106843271</v>
      </c>
      <c r="L1995" s="5" t="str">
        <f>TEXT(SalesData[[#This Row],[Date]],"mmm")</f>
        <v>Feb</v>
      </c>
      <c r="M1995">
        <f>YEAR(SalesData[[#This Row],[Date]])</f>
        <v>2023</v>
      </c>
      <c r="N1995">
        <f>WEEKNUM(SalesData[[#This Row],[Date]])</f>
        <v>7</v>
      </c>
      <c r="O1995" t="s">
        <v>2395</v>
      </c>
      <c r="P1995" t="s">
        <v>2522</v>
      </c>
      <c r="Q1995" t="s">
        <v>2527</v>
      </c>
    </row>
    <row r="1996" spans="1:17" x14ac:dyDescent="0.35">
      <c r="A1996" t="s">
        <v>143</v>
      </c>
      <c r="B1996" s="3">
        <v>45259</v>
      </c>
      <c r="C1996" t="s">
        <v>2018</v>
      </c>
      <c r="D1996" t="s">
        <v>2026</v>
      </c>
      <c r="E1996" s="8">
        <v>4969</v>
      </c>
      <c r="F1996">
        <v>10</v>
      </c>
      <c r="G1996">
        <v>5</v>
      </c>
      <c r="H1996" s="8">
        <v>47205.5</v>
      </c>
      <c r="I1996">
        <v>3520.65</v>
      </c>
      <c r="J1996">
        <v>11998.99</v>
      </c>
      <c r="K1996" s="5">
        <f>IF(SalesData[[#This Row],[Total Revenue]]=0,0,SalesData[[#This Row],[Profit]]/SalesData[[#This Row],[Total Revenue]])</f>
        <v>0.2541862706676129</v>
      </c>
      <c r="L1996" s="5" t="str">
        <f>TEXT(SalesData[[#This Row],[Date]],"mmm")</f>
        <v>Nov</v>
      </c>
      <c r="M1996">
        <f>YEAR(SalesData[[#This Row],[Date]])</f>
        <v>2023</v>
      </c>
      <c r="N1996">
        <f>WEEKNUM(SalesData[[#This Row],[Date]])</f>
        <v>48</v>
      </c>
      <c r="O1996" t="s">
        <v>2061</v>
      </c>
      <c r="P1996" t="s">
        <v>2522</v>
      </c>
      <c r="Q1996" t="s">
        <v>2525</v>
      </c>
    </row>
    <row r="1997" spans="1:17" x14ac:dyDescent="0.35">
      <c r="A1997" t="s">
        <v>385</v>
      </c>
      <c r="B1997" s="3">
        <v>45221</v>
      </c>
      <c r="C1997" t="s">
        <v>2014</v>
      </c>
      <c r="D1997" t="s">
        <v>2024</v>
      </c>
      <c r="E1997" s="8">
        <v>4723</v>
      </c>
      <c r="F1997">
        <v>10</v>
      </c>
      <c r="G1997">
        <v>0</v>
      </c>
      <c r="H1997" s="8">
        <v>47230</v>
      </c>
      <c r="I1997">
        <v>3768.13</v>
      </c>
      <c r="J1997">
        <v>9548.74</v>
      </c>
      <c r="K1997" s="5">
        <f>IF(SalesData[[#This Row],[Total Revenue]]=0,0,SalesData[[#This Row],[Profit]]/SalesData[[#This Row],[Total Revenue]])</f>
        <v>0.20217531230150329</v>
      </c>
      <c r="L1997" s="5" t="str">
        <f>TEXT(SalesData[[#This Row],[Date]],"mmm")</f>
        <v>Oct</v>
      </c>
      <c r="M1997">
        <f>YEAR(SalesData[[#This Row],[Date]])</f>
        <v>2023</v>
      </c>
      <c r="N1997">
        <f>WEEKNUM(SalesData[[#This Row],[Date]])</f>
        <v>43</v>
      </c>
      <c r="O1997" t="s">
        <v>2290</v>
      </c>
      <c r="P1997" t="s">
        <v>2522</v>
      </c>
      <c r="Q1997" t="s">
        <v>2524</v>
      </c>
    </row>
    <row r="1998" spans="1:17" x14ac:dyDescent="0.35">
      <c r="A1998" t="s">
        <v>424</v>
      </c>
      <c r="B1998" s="3">
        <v>44974</v>
      </c>
      <c r="C1998" t="s">
        <v>2019</v>
      </c>
      <c r="D1998" t="s">
        <v>2027</v>
      </c>
      <c r="E1998" s="8">
        <v>4817</v>
      </c>
      <c r="F1998">
        <v>10</v>
      </c>
      <c r="G1998">
        <v>0</v>
      </c>
      <c r="H1998" s="8">
        <v>48170</v>
      </c>
      <c r="I1998">
        <v>3845.66</v>
      </c>
      <c r="J1998">
        <v>9713.3700000000008</v>
      </c>
      <c r="K1998" s="5">
        <f>IF(SalesData[[#This Row],[Total Revenue]]=0,0,SalesData[[#This Row],[Profit]]/SalesData[[#This Row],[Total Revenue]])</f>
        <v>0.20164770604110444</v>
      </c>
      <c r="L1998" s="5" t="str">
        <f>TEXT(SalesData[[#This Row],[Date]],"mmm")</f>
        <v>Feb</v>
      </c>
      <c r="M1998">
        <f>YEAR(SalesData[[#This Row],[Date]])</f>
        <v>2023</v>
      </c>
      <c r="N1998">
        <f>WEEKNUM(SalesData[[#This Row],[Date]])</f>
        <v>7</v>
      </c>
      <c r="O1998" t="s">
        <v>2267</v>
      </c>
      <c r="P1998" t="s">
        <v>2522</v>
      </c>
      <c r="Q1998" t="s">
        <v>2526</v>
      </c>
    </row>
    <row r="1999" spans="1:17" x14ac:dyDescent="0.35">
      <c r="A1999" t="s">
        <v>1484</v>
      </c>
      <c r="B1999" s="3">
        <v>45158</v>
      </c>
      <c r="C1999" t="s">
        <v>2014</v>
      </c>
      <c r="D1999" t="s">
        <v>2024</v>
      </c>
      <c r="E1999" s="8">
        <v>4835</v>
      </c>
      <c r="F1999">
        <v>10</v>
      </c>
      <c r="G1999">
        <v>0</v>
      </c>
      <c r="H1999" s="8">
        <v>48350</v>
      </c>
      <c r="I1999">
        <v>3707.54</v>
      </c>
      <c r="J1999">
        <v>11274.65</v>
      </c>
      <c r="K1999" s="5">
        <f>IF(SalesData[[#This Row],[Total Revenue]]=0,0,SalesData[[#This Row],[Profit]]/SalesData[[#This Row],[Total Revenue]])</f>
        <v>0.23318821096173734</v>
      </c>
      <c r="L1999" s="5" t="str">
        <f>TEXT(SalesData[[#This Row],[Date]],"mmm")</f>
        <v>Aug</v>
      </c>
      <c r="M1999">
        <f>YEAR(SalesData[[#This Row],[Date]])</f>
        <v>2023</v>
      </c>
      <c r="N1999">
        <f>WEEKNUM(SalesData[[#This Row],[Date]])</f>
        <v>34</v>
      </c>
      <c r="O1999" t="s">
        <v>2345</v>
      </c>
      <c r="P1999" t="s">
        <v>2522</v>
      </c>
      <c r="Q1999" t="s">
        <v>2525</v>
      </c>
    </row>
    <row r="2000" spans="1:17" x14ac:dyDescent="0.35">
      <c r="A2000" t="s">
        <v>1922</v>
      </c>
      <c r="B2000" s="3">
        <v>45253</v>
      </c>
      <c r="C2000" t="s">
        <v>2015</v>
      </c>
      <c r="D2000" t="s">
        <v>2025</v>
      </c>
      <c r="E2000" s="8">
        <v>4867</v>
      </c>
      <c r="F2000">
        <v>10</v>
      </c>
      <c r="G2000">
        <v>0</v>
      </c>
      <c r="H2000" s="8">
        <v>48670</v>
      </c>
      <c r="I2000">
        <v>3022.9</v>
      </c>
      <c r="J2000">
        <v>18441</v>
      </c>
      <c r="K2000" s="5">
        <f>IF(SalesData[[#This Row],[Total Revenue]]=0,0,SalesData[[#This Row],[Profit]]/SalesData[[#This Row],[Total Revenue]])</f>
        <v>0.37889870556811178</v>
      </c>
      <c r="L2000" s="5" t="str">
        <f>TEXT(SalesData[[#This Row],[Date]],"mmm")</f>
        <v>Nov</v>
      </c>
      <c r="M2000">
        <f>YEAR(SalesData[[#This Row],[Date]])</f>
        <v>2023</v>
      </c>
      <c r="N2000">
        <f>WEEKNUM(SalesData[[#This Row],[Date]])</f>
        <v>47</v>
      </c>
      <c r="O2000" t="s">
        <v>2048</v>
      </c>
      <c r="P2000" t="s">
        <v>2522</v>
      </c>
      <c r="Q2000" t="s">
        <v>2527</v>
      </c>
    </row>
    <row r="2001" spans="1:17" x14ac:dyDescent="0.35">
      <c r="A2001" t="s">
        <v>1713</v>
      </c>
      <c r="B2001" s="3">
        <v>45240</v>
      </c>
      <c r="C2001" t="s">
        <v>2016</v>
      </c>
      <c r="D2001" t="s">
        <v>2025</v>
      </c>
      <c r="E2001" s="8">
        <v>4904</v>
      </c>
      <c r="F2001">
        <v>10</v>
      </c>
      <c r="G2001">
        <v>0</v>
      </c>
      <c r="H2001" s="8">
        <v>49040</v>
      </c>
      <c r="I2001">
        <v>2698.97</v>
      </c>
      <c r="J2001">
        <v>22050.32</v>
      </c>
      <c r="K2001" s="5">
        <f>IF(SalesData[[#This Row],[Total Revenue]]=0,0,SalesData[[#This Row],[Profit]]/SalesData[[#This Row],[Total Revenue]])</f>
        <v>0.44963947797716147</v>
      </c>
      <c r="L2001" s="5" t="str">
        <f>TEXT(SalesData[[#This Row],[Date]],"mmm")</f>
        <v>Nov</v>
      </c>
      <c r="M2001">
        <f>YEAR(SalesData[[#This Row],[Date]])</f>
        <v>2023</v>
      </c>
      <c r="N2001">
        <f>WEEKNUM(SalesData[[#This Row],[Date]])</f>
        <v>45</v>
      </c>
      <c r="O2001" t="s">
        <v>2448</v>
      </c>
      <c r="P2001" t="s">
        <v>2523</v>
      </c>
      <c r="Q2001" t="s">
        <v>2526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651F-2544-430B-829C-FE5BA183C555}">
  <dimension ref="B2:E3"/>
  <sheetViews>
    <sheetView showGridLines="0" topLeftCell="A46" workbookViewId="0">
      <selection activeCell="D61" sqref="D61"/>
    </sheetView>
  </sheetViews>
  <sheetFormatPr defaultRowHeight="14.5" x14ac:dyDescent="0.35"/>
  <cols>
    <col min="1" max="1" width="25.7265625" bestFit="1" customWidth="1"/>
    <col min="2" max="2" width="28.90625" bestFit="1" customWidth="1"/>
    <col min="3" max="3" width="26.7265625" bestFit="1" customWidth="1"/>
    <col min="4" max="4" width="26.453125" bestFit="1" customWidth="1"/>
    <col min="5" max="5" width="30.26953125" bestFit="1" customWidth="1"/>
  </cols>
  <sheetData>
    <row r="2" spans="2:5" ht="25" x14ac:dyDescent="0.5">
      <c r="B2" s="12" t="s">
        <v>7</v>
      </c>
      <c r="C2" s="12" t="s">
        <v>2549</v>
      </c>
      <c r="D2" s="12" t="s">
        <v>2550</v>
      </c>
      <c r="E2" s="12" t="s">
        <v>2528</v>
      </c>
    </row>
    <row r="3" spans="2:5" ht="25" x14ac:dyDescent="0.5">
      <c r="B3" s="9">
        <f>GETPIVOTDATA("Sum of Total Revenue",'Total Revenue, Units &amp; Profit'!$A$3)</f>
        <v>28877867.049999997</v>
      </c>
      <c r="C3" s="10">
        <f>GETPIVOTDATA("Sum of Profit",'Total Revenue, Units &amp; Profit'!$A$3)</f>
        <v>8683869.5099999998</v>
      </c>
      <c r="D3" s="11">
        <f>GETPIVOTDATA("Sum of Quantity",'Total Revenue, Units &amp; Profit'!$A$3)</f>
        <v>10790</v>
      </c>
      <c r="E3" s="13">
        <f>GETPIVOTDATA("Sum of Profit",'Total Revenue, Units &amp; Profit'!$A$3)/GETPIVOTDATA("Sum of Total Revenue",'Total Revenue, Units &amp; Profit'!$A$3)</f>
        <v>0.3007102115597558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Revenue, Units &amp; Profit</vt:lpstr>
      <vt:lpstr>Monthly Revenue Trend</vt:lpstr>
      <vt:lpstr>Top Customers</vt:lpstr>
      <vt:lpstr>Branch Performance</vt:lpstr>
      <vt:lpstr>Product Category Summary</vt:lpstr>
      <vt:lpstr>Sales Data Cleaned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Mary Fashola</cp:lastModifiedBy>
  <dcterms:created xsi:type="dcterms:W3CDTF">2025-11-25T09:57:59Z</dcterms:created>
  <dcterms:modified xsi:type="dcterms:W3CDTF">2025-11-26T04:14:00Z</dcterms:modified>
</cp:coreProperties>
</file>